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Summary" sheetId="2" state="visible" r:id="rId2"/>
  </sheets>
  <definedNames>
    <definedName name="_xlnm._FilterDatabase" localSheetId="0" hidden="1">'Master'!$A$3:$BU$174</definedName>
  </definedNames>
  <calcPr calcId="124519" fullCalcOnLoad="1"/>
</workbook>
</file>

<file path=xl/styles.xml><?xml version="1.0" encoding="utf-8"?>
<styleSheet xmlns="http://schemas.openxmlformats.org/spreadsheetml/2006/main">
  <numFmts count="2">
    <numFmt numFmtId="164" formatCode="0.0"/>
    <numFmt numFmtId="165" formatCode="0.0000"/>
  </numFmts>
  <fonts count="11">
    <font>
      <name val="Calibri"/>
      <family val="2"/>
      <color theme="1"/>
      <sz val="11"/>
      <scheme val="minor"/>
    </font>
    <font>
      <name val="Arial"/>
      <b val="1"/>
      <color rgb="00FFFFFF"/>
      <sz val="12"/>
    </font>
    <font>
      <name val="Arial"/>
      <b val="1"/>
      <color rgb="00FFFFFF"/>
      <sz val="10"/>
    </font>
    <font>
      <name val="Arial"/>
      <b val="1"/>
      <color rgb="00FFFFFF"/>
      <sz val="9"/>
    </font>
    <font>
      <name val="Arial"/>
      <color rgb="00000000"/>
      <sz val="9"/>
    </font>
    <font>
      <name val="Arial"/>
      <i val="1"/>
      <color rgb="00000000"/>
      <sz val="9"/>
    </font>
    <font>
      <name val="Arial"/>
      <color rgb="00999999"/>
      <sz val="9"/>
    </font>
    <font>
      <name val="Arial"/>
      <i val="1"/>
      <color rgb="00999999"/>
      <sz val="9"/>
    </font>
    <font>
      <name val="Arial"/>
      <b val="1"/>
      <color rgb="00FFFFFF"/>
      <sz val="14"/>
    </font>
    <font>
      <name val="Arial"/>
      <sz val="9"/>
    </font>
    <font>
      <name val="Arial"/>
      <i val="1"/>
      <color rgb="00808080"/>
      <sz val="8"/>
    </font>
  </fonts>
  <fills count="17">
    <fill>
      <patternFill/>
    </fill>
    <fill>
      <patternFill patternType="gray125"/>
    </fill>
    <fill>
      <patternFill patternType="solid">
        <fgColor rgb="001F3864"/>
      </patternFill>
    </fill>
    <fill>
      <patternFill patternType="solid">
        <fgColor rgb="00404040"/>
      </patternFill>
    </fill>
    <fill>
      <patternFill patternType="solid">
        <fgColor rgb="00C00000"/>
      </patternFill>
    </fill>
    <fill>
      <patternFill patternType="solid">
        <fgColor rgb="002E75B6"/>
      </patternFill>
    </fill>
    <fill>
      <patternFill patternType="solid">
        <fgColor rgb="001A5276"/>
      </patternFill>
    </fill>
    <fill>
      <patternFill patternType="solid">
        <fgColor rgb="00833C11"/>
      </patternFill>
    </fill>
    <fill>
      <patternFill patternType="solid">
        <fgColor rgb="00375623"/>
      </patternFill>
    </fill>
    <fill>
      <patternFill patternType="solid">
        <fgColor rgb="002E4053"/>
      </patternFill>
    </fill>
    <fill>
      <patternFill patternType="solid">
        <fgColor rgb="007030A0"/>
      </patternFill>
    </fill>
    <fill>
      <patternFill patternType="solid">
        <fgColor rgb="00808080"/>
      </patternFill>
    </fill>
    <fill>
      <patternFill patternType="solid">
        <fgColor rgb="001F618D"/>
      </patternFill>
    </fill>
    <fill>
      <patternFill patternType="solid">
        <fgColor rgb="00EBF3FB"/>
      </patternFill>
    </fill>
    <fill>
      <patternFill patternType="solid">
        <fgColor rgb="00FFFFFF"/>
      </patternFill>
    </fill>
    <fill>
      <patternFill patternType="solid">
        <fgColor rgb="00E8E8E8"/>
      </patternFill>
    </fill>
    <fill>
      <patternFill patternType="solid">
        <fgColor rgb="00F2F2F2"/>
      </patternFill>
    </fill>
  </fills>
  <borders count="7">
    <border>
      <left/>
      <right/>
      <top/>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89">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xf>
    <xf numFmtId="0" fontId="0" fillId="3" borderId="1" pivotButton="0" quotePrefix="0" xfId="0"/>
    <xf numFmtId="0" fontId="2" fillId="4" borderId="1" applyAlignment="1" pivotButton="0" quotePrefix="0" xfId="0">
      <alignment horizontal="center" vertical="center"/>
    </xf>
    <xf numFmtId="0" fontId="0" fillId="4" borderId="1" pivotButton="0" quotePrefix="0" xfId="0"/>
    <xf numFmtId="0" fontId="2" fillId="5" borderId="1" applyAlignment="1" pivotButton="0" quotePrefix="0" xfId="0">
      <alignment horizontal="center" vertical="center"/>
    </xf>
    <xf numFmtId="0" fontId="0" fillId="5" borderId="1" pivotButton="0" quotePrefix="0" xfId="0"/>
    <xf numFmtId="0" fontId="2" fillId="6" borderId="1" applyAlignment="1" pivotButton="0" quotePrefix="0" xfId="0">
      <alignment horizontal="center" vertical="center"/>
    </xf>
    <xf numFmtId="0" fontId="0" fillId="6" borderId="1" pivotButton="0" quotePrefix="0" xfId="0"/>
    <xf numFmtId="0" fontId="2" fillId="7" borderId="1" applyAlignment="1" pivotButton="0" quotePrefix="0" xfId="0">
      <alignment horizontal="center" vertical="center"/>
    </xf>
    <xf numFmtId="0" fontId="0" fillId="7" borderId="1" pivotButton="0" quotePrefix="0" xfId="0"/>
    <xf numFmtId="0" fontId="2" fillId="8" borderId="1" applyAlignment="1" pivotButton="0" quotePrefix="0" xfId="0">
      <alignment horizontal="center" vertical="center"/>
    </xf>
    <xf numFmtId="0" fontId="0" fillId="8" borderId="1" pivotButton="0" quotePrefix="0" xfId="0"/>
    <xf numFmtId="0" fontId="2" fillId="9" borderId="1" applyAlignment="1" pivotButton="0" quotePrefix="0" xfId="0">
      <alignment horizontal="center" vertical="center"/>
    </xf>
    <xf numFmtId="0" fontId="0" fillId="9" borderId="1" pivotButton="0" quotePrefix="0" xfId="0"/>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0" fillId="11" borderId="1" pivotButton="0" quotePrefix="0" xfId="0"/>
    <xf numFmtId="0" fontId="2" fillId="12" borderId="1" applyAlignment="1" pivotButton="0" quotePrefix="0" xfId="0">
      <alignment horizontal="center" vertical="center"/>
    </xf>
    <xf numFmtId="0" fontId="0" fillId="12" borderId="1" pivotButton="0" quotePrefix="0" xfId="0"/>
    <xf numFmtId="0" fontId="3" fillId="2" borderId="6" applyAlignment="1" pivotButton="0" quotePrefix="0" xfId="0">
      <alignment horizontal="center" vertical="center" wrapText="1"/>
    </xf>
    <xf numFmtId="49" fontId="4" fillId="13" borderId="6" applyAlignment="1" pivotButton="0" quotePrefix="0" xfId="0">
      <alignment horizontal="left" vertical="center"/>
    </xf>
    <xf numFmtId="49" fontId="4" fillId="13" borderId="6" applyAlignment="1" pivotButton="0" quotePrefix="0" xfId="0">
      <alignment horizontal="left" vertical="center" wrapText="1"/>
    </xf>
    <xf numFmtId="1" fontId="4" fillId="13" borderId="6" applyAlignment="1" pivotButton="0" quotePrefix="0" xfId="0">
      <alignment horizontal="center" vertical="center"/>
    </xf>
    <xf numFmtId="4" fontId="4" fillId="13" borderId="6" applyAlignment="1" pivotButton="0" quotePrefix="0" xfId="0">
      <alignment horizontal="center" vertical="center"/>
    </xf>
    <xf numFmtId="164" fontId="4" fillId="13" borderId="6" applyAlignment="1" pivotButton="0" quotePrefix="0" xfId="0">
      <alignment horizontal="center" vertical="center"/>
    </xf>
    <xf numFmtId="2" fontId="4" fillId="13" borderId="6" applyAlignment="1" pivotButton="0" quotePrefix="0" xfId="0">
      <alignment horizontal="center" vertical="center"/>
    </xf>
    <xf numFmtId="165" fontId="4" fillId="13" borderId="6" applyAlignment="1" pivotButton="0" quotePrefix="0" xfId="0">
      <alignment horizontal="center" vertical="center"/>
    </xf>
    <xf numFmtId="49" fontId="4" fillId="14" borderId="6" applyAlignment="1" pivotButton="0" quotePrefix="0" xfId="0">
      <alignment horizontal="left" vertical="center"/>
    </xf>
    <xf numFmtId="49" fontId="4" fillId="14" borderId="6" applyAlignment="1" pivotButton="0" quotePrefix="0" xfId="0">
      <alignment horizontal="left" vertical="center" wrapText="1"/>
    </xf>
    <xf numFmtId="1" fontId="4" fillId="14" borderId="6" applyAlignment="1" pivotButton="0" quotePrefix="0" xfId="0">
      <alignment horizontal="center" vertical="center"/>
    </xf>
    <xf numFmtId="4" fontId="4" fillId="14" borderId="6" applyAlignment="1" pivotButton="0" quotePrefix="0" xfId="0">
      <alignment horizontal="center" vertical="center"/>
    </xf>
    <xf numFmtId="164" fontId="4" fillId="14" borderId="6" applyAlignment="1" pivotButton="0" quotePrefix="0" xfId="0">
      <alignment horizontal="center" vertical="center"/>
    </xf>
    <xf numFmtId="2" fontId="4" fillId="14" borderId="6" applyAlignment="1" pivotButton="0" quotePrefix="0" xfId="0">
      <alignment horizontal="center" vertical="center"/>
    </xf>
    <xf numFmtId="165" fontId="4" fillId="14" borderId="6" applyAlignment="1" pivotButton="0" quotePrefix="0" xfId="0">
      <alignment horizontal="center" vertical="center"/>
    </xf>
    <xf numFmtId="49" fontId="5" fillId="13" borderId="6" applyAlignment="1" pivotButton="0" quotePrefix="0" xfId="0">
      <alignment horizontal="left" vertical="center"/>
    </xf>
    <xf numFmtId="49" fontId="5" fillId="14" borderId="6" applyAlignment="1" pivotButton="0" quotePrefix="0" xfId="0">
      <alignment horizontal="left" vertical="center"/>
    </xf>
    <xf numFmtId="49" fontId="6" fillId="15" borderId="6" applyAlignment="1" pivotButton="0" quotePrefix="0" xfId="0">
      <alignment horizontal="left" vertical="center"/>
    </xf>
    <xf numFmtId="49" fontId="6" fillId="15" borderId="6" applyAlignment="1" pivotButton="0" quotePrefix="0" xfId="0">
      <alignment horizontal="left" vertical="center" wrapText="1"/>
    </xf>
    <xf numFmtId="1" fontId="6" fillId="15" borderId="6" applyAlignment="1" pivotButton="0" quotePrefix="0" xfId="0">
      <alignment horizontal="center" vertical="center"/>
    </xf>
    <xf numFmtId="4" fontId="6" fillId="15" borderId="6" applyAlignment="1" pivotButton="0" quotePrefix="0" xfId="0">
      <alignment horizontal="center" vertical="center"/>
    </xf>
    <xf numFmtId="164" fontId="6" fillId="15" borderId="6" applyAlignment="1" pivotButton="0" quotePrefix="0" xfId="0">
      <alignment horizontal="center" vertical="center"/>
    </xf>
    <xf numFmtId="2" fontId="6" fillId="15" borderId="6" applyAlignment="1" pivotButton="0" quotePrefix="0" xfId="0">
      <alignment horizontal="center" vertical="center"/>
    </xf>
    <xf numFmtId="165" fontId="6" fillId="15" borderId="6" applyAlignment="1" pivotButton="0" quotePrefix="0" xfId="0">
      <alignment horizontal="center" vertical="center"/>
    </xf>
    <xf numFmtId="49" fontId="6" fillId="16" borderId="6" applyAlignment="1" pivotButton="0" quotePrefix="0" xfId="0">
      <alignment horizontal="left" vertical="center"/>
    </xf>
    <xf numFmtId="49" fontId="6" fillId="16" borderId="6" applyAlignment="1" pivotButton="0" quotePrefix="0" xfId="0">
      <alignment horizontal="left" vertical="center" wrapText="1"/>
    </xf>
    <xf numFmtId="1" fontId="6" fillId="16" borderId="6" applyAlignment="1" pivotButton="0" quotePrefix="0" xfId="0">
      <alignment horizontal="center" vertical="center"/>
    </xf>
    <xf numFmtId="4" fontId="6" fillId="16" borderId="6" applyAlignment="1" pivotButton="0" quotePrefix="0" xfId="0">
      <alignment horizontal="center" vertical="center"/>
    </xf>
    <xf numFmtId="164" fontId="6" fillId="16" borderId="6" applyAlignment="1" pivotButton="0" quotePrefix="0" xfId="0">
      <alignment horizontal="center" vertical="center"/>
    </xf>
    <xf numFmtId="2" fontId="6" fillId="16" borderId="6" applyAlignment="1" pivotButton="0" quotePrefix="0" xfId="0">
      <alignment horizontal="center" vertical="center"/>
    </xf>
    <xf numFmtId="165" fontId="6" fillId="16" borderId="6" applyAlignment="1" pivotButton="0" quotePrefix="0" xfId="0">
      <alignment horizontal="center" vertical="center"/>
    </xf>
    <xf numFmtId="49" fontId="7" fillId="15" borderId="6" applyAlignment="1" pivotButton="0" quotePrefix="0" xfId="0">
      <alignment horizontal="left" vertical="center"/>
    </xf>
    <xf numFmtId="49" fontId="7" fillId="16" borderId="6" applyAlignment="1" pivotButton="0" quotePrefix="0" xfId="0">
      <alignment horizontal="left" vertical="center"/>
    </xf>
    <xf numFmtId="0" fontId="8" fillId="2" borderId="0" applyAlignment="1" pivotButton="0" quotePrefix="0" xfId="0">
      <alignment horizontal="left" vertical="center" indent="1"/>
    </xf>
    <xf numFmtId="0" fontId="0" fillId="2" borderId="0" pivotButton="0" quotePrefix="0" xfId="0"/>
    <xf numFmtId="0" fontId="1" fillId="4" borderId="1" applyAlignment="1" pivotButton="0" quotePrefix="0" xfId="0">
      <alignment horizontal="left" vertical="center" indent="1"/>
    </xf>
    <xf numFmtId="0" fontId="3" fillId="4" borderId="6" applyAlignment="1" pivotButton="0" quotePrefix="0" xfId="0">
      <alignment horizontal="center" vertical="center" wrapText="1"/>
    </xf>
    <xf numFmtId="0" fontId="9" fillId="14" borderId="6" applyAlignment="1" pivotButton="0" quotePrefix="0" xfId="0">
      <alignment horizontal="left" vertical="center" indent="1"/>
    </xf>
    <xf numFmtId="0" fontId="9" fillId="13" borderId="6" applyAlignment="1" pivotButton="0" quotePrefix="0" xfId="0">
      <alignment horizontal="left" vertical="center" indent="1"/>
    </xf>
    <xf numFmtId="0" fontId="10" fillId="0" borderId="0" pivotButton="0" quotePrefix="0" xfId="0"/>
    <xf numFmtId="0" fontId="1" fillId="5" borderId="1" applyAlignment="1" pivotButton="0" quotePrefix="0" xfId="0">
      <alignment horizontal="left" vertical="center" indent="1"/>
    </xf>
    <xf numFmtId="0" fontId="3" fillId="5" borderId="6" applyAlignment="1" pivotButton="0" quotePrefix="0" xfId="0">
      <alignment horizontal="center" vertical="center" wrapText="1"/>
    </xf>
    <xf numFmtId="49" fontId="9" fillId="14" borderId="6" applyAlignment="1" pivotButton="0" quotePrefix="0" xfId="0">
      <alignment horizontal="left" vertical="center" indent="1"/>
    </xf>
    <xf numFmtId="1" fontId="9" fillId="14" borderId="6" applyAlignment="1" pivotButton="0" quotePrefix="0" xfId="0">
      <alignment horizontal="left" vertical="center" indent="1"/>
    </xf>
    <xf numFmtId="1" fontId="9" fillId="14" borderId="6" applyAlignment="1" pivotButton="0" quotePrefix="0" xfId="0">
      <alignment horizontal="right" vertical="center"/>
    </xf>
    <xf numFmtId="49" fontId="9" fillId="13" borderId="6" applyAlignment="1" pivotButton="0" quotePrefix="0" xfId="0">
      <alignment horizontal="left" vertical="center" indent="1"/>
    </xf>
    <xf numFmtId="1" fontId="9" fillId="13" borderId="6" applyAlignment="1" pivotButton="0" quotePrefix="0" xfId="0">
      <alignment horizontal="left" vertical="center" indent="1"/>
    </xf>
    <xf numFmtId="1" fontId="9" fillId="13" borderId="6" applyAlignment="1" pivotButton="0" quotePrefix="0" xfId="0">
      <alignment horizontal="right" vertical="center"/>
    </xf>
    <xf numFmtId="49" fontId="3" fillId="2" borderId="6" applyAlignment="1" pivotButton="0" quotePrefix="0" xfId="0">
      <alignment horizontal="left" vertical="center"/>
    </xf>
    <xf numFmtId="1" fontId="3" fillId="2" borderId="6" applyAlignment="1" pivotButton="0" quotePrefix="0" xfId="0">
      <alignment horizontal="right" vertical="center"/>
    </xf>
    <xf numFmtId="0" fontId="1" fillId="8" borderId="1" applyAlignment="1" pivotButton="0" quotePrefix="0" xfId="0">
      <alignment horizontal="left" vertical="center" indent="1"/>
    </xf>
    <xf numFmtId="0" fontId="3" fillId="8" borderId="6" applyAlignment="1" pivotButton="0" quotePrefix="0" xfId="0">
      <alignment horizontal="center" vertical="center" wrapText="1"/>
    </xf>
    <xf numFmtId="2" fontId="9" fillId="14" borderId="6" applyAlignment="1" pivotButton="0" quotePrefix="0" xfId="0">
      <alignment horizontal="left" vertical="center" indent="1"/>
    </xf>
    <xf numFmtId="2" fontId="9" fillId="14" borderId="6" applyAlignment="1" pivotButton="0" quotePrefix="0" xfId="0">
      <alignment horizontal="right" vertical="center"/>
    </xf>
    <xf numFmtId="2" fontId="9" fillId="13" borderId="6" applyAlignment="1" pivotButton="0" quotePrefix="0" xfId="0">
      <alignment horizontal="right" vertical="center"/>
    </xf>
    <xf numFmtId="164" fontId="9" fillId="13" borderId="6" applyAlignment="1" pivotButton="0" quotePrefix="0" xfId="0">
      <alignment horizontal="right" vertical="center"/>
    </xf>
    <xf numFmtId="4" fontId="9" fillId="13" borderId="6" applyAlignment="1" pivotButton="0" quotePrefix="0" xfId="0">
      <alignment horizontal="right" vertical="center"/>
    </xf>
    <xf numFmtId="0" fontId="9" fillId="13" borderId="6" applyAlignment="1" pivotButton="0" quotePrefix="0" xfId="0">
      <alignment horizontal="right" vertical="center"/>
    </xf>
    <xf numFmtId="164" fontId="9" fillId="14" borderId="6" applyAlignment="1" pivotButton="0" quotePrefix="0" xfId="0">
      <alignment horizontal="right" vertical="center"/>
    </xf>
    <xf numFmtId="4" fontId="9" fillId="14" borderId="6" applyAlignment="1" pivotButton="0" quotePrefix="0" xfId="0">
      <alignment horizontal="right" vertical="center"/>
    </xf>
    <xf numFmtId="0" fontId="9" fillId="14" borderId="6" applyAlignment="1" pivotButton="0" quotePrefix="0" xfId="0">
      <alignment horizontal="right" vertical="center"/>
    </xf>
    <xf numFmtId="0" fontId="1" fillId="7" borderId="1" applyAlignment="1" pivotButton="0" quotePrefix="0" xfId="0">
      <alignment horizontal="left" vertical="center" indent="1"/>
    </xf>
    <xf numFmtId="0" fontId="3" fillId="7" borderId="6" applyAlignment="1" pivotButton="0" quotePrefix="0" xfId="0">
      <alignment horizontal="center" vertical="center" wrapText="1"/>
    </xf>
    <xf numFmtId="0" fontId="1" fillId="10" borderId="1" applyAlignment="1" pivotButton="0" quotePrefix="0" xfId="0">
      <alignment horizontal="left" vertical="center" indent="1"/>
    </xf>
    <xf numFmtId="0" fontId="0" fillId="10" borderId="1" pivotButton="0" quotePrefix="0" xfId="0"/>
    <xf numFmtId="0" fontId="3" fillId="10" borderId="6" applyAlignment="1" pivotButton="0" quotePrefix="0" xfId="0">
      <alignment horizontal="center" vertical="center" wrapText="1"/>
    </xf>
    <xf numFmtId="0" fontId="1" fillId="2" borderId="1" applyAlignment="1" pivotButton="0" quotePrefix="0" xfId="0">
      <alignment horizontal="left" vertical="center" indent="1"/>
    </xf>
    <xf numFmtId="0" fontId="0" fillId="2" borderId="1" pivotButton="0" quotePrefix="0" xfId="0"/>
  </cellXfs>
  <cellStyles count="1">
    <cellStyle name="Normal" xfId="0" builtinId="0" hidden="0"/>
  </cellStyles>
  <dxfs count="5">
    <dxf>
      <font>
        <name val="Arial"/>
        <color rgb="00276221"/>
        <sz val="9"/>
      </font>
      <fill>
        <patternFill patternType="solid">
          <fgColor rgb="00C6EFCE"/>
        </patternFill>
      </fill>
    </dxf>
    <dxf>
      <font>
        <name val="Arial"/>
        <color rgb="009C0006"/>
        <sz val="9"/>
      </font>
      <fill>
        <patternFill patternType="solid">
          <fgColor rgb="00FCE4D6"/>
        </patternFill>
      </fill>
    </dxf>
    <dxf>
      <fill>
        <patternFill patternType="solid">
          <fgColor rgb="00FFF2CC"/>
        </patternFill>
      </fill>
    </dxf>
    <dxf>
      <fill>
        <patternFill patternType="solid">
          <fgColor rgb="00E2EFDA"/>
        </patternFill>
      </fill>
    </dxf>
    <dxf>
      <fill>
        <patternFill patternType="solid">
          <fgColor rgb="00DAEE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7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4" customWidth="1" min="3" max="3"/>
    <col width="22" customWidth="1" min="4" max="4"/>
    <col width="24" customWidth="1" min="5" max="5"/>
    <col width="10" customWidth="1" min="6" max="6"/>
    <col width="16" customWidth="1" min="7" max="7"/>
    <col width="14" customWidth="1" min="8" max="8"/>
    <col width="12" customWidth="1" min="9" max="9"/>
    <col width="14" customWidth="1" min="10" max="10"/>
    <col width="10" customWidth="1" min="11" max="11"/>
    <col width="10" customWidth="1" min="12" max="12"/>
    <col width="48" customWidth="1" min="13" max="13"/>
    <col width="12"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9" customWidth="1" min="30" max="30"/>
    <col width="9" customWidth="1" min="31" max="31"/>
    <col width="9" customWidth="1" min="32" max="32"/>
    <col width="9" customWidth="1" min="33" max="33"/>
    <col width="9" customWidth="1" min="34" max="34"/>
    <col width="11" customWidth="1" min="35" max="35"/>
    <col width="11" customWidth="1" min="36" max="36"/>
    <col width="11" customWidth="1" min="37" max="37"/>
    <col width="11" customWidth="1" min="38" max="38"/>
    <col width="10" customWidth="1" min="39" max="39"/>
    <col width="10"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9" customWidth="1" min="48" max="48"/>
    <col width="10" customWidth="1" min="49" max="49"/>
    <col width="9" customWidth="1" min="50" max="50"/>
    <col width="9" customWidth="1" min="51" max="51"/>
    <col width="9" customWidth="1" min="52" max="52"/>
    <col width="10" customWidth="1" min="53" max="53"/>
    <col width="10" customWidth="1" min="54" max="54"/>
    <col width="10" customWidth="1" min="55" max="55"/>
    <col width="10" customWidth="1" min="56" max="56"/>
    <col width="10" customWidth="1" min="57" max="57"/>
    <col width="11" customWidth="1" min="58" max="58"/>
    <col width="9" customWidth="1" min="59" max="59"/>
    <col width="8" customWidth="1" min="60" max="60"/>
    <col width="9" customWidth="1" min="61" max="61"/>
    <col width="10" customWidth="1" min="62" max="62"/>
    <col width="10" customWidth="1" min="63" max="63"/>
    <col width="55" customWidth="1" min="64" max="64"/>
    <col width="6" customWidth="1" min="65" max="65"/>
    <col width="12" customWidth="1" min="66" max="66"/>
    <col width="28" customWidth="1" min="67" max="67"/>
    <col width="45" customWidth="1" min="68" max="68"/>
    <col width="10" customWidth="1" min="69" max="69"/>
    <col width="12" customWidth="1" min="70" max="70"/>
    <col width="10" customWidth="1" min="71" max="71"/>
    <col width="11" customWidth="1" min="72" max="72"/>
    <col width="13" customWidth="1" min="73" max="73"/>
  </cols>
  <sheetData>
    <row r="1" ht="28" customHeight="1">
      <c r="A1" s="1" t="inlineStr">
        <is>
          <t>PUBLIC MUTUAL — FUND MASTER  |  Data: MFR April 2026  |  134 Qualified / 171 Total Funds</t>
        </is>
      </c>
    </row>
    <row r="2" ht="22" customHeight="1">
      <c r="A2" s="2" t="inlineStr">
        <is>
          <t>FUND DETAILS</t>
        </is>
      </c>
      <c r="B2" s="3" t="n"/>
      <c r="C2" s="3" t="n"/>
      <c r="D2" s="3" t="n"/>
      <c r="E2" s="3" t="n"/>
      <c r="F2" s="3" t="n"/>
      <c r="G2" s="3" t="n"/>
      <c r="H2" s="3" t="n"/>
      <c r="I2" s="3" t="n"/>
      <c r="J2" s="4" t="inlineStr">
        <is>
          <t>SCREENING</t>
        </is>
      </c>
      <c r="K2" s="5" t="n"/>
      <c r="L2" s="5" t="n"/>
      <c r="M2" s="5" t="n"/>
      <c r="N2" s="5" t="n"/>
      <c r="O2" s="6" t="inlineStr">
        <is>
          <t>ANNUALISED RETURNS vs BENCHMARK (MFR FEB 2026)</t>
        </is>
      </c>
      <c r="P2" s="7" t="n"/>
      <c r="Q2" s="7" t="n"/>
      <c r="R2" s="7" t="n"/>
      <c r="S2" s="7" t="n"/>
      <c r="T2" s="7" t="n"/>
      <c r="U2" s="7" t="n"/>
      <c r="V2" s="7" t="n"/>
      <c r="W2" s="7" t="n"/>
      <c r="X2" s="7" t="n"/>
      <c r="Y2" s="7" t="n"/>
      <c r="Z2" s="7" t="n"/>
      <c r="AA2" s="7" t="n"/>
      <c r="AB2" s="7" t="n"/>
      <c r="AC2" s="7" t="n"/>
      <c r="AD2" s="8" t="inlineStr">
        <is>
          <t>ALPHA EFFICIENCY (Alpha / VF)</t>
        </is>
      </c>
      <c r="AE2" s="9" t="n"/>
      <c r="AF2" s="9" t="n"/>
      <c r="AG2" s="9" t="n"/>
      <c r="AH2" s="9" t="n"/>
      <c r="AI2" s="10" t="inlineStr">
        <is>
          <t>ASSET ALLOCATION (%)</t>
        </is>
      </c>
      <c r="AJ2" s="11" t="n"/>
      <c r="AK2" s="11" t="n"/>
      <c r="AL2" s="11" t="n"/>
      <c r="AM2" s="11" t="n"/>
      <c r="AN2" s="11" t="n"/>
      <c r="AO2" s="12" t="inlineStr">
        <is>
          <t>GEOGRAPHICAL BREAKDOWN (%)</t>
        </is>
      </c>
      <c r="AP2" s="13" t="n"/>
      <c r="AQ2" s="13" t="n"/>
      <c r="AR2" s="13" t="n"/>
      <c r="AS2" s="13" t="n"/>
      <c r="AT2" s="13" t="n"/>
      <c r="AU2" s="13" t="n"/>
      <c r="AV2" s="13" t="n"/>
      <c r="AW2" s="13" t="n"/>
      <c r="AX2" s="13" t="n"/>
      <c r="AY2" s="13" t="n"/>
      <c r="AZ2" s="13" t="n"/>
      <c r="BA2" s="14" t="inlineStr">
        <is>
          <t>SECTOR BREAKDOWN (%)</t>
        </is>
      </c>
      <c r="BB2" s="15" t="n"/>
      <c r="BC2" s="15" t="n"/>
      <c r="BD2" s="15" t="n"/>
      <c r="BE2" s="15" t="n"/>
      <c r="BF2" s="15" t="n"/>
      <c r="BG2" s="15" t="n"/>
      <c r="BH2" s="15" t="n"/>
      <c r="BI2" s="15" t="n"/>
      <c r="BJ2" s="15" t="n"/>
      <c r="BK2" s="15" t="n"/>
      <c r="BL2" s="16" t="inlineStr">
        <is>
          <t>TOP 5</t>
        </is>
      </c>
      <c r="BM2" s="17" t="inlineStr">
        <is>
          <t>META</t>
        </is>
      </c>
      <c r="BN2" s="18" t="n"/>
      <c r="BO2" s="18" t="n"/>
      <c r="BP2" s="18" t="n"/>
      <c r="BQ2" s="19" t="inlineStr">
        <is>
          <t>ATH MOMENTUM</t>
        </is>
      </c>
      <c r="BR2" s="20" t="n"/>
      <c r="BS2" s="20" t="n"/>
      <c r="BT2" s="20" t="n"/>
      <c r="BU2" s="20" t="n"/>
    </row>
    <row r="3" ht="36" customHeight="1">
      <c r="A3" s="21" t="inlineStr">
        <is>
          <t>Fund Name</t>
        </is>
      </c>
      <c r="B3" s="21" t="inlineStr">
        <is>
          <t>Abbr</t>
        </is>
      </c>
      <c r="C3" s="21" t="inlineStr">
        <is>
          <t>Shariah-compliant</t>
        </is>
      </c>
      <c r="D3" s="21" t="inlineStr">
        <is>
          <t>Fund Type</t>
        </is>
      </c>
      <c r="E3" s="21" t="inlineStr">
        <is>
          <t>Objective</t>
        </is>
      </c>
      <c r="F3" s="21" t="inlineStr">
        <is>
          <t>Risk Level</t>
        </is>
      </c>
      <c r="G3" s="21" t="inlineStr">
        <is>
          <t>Distribution</t>
        </is>
      </c>
      <c r="H3" s="21" t="inlineStr">
        <is>
          <t>Size (RM M)</t>
        </is>
      </c>
      <c r="I3" s="21" t="inlineStr">
        <is>
          <t>Launch</t>
        </is>
      </c>
      <c r="J3" s="21" t="inlineStr">
        <is>
          <t>Status</t>
        </is>
      </c>
      <c r="K3" s="21" t="inlineStr">
        <is>
          <t>Beat (%)</t>
        </is>
      </c>
      <c r="L3" s="21" t="inlineStr">
        <is>
          <t>Periods</t>
        </is>
      </c>
      <c r="M3" s="21" t="inlineStr">
        <is>
          <t>Rationale</t>
        </is>
      </c>
      <c r="N3" s="21" t="inlineStr">
        <is>
          <t>Wtd Alpha (%)</t>
        </is>
      </c>
      <c r="O3" s="21" t="inlineStr">
        <is>
          <t>YTD Fund (%)</t>
        </is>
      </c>
      <c r="P3" s="21" t="inlineStr">
        <is>
          <t>YTD Bench (%)</t>
        </is>
      </c>
      <c r="Q3" s="21" t="inlineStr">
        <is>
          <t>YTD Alpha (%)</t>
        </is>
      </c>
      <c r="R3" s="21" t="inlineStr">
        <is>
          <t>1Y Fund (%)</t>
        </is>
      </c>
      <c r="S3" s="21" t="inlineStr">
        <is>
          <t>1Y Bench (%)</t>
        </is>
      </c>
      <c r="T3" s="21" t="inlineStr">
        <is>
          <t>1Y Alpha (%)</t>
        </is>
      </c>
      <c r="U3" s="21" t="inlineStr">
        <is>
          <t>3Y Fund (%)</t>
        </is>
      </c>
      <c r="V3" s="21" t="inlineStr">
        <is>
          <t>3Y Bench (%)</t>
        </is>
      </c>
      <c r="W3" s="21" t="inlineStr">
        <is>
          <t>3Y Alpha (%)</t>
        </is>
      </c>
      <c r="X3" s="21" t="inlineStr">
        <is>
          <t>5Y Fund (%)</t>
        </is>
      </c>
      <c r="Y3" s="21" t="inlineStr">
        <is>
          <t>5Y Bench (%)</t>
        </is>
      </c>
      <c r="Z3" s="21" t="inlineStr">
        <is>
          <t>5Y Alpha (%)</t>
        </is>
      </c>
      <c r="AA3" s="21" t="inlineStr">
        <is>
          <t>10Y Fund (%)</t>
        </is>
      </c>
      <c r="AB3" s="21" t="inlineStr">
        <is>
          <t>10Y Bench (%)</t>
        </is>
      </c>
      <c r="AC3" s="21" t="inlineStr">
        <is>
          <t>10Y Alpha (%)</t>
        </is>
      </c>
      <c r="AD3" s="21" t="inlineStr">
        <is>
          <t>AE YTD</t>
        </is>
      </c>
      <c r="AE3" s="21" t="inlineStr">
        <is>
          <t>AE 1Y</t>
        </is>
      </c>
      <c r="AF3" s="21" t="inlineStr">
        <is>
          <t>AE 3Y</t>
        </is>
      </c>
      <c r="AG3" s="21" t="inlineStr">
        <is>
          <t>AE 5Y</t>
        </is>
      </c>
      <c r="AH3" s="21" t="inlineStr">
        <is>
          <t>AE 10Y</t>
        </is>
      </c>
      <c r="AI3" s="21" t="inlineStr">
        <is>
          <t>Dom. Equity (%)</t>
        </is>
      </c>
      <c r="AJ3" s="21" t="inlineStr">
        <is>
          <t>For. Equity (%)</t>
        </is>
      </c>
      <c r="AK3" s="21" t="inlineStr">
        <is>
          <t>FI / Sukuk (%)</t>
        </is>
      </c>
      <c r="AL3" s="21" t="inlineStr">
        <is>
          <t>Money Mkt (%)</t>
        </is>
      </c>
      <c r="AM3" s="21" t="inlineStr">
        <is>
          <t>Deposits (%)</t>
        </is>
      </c>
      <c r="AN3" s="21" t="inlineStr">
        <is>
          <t>Alloc Other (%)</t>
        </is>
      </c>
      <c r="AO3" s="21" t="inlineStr">
        <is>
          <t>USA (%)</t>
        </is>
      </c>
      <c r="AP3" s="21" t="inlineStr">
        <is>
          <t>Taiwan (%)</t>
        </is>
      </c>
      <c r="AQ3" s="21" t="inlineStr">
        <is>
          <t>Korea (%)</t>
        </is>
      </c>
      <c r="AR3" s="21" t="inlineStr">
        <is>
          <t>Japan (%)</t>
        </is>
      </c>
      <c r="AS3" s="21" t="inlineStr">
        <is>
          <t>France (%)</t>
        </is>
      </c>
      <c r="AT3" s="21" t="inlineStr">
        <is>
          <t>Germany (%)</t>
        </is>
      </c>
      <c r="AU3" s="21" t="inlineStr">
        <is>
          <t>China (%)</t>
        </is>
      </c>
      <c r="AV3" s="21" t="inlineStr">
        <is>
          <t>Singapore (%)</t>
        </is>
      </c>
      <c r="AW3" s="21" t="inlineStr">
        <is>
          <t>Netherlands (%)</t>
        </is>
      </c>
      <c r="AX3" s="21" t="inlineStr">
        <is>
          <t>Indonesia (%)</t>
        </is>
      </c>
      <c r="AY3" s="21" t="inlineStr">
        <is>
          <t>Australia (%)</t>
        </is>
      </c>
      <c r="AZ3" s="21" t="inlineStr">
        <is>
          <t>Geo Other (%)</t>
        </is>
      </c>
      <c r="BA3" s="21" t="inlineStr">
        <is>
          <t>Industrial (%)</t>
        </is>
      </c>
      <c r="BB3" s="21" t="inlineStr">
        <is>
          <t>Technology (%)</t>
        </is>
      </c>
      <c r="BC3" s="21" t="inlineStr">
        <is>
          <t>Financial (%)</t>
        </is>
      </c>
      <c r="BD3" s="21" t="inlineStr">
        <is>
          <t>Comms (%)</t>
        </is>
      </c>
      <c r="BE3" s="21" t="inlineStr">
        <is>
          <t>Cons. Disc. (%)</t>
        </is>
      </c>
      <c r="BF3" s="21" t="inlineStr">
        <is>
          <t>Cons. Staples (%)</t>
        </is>
      </c>
      <c r="BG3" s="21" t="inlineStr">
        <is>
          <t>Utilities (%)</t>
        </is>
      </c>
      <c r="BH3" s="21" t="inlineStr">
        <is>
          <t>Energy (%)</t>
        </is>
      </c>
      <c r="BI3" s="21" t="inlineStr">
        <is>
          <t>Materials (%)</t>
        </is>
      </c>
      <c r="BJ3" s="21" t="inlineStr">
        <is>
          <t>Real Estate (%)</t>
        </is>
      </c>
      <c r="BK3" s="21" t="inlineStr">
        <is>
          <t>Sector Other (%)</t>
        </is>
      </c>
      <c r="BL3" s="21" t="inlineStr">
        <is>
          <t>Top 5 Holdings</t>
        </is>
      </c>
      <c r="BM3" s="21" t="inlineStr">
        <is>
          <t>VF</t>
        </is>
      </c>
      <c r="BN3" s="21" t="inlineStr">
        <is>
          <t>VC</t>
        </is>
      </c>
      <c r="BO3" s="21" t="inlineStr">
        <is>
          <t>Lipper Class</t>
        </is>
      </c>
      <c r="BP3" s="21" t="inlineStr">
        <is>
          <t>Benchmark</t>
        </is>
      </c>
      <c r="BQ3" s="21" t="inlineStr">
        <is>
          <t>ATH NAV</t>
        </is>
      </c>
      <c r="BR3" s="21" t="inlineStr">
        <is>
          <t>ATH Date</t>
        </is>
      </c>
      <c r="BS3" s="21" t="inlineStr">
        <is>
          <t>Cur NAV</t>
        </is>
      </c>
      <c r="BT3" s="21" t="inlineStr">
        <is>
          <t>Drawdown (%)</t>
        </is>
      </c>
      <c r="BU3" s="21" t="inlineStr">
        <is>
          <t>Days from ATH</t>
        </is>
      </c>
    </row>
    <row r="4" ht="16" customHeight="1">
      <c r="A4" s="22" t="inlineStr">
        <is>
          <t>PUBLIC ASIA PACIFIC FOCUS FUND</t>
        </is>
      </c>
      <c r="B4" s="22" t="inlineStr">
        <is>
          <t>PAPFF</t>
        </is>
      </c>
      <c r="C4" s="22" t="inlineStr">
        <is>
          <t>Conventional</t>
        </is>
      </c>
      <c r="D4" s="22" t="inlineStr">
        <is>
          <t>Equity</t>
        </is>
      </c>
      <c r="E4" s="23" t="inlineStr">
        <is>
          <t>Capital Growth</t>
        </is>
      </c>
      <c r="F4" s="24" t="n">
        <v>5</v>
      </c>
      <c r="G4" s="23" t="inlineStr">
        <is>
          <t>Incidental</t>
        </is>
      </c>
      <c r="H4" s="25" t="n">
        <v>132.41</v>
      </c>
      <c r="I4" s="22" t="inlineStr">
        <is>
          <t>30.11.2021</t>
        </is>
      </c>
      <c r="J4" s="22" t="inlineStr">
        <is>
          <t>Qualified</t>
        </is>
      </c>
      <c r="K4" s="26" t="n">
        <v>100</v>
      </c>
      <c r="L4" s="22" t="inlineStr">
        <is>
          <t>3/3</t>
        </is>
      </c>
      <c r="M4" s="23" t="inlineStr">
        <is>
          <t>Qualified (WA: +19.55%) — YTD✔ 1Y✔ 3Y✔</t>
        </is>
      </c>
      <c r="N4" s="27" t="n">
        <v>19.55</v>
      </c>
      <c r="O4" s="27" t="n">
        <v>33.32</v>
      </c>
      <c r="P4" s="27" t="n">
        <v>12.92</v>
      </c>
      <c r="Q4" s="27" t="n">
        <v>20.4</v>
      </c>
      <c r="R4" s="27" t="n">
        <v>84.84</v>
      </c>
      <c r="S4" s="27" t="n">
        <v>39.58</v>
      </c>
      <c r="T4" s="27" t="n">
        <v>45.26</v>
      </c>
      <c r="U4" s="27" t="n">
        <v>27.63</v>
      </c>
      <c r="V4" s="27" t="n">
        <v>17.82</v>
      </c>
      <c r="W4" s="27" t="n">
        <v>9.81</v>
      </c>
      <c r="X4" s="27" t="n"/>
      <c r="Y4" s="27" t="n"/>
      <c r="Z4" s="27" t="n"/>
      <c r="AA4" s="27" t="n"/>
      <c r="AB4" s="27" t="n"/>
      <c r="AC4" s="27" t="n"/>
      <c r="AD4" s="27">
        <f>IF(OR(Q4="",BM4="",BM4=0),"",Q4/BM4)</f>
        <v/>
      </c>
      <c r="AE4" s="27">
        <f>IF(OR(T4="",BM4="",BM4=0),"",T4/BM4)</f>
        <v/>
      </c>
      <c r="AF4" s="27">
        <f>IF(OR(W4="",BM4="",BM4=0),"",W4/BM4)</f>
        <v/>
      </c>
      <c r="AG4" s="27">
        <f>IF(OR(Z4="",BM4="",BM4=0),"",Z4/BM4)</f>
        <v/>
      </c>
      <c r="AH4" s="27">
        <f>IF(OR(AC4="",BM4="",BM4=0),"",AC4/BM4)</f>
        <v/>
      </c>
      <c r="AI4" s="26" t="n">
        <v>0.8</v>
      </c>
      <c r="AJ4" s="26" t="n">
        <v>92.3</v>
      </c>
      <c r="AK4" s="26" t="n"/>
      <c r="AL4" s="26" t="n">
        <v>6.9</v>
      </c>
      <c r="AM4" s="26" t="n"/>
      <c r="AN4" s="26" t="n"/>
      <c r="AO4" s="26" t="n">
        <v>10.2</v>
      </c>
      <c r="AP4" s="26" t="n">
        <v>32.6</v>
      </c>
      <c r="AQ4" s="26" t="n">
        <v>34.6</v>
      </c>
      <c r="AR4" s="26" t="n">
        <v>7.7</v>
      </c>
      <c r="AS4" s="26" t="n"/>
      <c r="AT4" s="26" t="n"/>
      <c r="AU4" s="26" t="n">
        <v>7.2</v>
      </c>
      <c r="AV4" s="26" t="n"/>
      <c r="AW4" s="26" t="n"/>
      <c r="AX4" s="26" t="n"/>
      <c r="AY4" s="26" t="n"/>
      <c r="AZ4" s="26" t="n"/>
      <c r="BA4" s="26" t="n">
        <v>24.4</v>
      </c>
      <c r="BB4" s="26" t="n">
        <v>52</v>
      </c>
      <c r="BC4" s="26" t="n">
        <v>2</v>
      </c>
      <c r="BD4" s="26" t="n">
        <v>14.7</v>
      </c>
      <c r="BE4" s="26" t="n"/>
      <c r="BF4" s="26" t="n"/>
      <c r="BG4" s="26" t="n"/>
      <c r="BH4" s="26" t="n"/>
      <c r="BI4" s="26" t="n"/>
      <c r="BJ4" s="26" t="n"/>
      <c r="BK4" s="26" t="n"/>
      <c r="BL4" s="23" t="inlineStr">
        <is>
          <t>SK Hynix Incorporated | Taiwan Semiconductor Manufacturing Company Limited | Samsung Electronics Company Limited | HD Hyundai Electric Company Limited | Hanwha Aerospace Company Limited</t>
        </is>
      </c>
      <c r="BM4" s="26" t="n">
        <v>20.2</v>
      </c>
      <c r="BN4" s="22" t="inlineStr">
        <is>
          <t>Very High</t>
        </is>
      </c>
      <c r="BO4" s="23" t="inlineStr">
        <is>
          <t>Equity Asia Pacific Asia</t>
        </is>
      </c>
      <c r="BP4" s="23" t="inlineStr">
        <is>
          <t>ThebenchmarkforPAPFFisacompositeof80%customisedindexbyS&amp;PDow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Q4" s="28" t="n">
        <v>0.475</v>
      </c>
      <c r="BR4" s="22" t="inlineStr">
        <is>
          <t>2026-06-04</t>
        </is>
      </c>
      <c r="BS4" s="28" t="n">
        <v>0.46</v>
      </c>
      <c r="BT4" s="27" t="n">
        <v>-3.16</v>
      </c>
      <c r="BU4" s="24" t="n">
        <v>11</v>
      </c>
    </row>
    <row r="5" ht="16" customHeight="1">
      <c r="A5" s="29" t="inlineStr">
        <is>
          <t>PUBLIC CHINA SELECT FUND</t>
        </is>
      </c>
      <c r="B5" s="29" t="inlineStr">
        <is>
          <t>PCSF</t>
        </is>
      </c>
      <c r="C5" s="29" t="inlineStr">
        <is>
          <t>Conventional</t>
        </is>
      </c>
      <c r="D5" s="29" t="inlineStr">
        <is>
          <t>Equity</t>
        </is>
      </c>
      <c r="E5" s="30" t="inlineStr">
        <is>
          <t>Capital Growth</t>
        </is>
      </c>
      <c r="F5" s="31" t="n">
        <v>5</v>
      </c>
      <c r="G5" s="30" t="inlineStr">
        <is>
          <t>Incidental</t>
        </is>
      </c>
      <c r="H5" s="32" t="n">
        <v>1054.97</v>
      </c>
      <c r="I5" s="29" t="inlineStr">
        <is>
          <t>05.06.2007</t>
        </is>
      </c>
      <c r="J5" s="29" t="inlineStr">
        <is>
          <t>Qualified</t>
        </is>
      </c>
      <c r="K5" s="33" t="n">
        <v>100</v>
      </c>
      <c r="L5" s="29" t="inlineStr">
        <is>
          <t>5/5</t>
        </is>
      </c>
      <c r="M5" s="30" t="inlineStr">
        <is>
          <t>Qualified (WA: +18.36%) — YTD✔ 1Y✔ 3Y✔ 5Y✔ 10Y✔</t>
        </is>
      </c>
      <c r="N5" s="34" t="n">
        <v>18.36</v>
      </c>
      <c r="O5" s="34" t="n">
        <v>28.22</v>
      </c>
      <c r="P5" s="34" t="n">
        <v>7.04</v>
      </c>
      <c r="Q5" s="34" t="n">
        <v>21.18</v>
      </c>
      <c r="R5" s="34" t="n">
        <v>83.16</v>
      </c>
      <c r="S5" s="34" t="n">
        <v>26.81</v>
      </c>
      <c r="T5" s="34" t="n">
        <v>56.35</v>
      </c>
      <c r="U5" s="34" t="n">
        <v>27.21</v>
      </c>
      <c r="V5" s="34" t="n">
        <v>12.44</v>
      </c>
      <c r="W5" s="34" t="n">
        <v>14.77</v>
      </c>
      <c r="X5" s="34" t="n">
        <v>8.99</v>
      </c>
      <c r="Y5" s="34" t="n">
        <v>-0.18</v>
      </c>
      <c r="Z5" s="34" t="n">
        <v>9.17</v>
      </c>
      <c r="AA5" s="34" t="n">
        <v>11.89</v>
      </c>
      <c r="AB5" s="34" t="n">
        <v>7.55</v>
      </c>
      <c r="AC5" s="34" t="n">
        <v>4.34</v>
      </c>
      <c r="AD5" s="34">
        <f>IF(OR(Q5="",BM5="",BM5=0),"",Q5/BM5)</f>
        <v/>
      </c>
      <c r="AE5" s="34">
        <f>IF(OR(T5="",BM5="",BM5=0),"",T5/BM5)</f>
        <v/>
      </c>
      <c r="AF5" s="34">
        <f>IF(OR(W5="",BM5="",BM5=0),"",W5/BM5)</f>
        <v/>
      </c>
      <c r="AG5" s="34">
        <f>IF(OR(Z5="",BM5="",BM5=0),"",Z5/BM5)</f>
        <v/>
      </c>
      <c r="AH5" s="34">
        <f>IF(OR(AC5="",BM5="",BM5=0),"",AC5/BM5)</f>
        <v/>
      </c>
      <c r="AI5" s="33" t="n"/>
      <c r="AJ5" s="33" t="n">
        <v>97.2</v>
      </c>
      <c r="AK5" s="33" t="n"/>
      <c r="AL5" s="33" t="n">
        <v>2.8</v>
      </c>
      <c r="AM5" s="33" t="n"/>
      <c r="AN5" s="33" t="n"/>
      <c r="AO5" s="33" t="n">
        <v>18.8</v>
      </c>
      <c r="AP5" s="33" t="n">
        <v>58.3</v>
      </c>
      <c r="AQ5" s="33" t="n"/>
      <c r="AR5" s="33" t="n"/>
      <c r="AS5" s="33" t="n"/>
      <c r="AT5" s="33" t="n"/>
      <c r="AU5" s="33" t="n">
        <v>20.1</v>
      </c>
      <c r="AV5" s="33" t="n"/>
      <c r="AW5" s="33" t="n"/>
      <c r="AX5" s="33" t="n"/>
      <c r="AY5" s="33" t="n"/>
      <c r="AZ5" s="33" t="n"/>
      <c r="BA5" s="33" t="n">
        <v>25.9</v>
      </c>
      <c r="BB5" s="33" t="n">
        <v>34.8</v>
      </c>
      <c r="BC5" s="33" t="n"/>
      <c r="BD5" s="33" t="n">
        <v>28.8</v>
      </c>
      <c r="BE5" s="33" t="n">
        <v>7.7</v>
      </c>
      <c r="BF5" s="33" t="n"/>
      <c r="BG5" s="33" t="n"/>
      <c r="BH5" s="33" t="n"/>
      <c r="BI5" s="33" t="n"/>
      <c r="BJ5" s="33" t="n"/>
      <c r="BK5" s="33" t="n"/>
      <c r="BL5" s="30" t="inlineStr">
        <is>
          <t>Elite Material Company Limited | Asia Vital Components Company Limited | Jentech Precision Industrial Company Limited | Taiwan Semiconductor Manufacturing Company Limited | Alphabet Incorporated - Class A</t>
        </is>
      </c>
      <c r="BM5" s="33" t="n">
        <v>16.2</v>
      </c>
      <c r="BN5" s="29" t="inlineStr">
        <is>
          <t>Very High</t>
        </is>
      </c>
      <c r="BO5" s="30" t="inlineStr">
        <is>
          <t>Equity Greater China Greater China</t>
        </is>
      </c>
      <c r="BP5" s="30" t="n"/>
      <c r="BQ5" s="35" t="n">
        <v>0.6555</v>
      </c>
      <c r="BR5" s="29" t="inlineStr">
        <is>
          <t>2026-06-03</t>
        </is>
      </c>
      <c r="BS5" s="35" t="n">
        <v>0.6216</v>
      </c>
      <c r="BT5" s="34" t="n">
        <v>-5.17</v>
      </c>
      <c r="BU5" s="31" t="n">
        <v>12</v>
      </c>
    </row>
    <row r="6" ht="16" customHeight="1">
      <c r="A6" s="36" t="inlineStr">
        <is>
          <t>PUBLIC CHINA ITTIKAL FUND</t>
        </is>
      </c>
      <c r="B6" s="36" t="inlineStr">
        <is>
          <t>PCIF</t>
        </is>
      </c>
      <c r="C6" s="36" t="inlineStr">
        <is>
          <t>Shariah</t>
        </is>
      </c>
      <c r="D6" s="36" t="inlineStr">
        <is>
          <t>Equity</t>
        </is>
      </c>
      <c r="E6" s="23" t="inlineStr">
        <is>
          <t>Capital Growth</t>
        </is>
      </c>
      <c r="F6" s="24" t="n">
        <v>5</v>
      </c>
      <c r="G6" s="23" t="inlineStr">
        <is>
          <t>Incidental</t>
        </is>
      </c>
      <c r="H6" s="25" t="n">
        <v>923.46</v>
      </c>
      <c r="I6" s="22" t="inlineStr">
        <is>
          <t>20.11.2007</t>
        </is>
      </c>
      <c r="J6" s="22" t="inlineStr">
        <is>
          <t>Qualified</t>
        </is>
      </c>
      <c r="K6" s="26" t="n">
        <v>100</v>
      </c>
      <c r="L6" s="22" t="inlineStr">
        <is>
          <t>5/5</t>
        </is>
      </c>
      <c r="M6" s="23" t="inlineStr">
        <is>
          <t>Qualified (WA: +14.74%) — YTD✔ 1Y✔ 3Y✔ 5Y✔ 10Y✔</t>
        </is>
      </c>
      <c r="N6" s="27" t="n">
        <v>14.74</v>
      </c>
      <c r="O6" s="27" t="n">
        <v>40.62</v>
      </c>
      <c r="P6" s="27" t="n">
        <v>7.79</v>
      </c>
      <c r="Q6" s="27" t="n">
        <v>32.83</v>
      </c>
      <c r="R6" s="27" t="n">
        <v>72.7</v>
      </c>
      <c r="S6" s="27" t="n">
        <v>23.44</v>
      </c>
      <c r="T6" s="27" t="n">
        <v>49.26</v>
      </c>
      <c r="U6" s="27" t="n">
        <v>24.34</v>
      </c>
      <c r="V6" s="27" t="n">
        <v>13.8</v>
      </c>
      <c r="W6" s="27" t="n">
        <v>10.54</v>
      </c>
      <c r="X6" s="27" t="n">
        <v>5.56</v>
      </c>
      <c r="Y6" s="27" t="n">
        <v>0.86</v>
      </c>
      <c r="Z6" s="27" t="n">
        <v>4.7</v>
      </c>
      <c r="AA6" s="27" t="n">
        <v>10.52</v>
      </c>
      <c r="AB6" s="27" t="n">
        <v>8.369999999999999</v>
      </c>
      <c r="AC6" s="27" t="n">
        <v>2.15</v>
      </c>
      <c r="AD6" s="27">
        <f>IF(OR(Q6="",BM6="",BM6=0),"",Q6/BM6)</f>
        <v/>
      </c>
      <c r="AE6" s="27">
        <f>IF(OR(T6="",BM6="",BM6=0),"",T6/BM6)</f>
        <v/>
      </c>
      <c r="AF6" s="27">
        <f>IF(OR(W6="",BM6="",BM6=0),"",W6/BM6)</f>
        <v/>
      </c>
      <c r="AG6" s="27">
        <f>IF(OR(Z6="",BM6="",BM6=0),"",Z6/BM6)</f>
        <v/>
      </c>
      <c r="AH6" s="27">
        <f>IF(OR(AC6="",BM6="",BM6=0),"",AC6/BM6)</f>
        <v/>
      </c>
      <c r="AI6" s="26" t="n"/>
      <c r="AJ6" s="26" t="n">
        <v>96</v>
      </c>
      <c r="AK6" s="26" t="n"/>
      <c r="AL6" s="26" t="n">
        <v>4</v>
      </c>
      <c r="AM6" s="26" t="n"/>
      <c r="AN6" s="26" t="n"/>
      <c r="AO6" s="26" t="n">
        <v>3.9</v>
      </c>
      <c r="AP6" s="26" t="n">
        <v>70</v>
      </c>
      <c r="AQ6" s="26" t="n">
        <v>3</v>
      </c>
      <c r="AR6" s="26" t="n"/>
      <c r="AS6" s="26" t="n"/>
      <c r="AT6" s="26" t="n"/>
      <c r="AU6" s="26" t="n">
        <v>19.1</v>
      </c>
      <c r="AV6" s="26" t="n"/>
      <c r="AW6" s="26" t="n"/>
      <c r="AX6" s="26" t="n"/>
      <c r="AY6" s="26" t="n"/>
      <c r="AZ6" s="26" t="n"/>
      <c r="BA6" s="26" t="n">
        <v>28.6</v>
      </c>
      <c r="BB6" s="26" t="n">
        <v>38.7</v>
      </c>
      <c r="BC6" s="26" t="n"/>
      <c r="BD6" s="26" t="n">
        <v>24.9</v>
      </c>
      <c r="BE6" s="26" t="n">
        <v>2.6</v>
      </c>
      <c r="BF6" s="26" t="n">
        <v>1.2</v>
      </c>
      <c r="BG6" s="26" t="n"/>
      <c r="BH6" s="26" t="n"/>
      <c r="BI6" s="26" t="n"/>
      <c r="BJ6" s="26" t="n"/>
      <c r="BK6" s="26" t="n"/>
      <c r="BL6" s="23" t="inlineStr">
        <is>
          <t>Unimicron Technology Corporation | Taiwan Semiconductor Manufacturing Company Limited | Asia Vital Components Company Limited | Delta Electronics Incorporated | Accton Technology Corporation</t>
        </is>
      </c>
      <c r="BM6" s="26" t="n">
        <v>15.5</v>
      </c>
      <c r="BN6" s="22" t="inlineStr">
        <is>
          <t>Very High</t>
        </is>
      </c>
      <c r="BO6" s="23" t="inlineStr">
        <is>
          <t>Equity Greater China Greater China</t>
        </is>
      </c>
      <c r="BP6" s="23" t="n"/>
      <c r="BQ6" s="28" t="n">
        <v>0.6841</v>
      </c>
      <c r="BR6" s="22" t="inlineStr">
        <is>
          <t>2026-06-03</t>
        </is>
      </c>
      <c r="BS6" s="28" t="n">
        <v>0.643</v>
      </c>
      <c r="BT6" s="27" t="n">
        <v>-6.01</v>
      </c>
      <c r="BU6" s="24" t="n">
        <v>12</v>
      </c>
    </row>
    <row r="7" ht="16" customHeight="1">
      <c r="A7" s="37" t="inlineStr">
        <is>
          <t>PUBLIC ISLAMIC REGIONAL ESG FUND</t>
        </is>
      </c>
      <c r="B7" s="37" t="inlineStr">
        <is>
          <t>PIRESGF</t>
        </is>
      </c>
      <c r="C7" s="37" t="inlineStr">
        <is>
          <t>Shariah</t>
        </is>
      </c>
      <c r="D7" s="37" t="inlineStr">
        <is>
          <t>Equity</t>
        </is>
      </c>
      <c r="E7" s="30" t="inlineStr">
        <is>
          <t>Capital Growth</t>
        </is>
      </c>
      <c r="F7" s="31" t="n">
        <v>5</v>
      </c>
      <c r="G7" s="30" t="inlineStr">
        <is>
          <t>Incidental</t>
        </is>
      </c>
      <c r="H7" s="32" t="n">
        <v>223.79</v>
      </c>
      <c r="I7" s="29" t="inlineStr">
        <is>
          <t>07.11.2023</t>
        </is>
      </c>
      <c r="J7" s="29" t="inlineStr">
        <is>
          <t>Qualified</t>
        </is>
      </c>
      <c r="K7" s="33" t="n">
        <v>100</v>
      </c>
      <c r="L7" s="29" t="inlineStr">
        <is>
          <t>2/2</t>
        </is>
      </c>
      <c r="M7" s="30" t="inlineStr">
        <is>
          <t>Qualified (WA: +14.22%) — YTD✔ 1Y✔</t>
        </is>
      </c>
      <c r="N7" s="34" t="n">
        <v>14.22</v>
      </c>
      <c r="O7" s="34" t="n">
        <v>30.44</v>
      </c>
      <c r="P7" s="34" t="n">
        <v>23.61</v>
      </c>
      <c r="Q7" s="34" t="n">
        <v>6.83</v>
      </c>
      <c r="R7" s="34" t="n">
        <v>76.56999999999999</v>
      </c>
      <c r="S7" s="34" t="n">
        <v>59.89</v>
      </c>
      <c r="T7" s="34" t="n">
        <v>16.68</v>
      </c>
      <c r="U7" s="34" t="n"/>
      <c r="V7" s="34" t="n"/>
      <c r="W7" s="34" t="n"/>
      <c r="X7" s="34" t="n"/>
      <c r="Y7" s="34" t="n"/>
      <c r="Z7" s="34" t="n"/>
      <c r="AA7" s="34" t="n"/>
      <c r="AB7" s="34" t="n"/>
      <c r="AC7" s="34" t="n"/>
      <c r="AD7" s="34">
        <f>IF(OR(Q7="",BM7="",BM7=0),"",Q7/BM7)</f>
        <v/>
      </c>
      <c r="AE7" s="34">
        <f>IF(OR(T7="",BM7="",BM7=0),"",T7/BM7)</f>
        <v/>
      </c>
      <c r="AF7" s="34">
        <f>IF(OR(W7="",BM7="",BM7=0),"",W7/BM7)</f>
        <v/>
      </c>
      <c r="AG7" s="34">
        <f>IF(OR(Z7="",BM7="",BM7=0),"",Z7/BM7)</f>
        <v/>
      </c>
      <c r="AH7" s="34">
        <f>IF(OR(AC7="",BM7="",BM7=0),"",AC7/BM7)</f>
        <v/>
      </c>
      <c r="AI7" s="33" t="n"/>
      <c r="AJ7" s="33" t="n">
        <v>87.3</v>
      </c>
      <c r="AK7" s="33" t="n"/>
      <c r="AL7" s="33" t="n">
        <v>12.7</v>
      </c>
      <c r="AM7" s="33" t="n"/>
      <c r="AN7" s="33" t="n"/>
      <c r="AO7" s="33" t="n">
        <v>7.8</v>
      </c>
      <c r="AP7" s="33" t="n">
        <v>28.3</v>
      </c>
      <c r="AQ7" s="33" t="n">
        <v>30.7</v>
      </c>
      <c r="AR7" s="33" t="n">
        <v>14.3</v>
      </c>
      <c r="AS7" s="33" t="n"/>
      <c r="AT7" s="33" t="n"/>
      <c r="AU7" s="33" t="n">
        <v>6.2</v>
      </c>
      <c r="AV7" s="33" t="n"/>
      <c r="AW7" s="33" t="n"/>
      <c r="AX7" s="33" t="n"/>
      <c r="AY7" s="33" t="n"/>
      <c r="AZ7" s="33" t="n"/>
      <c r="BA7" s="33" t="n">
        <v>25.6</v>
      </c>
      <c r="BB7" s="33" t="n">
        <v>39.7</v>
      </c>
      <c r="BC7" s="33" t="n"/>
      <c r="BD7" s="33" t="n">
        <v>18.3</v>
      </c>
      <c r="BE7" s="33" t="n">
        <v>3.7</v>
      </c>
      <c r="BF7" s="33" t="n"/>
      <c r="BG7" s="33" t="n"/>
      <c r="BH7" s="33" t="n"/>
      <c r="BI7" s="33" t="n"/>
      <c r="BJ7" s="33" t="n"/>
      <c r="BK7" s="33" t="n"/>
      <c r="BL7" s="30" t="inlineStr">
        <is>
          <t>SK Hynix Incorporated | HD Hyundai Electric Company Limited | Delta Electronics Incorporated | Taiwan Semiconductor Manufacturing Company Limited | Samsung Electronics Company Limited</t>
        </is>
      </c>
      <c r="BM7" s="33" t="n"/>
      <c r="BN7" s="29" t="n"/>
      <c r="BO7" s="30" t="n"/>
      <c r="BP7" s="30" t="inlineStr">
        <is>
          <t>ThebenchmarkforPIRESGFisacustomisedindexbyS&amp;PDowJonesIndices, LLCbasedonconstituentsoftheS&amp;PGlobalLargeMidCapESGShariahIndex comprisingJapan,China‘H’Shares,HongKong,Taiwan,SouthKorea,Malaysia, Singapore, Thailand, Indonesia &amp; Philippines. Underlying index data are sourced from S&amp;P Dow Jones Indices, LLC and expressed in Ringgit terms.</t>
        </is>
      </c>
      <c r="BQ7" s="35" t="n">
        <v>0.5179</v>
      </c>
      <c r="BR7" s="29" t="inlineStr">
        <is>
          <t>2026-06-04</t>
        </is>
      </c>
      <c r="BS7" s="35" t="n">
        <v>0.5049</v>
      </c>
      <c r="BT7" s="34" t="n">
        <v>-2.51</v>
      </c>
      <c r="BU7" s="31" t="n">
        <v>11</v>
      </c>
    </row>
    <row r="8" ht="16" customHeight="1">
      <c r="A8" s="22" t="inlineStr">
        <is>
          <t>PUBLIC REGIONAL SECTOR FUND</t>
        </is>
      </c>
      <c r="B8" s="22" t="inlineStr">
        <is>
          <t>PRSEC</t>
        </is>
      </c>
      <c r="C8" s="22" t="inlineStr">
        <is>
          <t>Conventional</t>
        </is>
      </c>
      <c r="D8" s="22" t="inlineStr">
        <is>
          <t>Equity</t>
        </is>
      </c>
      <c r="E8" s="23" t="inlineStr">
        <is>
          <t>Capital Growth</t>
        </is>
      </c>
      <c r="F8" s="24" t="n">
        <v>5</v>
      </c>
      <c r="G8" s="23" t="inlineStr">
        <is>
          <t>Incidental</t>
        </is>
      </c>
      <c r="H8" s="25" t="n">
        <v>653.11</v>
      </c>
      <c r="I8" s="22" t="inlineStr">
        <is>
          <t>21.03.2006</t>
        </is>
      </c>
      <c r="J8" s="22" t="inlineStr">
        <is>
          <t>Qualified</t>
        </is>
      </c>
      <c r="K8" s="26" t="n">
        <v>100</v>
      </c>
      <c r="L8" s="22" t="inlineStr">
        <is>
          <t>5/5</t>
        </is>
      </c>
      <c r="M8" s="23" t="inlineStr">
        <is>
          <t>Qualified (WA: +13.81%) — YTD✔ 1Y✔ 3Y✔ 5Y✔ 10Y✔</t>
        </is>
      </c>
      <c r="N8" s="27" t="n">
        <v>13.81</v>
      </c>
      <c r="O8" s="27" t="n">
        <v>35.22</v>
      </c>
      <c r="P8" s="27" t="n">
        <v>12.52</v>
      </c>
      <c r="Q8" s="27" t="n">
        <v>22.7</v>
      </c>
      <c r="R8" s="27" t="n">
        <v>80.56</v>
      </c>
      <c r="S8" s="27" t="n">
        <v>37.33</v>
      </c>
      <c r="T8" s="27" t="n">
        <v>43.23</v>
      </c>
      <c r="U8" s="27" t="n">
        <v>26.15</v>
      </c>
      <c r="V8" s="27" t="n">
        <v>14.67</v>
      </c>
      <c r="W8" s="27" t="n">
        <v>11.48</v>
      </c>
      <c r="X8" s="27" t="n">
        <v>7.27</v>
      </c>
      <c r="Y8" s="27" t="n">
        <v>2.35</v>
      </c>
      <c r="Z8" s="27" t="n">
        <v>4.92</v>
      </c>
      <c r="AA8" s="27" t="n">
        <v>9.859999999999999</v>
      </c>
      <c r="AB8" s="27" t="n">
        <v>7.38</v>
      </c>
      <c r="AC8" s="27" t="n">
        <v>2.48</v>
      </c>
      <c r="AD8" s="27">
        <f>IF(OR(Q8="",BM8="",BM8=0),"",Q8/BM8)</f>
        <v/>
      </c>
      <c r="AE8" s="27">
        <f>IF(OR(T8="",BM8="",BM8=0),"",T8/BM8)</f>
        <v/>
      </c>
      <c r="AF8" s="27">
        <f>IF(OR(W8="",BM8="",BM8=0),"",W8/BM8)</f>
        <v/>
      </c>
      <c r="AG8" s="27">
        <f>IF(OR(Z8="",BM8="",BM8=0),"",Z8/BM8)</f>
        <v/>
      </c>
      <c r="AH8" s="27">
        <f>IF(OR(AC8="",BM8="",BM8=0),"",AC8/BM8)</f>
        <v/>
      </c>
      <c r="AI8" s="26" t="n">
        <v>0.8</v>
      </c>
      <c r="AJ8" s="26" t="n">
        <v>92.40000000000001</v>
      </c>
      <c r="AK8" s="26" t="n"/>
      <c r="AL8" s="26" t="n">
        <v>6.8</v>
      </c>
      <c r="AM8" s="26" t="n"/>
      <c r="AN8" s="26" t="n"/>
      <c r="AO8" s="26" t="n"/>
      <c r="AP8" s="26" t="n">
        <v>36.1</v>
      </c>
      <c r="AQ8" s="26" t="n">
        <v>32.8</v>
      </c>
      <c r="AR8" s="26" t="n">
        <v>8.5</v>
      </c>
      <c r="AS8" s="26" t="n"/>
      <c r="AT8" s="26" t="n"/>
      <c r="AU8" s="26" t="n">
        <v>8.6</v>
      </c>
      <c r="AV8" s="26" t="n">
        <v>3</v>
      </c>
      <c r="AW8" s="26" t="n"/>
      <c r="AX8" s="26" t="n"/>
      <c r="AY8" s="26" t="n"/>
      <c r="AZ8" s="26" t="n"/>
      <c r="BA8" s="26" t="n">
        <v>20.9</v>
      </c>
      <c r="BB8" s="26" t="n">
        <v>51.1</v>
      </c>
      <c r="BC8" s="26" t="n">
        <v>7.7</v>
      </c>
      <c r="BD8" s="26" t="n">
        <v>13.5</v>
      </c>
      <c r="BE8" s="26" t="n"/>
      <c r="BF8" s="26" t="n"/>
      <c r="BG8" s="26" t="n"/>
      <c r="BH8" s="26" t="n"/>
      <c r="BI8" s="26" t="n"/>
      <c r="BJ8" s="26" t="n"/>
      <c r="BK8" s="26" t="n"/>
      <c r="BL8" s="23" t="inlineStr">
        <is>
          <t>Samsung Electronics Company Limited | Taiwan Semiconductor Manufacturing Company Limited | SK Hynix Incorporated | WinWay Technology Company Limited | HD Hyundai Electric Company Limited</t>
        </is>
      </c>
      <c r="BM8" s="26" t="n">
        <v>18.6</v>
      </c>
      <c r="BN8" s="22" t="inlineStr">
        <is>
          <t>Very High</t>
        </is>
      </c>
      <c r="BO8" s="23" t="inlineStr">
        <is>
          <t>Equity Asia Pacific Asia</t>
        </is>
      </c>
      <c r="BP8" s="23" t="n"/>
      <c r="BQ8" s="28" t="n">
        <v>0.4827</v>
      </c>
      <c r="BR8" s="22" t="inlineStr">
        <is>
          <t>2026-06-04</t>
        </is>
      </c>
      <c r="BS8" s="28" t="n">
        <v>0.4734</v>
      </c>
      <c r="BT8" s="27" t="n">
        <v>-1.93</v>
      </c>
      <c r="BU8" s="24" t="n">
        <v>11</v>
      </c>
    </row>
    <row r="9" ht="16" customHeight="1">
      <c r="A9" s="37" t="inlineStr">
        <is>
          <t>PUBLIC ASIA ITTIKAL FUND</t>
        </is>
      </c>
      <c r="B9" s="37" t="inlineStr">
        <is>
          <t>PAIF</t>
        </is>
      </c>
      <c r="C9" s="37" t="inlineStr">
        <is>
          <t>Shariah</t>
        </is>
      </c>
      <c r="D9" s="37" t="inlineStr">
        <is>
          <t>Equity</t>
        </is>
      </c>
      <c r="E9" s="30" t="inlineStr">
        <is>
          <t>Capital Growth</t>
        </is>
      </c>
      <c r="F9" s="31" t="n">
        <v>5</v>
      </c>
      <c r="G9" s="30" t="inlineStr">
        <is>
          <t>Incidental</t>
        </is>
      </c>
      <c r="H9" s="32" t="n">
        <v>5815.79</v>
      </c>
      <c r="I9" s="29" t="inlineStr">
        <is>
          <t>22.08.2006</t>
        </is>
      </c>
      <c r="J9" s="29" t="inlineStr">
        <is>
          <t>Qualified</t>
        </is>
      </c>
      <c r="K9" s="33" t="n">
        <v>100</v>
      </c>
      <c r="L9" s="29" t="inlineStr">
        <is>
          <t>5/5</t>
        </is>
      </c>
      <c r="M9" s="30" t="inlineStr">
        <is>
          <t>Qualified (WA: +13.70%) — YTD✔ 1Y✔ 3Y✔ 5Y✔ 10Y✔</t>
        </is>
      </c>
      <c r="N9" s="34" t="n">
        <v>13.7</v>
      </c>
      <c r="O9" s="34" t="n">
        <v>42.6</v>
      </c>
      <c r="P9" s="34" t="n">
        <v>23.97</v>
      </c>
      <c r="Q9" s="34" t="n">
        <v>18.63</v>
      </c>
      <c r="R9" s="34" t="n">
        <v>101.66</v>
      </c>
      <c r="S9" s="34" t="n">
        <v>53.9</v>
      </c>
      <c r="T9" s="34" t="n">
        <v>47.76</v>
      </c>
      <c r="U9" s="34" t="n">
        <v>27.66</v>
      </c>
      <c r="V9" s="34" t="n">
        <v>17.23</v>
      </c>
      <c r="W9" s="34" t="n">
        <v>10.43</v>
      </c>
      <c r="X9" s="34" t="n">
        <v>7.64</v>
      </c>
      <c r="Y9" s="34" t="n">
        <v>3.7</v>
      </c>
      <c r="Z9" s="34" t="n">
        <v>3.94</v>
      </c>
      <c r="AA9" s="34" t="n">
        <v>11.37</v>
      </c>
      <c r="AB9" s="34" t="n">
        <v>8.42</v>
      </c>
      <c r="AC9" s="34" t="n">
        <v>2.95</v>
      </c>
      <c r="AD9" s="34">
        <f>IF(OR(Q9="",BM9="",BM9=0),"",Q9/BM9)</f>
        <v/>
      </c>
      <c r="AE9" s="34">
        <f>IF(OR(T9="",BM9="",BM9=0),"",T9/BM9)</f>
        <v/>
      </c>
      <c r="AF9" s="34">
        <f>IF(OR(W9="",BM9="",BM9=0),"",W9/BM9)</f>
        <v/>
      </c>
      <c r="AG9" s="34">
        <f>IF(OR(Z9="",BM9="",BM9=0),"",Z9/BM9)</f>
        <v/>
      </c>
      <c r="AH9" s="34">
        <f>IF(OR(AC9="",BM9="",BM9=0),"",AC9/BM9)</f>
        <v/>
      </c>
      <c r="AI9" s="33" t="n"/>
      <c r="AJ9" s="33" t="n">
        <v>94.5</v>
      </c>
      <c r="AK9" s="33" t="n"/>
      <c r="AL9" s="33" t="n">
        <v>5.5</v>
      </c>
      <c r="AM9" s="33" t="n"/>
      <c r="AN9" s="33" t="n"/>
      <c r="AO9" s="33" t="n">
        <v>3.7</v>
      </c>
      <c r="AP9" s="33" t="n">
        <v>36.5</v>
      </c>
      <c r="AQ9" s="33" t="n">
        <v>37.6</v>
      </c>
      <c r="AR9" s="33" t="n">
        <v>10.7</v>
      </c>
      <c r="AS9" s="33" t="n"/>
      <c r="AT9" s="33" t="n"/>
      <c r="AU9" s="33" t="n">
        <v>6</v>
      </c>
      <c r="AV9" s="33" t="n"/>
      <c r="AW9" s="33" t="n"/>
      <c r="AX9" s="33" t="n"/>
      <c r="AY9" s="33" t="n"/>
      <c r="AZ9" s="33" t="n"/>
      <c r="BA9" s="33" t="n">
        <v>30.6</v>
      </c>
      <c r="BB9" s="33" t="n">
        <v>50.9</v>
      </c>
      <c r="BC9" s="33" t="n"/>
      <c r="BD9" s="33" t="n">
        <v>13</v>
      </c>
      <c r="BE9" s="33" t="n"/>
      <c r="BF9" s="33" t="n"/>
      <c r="BG9" s="33" t="n"/>
      <c r="BH9" s="33" t="n"/>
      <c r="BI9" s="33" t="n"/>
      <c r="BJ9" s="33" t="n"/>
      <c r="BK9" s="33" t="n"/>
      <c r="BL9" s="30" t="inlineStr">
        <is>
          <t>SK Hynix Incorporated | Samsung Electronics Company Limited | Taiwan Semiconductor Manufacturing Company Limited | Delta Electronics Incorporated | HD Hyundai Electric Company Limited</t>
        </is>
      </c>
      <c r="BM9" s="33" t="n">
        <v>21.6</v>
      </c>
      <c r="BN9" s="29" t="inlineStr">
        <is>
          <t>Very High</t>
        </is>
      </c>
      <c r="BO9" s="30" t="inlineStr">
        <is>
          <t>Equity Asia Pacific Asia</t>
        </is>
      </c>
      <c r="BP9" s="30" t="inlineStr">
        <is>
          <t>ThebenchmarkforPAIFisacompositeof30%KualaLumpurSyariahIndex(prior to 1 November 2007), 30% FTSE Bursa Malaysia EMAS Shariah Index (1 November 2007 to 29 April 2011), 30% FTSE Bursa Malaysia Hijrah Shariah Index (30April2011to29April2013),15%FTSEBursaMalaysiaHijrahShariahIndex (w.e.f. 30 April 2013), 15% customised indexbyS&amp;P Dow Jones Indices, LLC based on top 20 constituents bymarket capitalisation of the S&amp;P BMIShariah JapanIndex(w.e.f.30April2013)and70%DowJonesIslamicMarketAsiaEx- JapanIndexSM(priorto1January2009),70%S&amp;PShariahBMIAsiaEx-Japan Index (w.e.f. 1 January 2009). UnderlyingindexdataaresourcedfromS&amp;PDowJonesIndices,LLCandLipper and expressed in Ringgit terms.</t>
        </is>
      </c>
      <c r="BQ9" s="35" t="n">
        <v>0.865</v>
      </c>
      <c r="BR9" s="29" t="inlineStr">
        <is>
          <t>2026-06-04</t>
        </is>
      </c>
      <c r="BS9" s="35" t="n">
        <v>0.8362000000000001</v>
      </c>
      <c r="BT9" s="34" t="n">
        <v>-3.33</v>
      </c>
      <c r="BU9" s="31" t="n">
        <v>11</v>
      </c>
    </row>
    <row r="10" ht="16" customHeight="1">
      <c r="A10" s="36" t="inlineStr">
        <is>
          <t>PUBLIC ISLAMIC GLOBAL SUSTAINABLE GROWTH FUND</t>
        </is>
      </c>
      <c r="B10" s="36" t="inlineStr">
        <is>
          <t>PISGSGF</t>
        </is>
      </c>
      <c r="C10" s="36" t="inlineStr">
        <is>
          <t>Shariah</t>
        </is>
      </c>
      <c r="D10" s="36" t="inlineStr">
        <is>
          <t>Equity</t>
        </is>
      </c>
      <c r="E10" s="23" t="inlineStr">
        <is>
          <t>Capital Growth</t>
        </is>
      </c>
      <c r="F10" s="24" t="n">
        <v>5</v>
      </c>
      <c r="G10" s="23" t="inlineStr">
        <is>
          <t>Incidental</t>
        </is>
      </c>
      <c r="H10" s="25" t="n">
        <v>761.58</v>
      </c>
      <c r="I10" s="22" t="inlineStr">
        <is>
          <t>20.02.2024</t>
        </is>
      </c>
      <c r="J10" s="22" t="inlineStr">
        <is>
          <t>Qualified</t>
        </is>
      </c>
      <c r="K10" s="26" t="n">
        <v>100</v>
      </c>
      <c r="L10" s="22" t="inlineStr">
        <is>
          <t>2/2</t>
        </is>
      </c>
      <c r="M10" s="23" t="inlineStr">
        <is>
          <t>Qualified (WA: +12.62%) — YTD✔ 1Y✔</t>
        </is>
      </c>
      <c r="N10" s="27" t="n">
        <v>12.62</v>
      </c>
      <c r="O10" s="27" t="n">
        <v>7.02</v>
      </c>
      <c r="P10" s="27" t="n">
        <v>3.84</v>
      </c>
      <c r="Q10" s="27" t="n">
        <v>3.18</v>
      </c>
      <c r="R10" s="27" t="n">
        <v>38.2</v>
      </c>
      <c r="S10" s="27" t="n">
        <v>22.43</v>
      </c>
      <c r="T10" s="27" t="n">
        <v>15.77</v>
      </c>
      <c r="U10" s="27" t="n"/>
      <c r="V10" s="27" t="n"/>
      <c r="W10" s="27" t="n"/>
      <c r="X10" s="27" t="n"/>
      <c r="Y10" s="27" t="n"/>
      <c r="Z10" s="27" t="n"/>
      <c r="AA10" s="27" t="n"/>
      <c r="AB10" s="27" t="n"/>
      <c r="AC10" s="27" t="n"/>
      <c r="AD10" s="27">
        <f>IF(OR(Q10="",BM10="",BM10=0),"",Q10/BM10)</f>
        <v/>
      </c>
      <c r="AE10" s="27">
        <f>IF(OR(T10="",BM10="",BM10=0),"",T10/BM10)</f>
        <v/>
      </c>
      <c r="AF10" s="27">
        <f>IF(OR(W10="",BM10="",BM10=0),"",W10/BM10)</f>
        <v/>
      </c>
      <c r="AG10" s="27">
        <f>IF(OR(Z10="",BM10="",BM10=0),"",Z10/BM10)</f>
        <v/>
      </c>
      <c r="AH10" s="27">
        <f>IF(OR(AC10="",BM10="",BM10=0),"",AC10/BM10)</f>
        <v/>
      </c>
      <c r="AI10" s="26" t="n">
        <v>3.3</v>
      </c>
      <c r="AJ10" s="26" t="n">
        <v>87.40000000000001</v>
      </c>
      <c r="AK10" s="26" t="n"/>
      <c r="AL10" s="26" t="n">
        <v>9.300000000000001</v>
      </c>
      <c r="AM10" s="26" t="n"/>
      <c r="AN10" s="26" t="n"/>
      <c r="AO10" s="26" t="n">
        <v>63.5</v>
      </c>
      <c r="AP10" s="26" t="n">
        <v>10.1</v>
      </c>
      <c r="AQ10" s="26" t="n">
        <v>2.6</v>
      </c>
      <c r="AR10" s="26" t="n"/>
      <c r="AS10" s="26" t="n"/>
      <c r="AT10" s="26" t="n"/>
      <c r="AU10" s="26" t="n">
        <v>3.9</v>
      </c>
      <c r="AV10" s="26" t="n"/>
      <c r="AW10" s="26" t="n">
        <v>6.4</v>
      </c>
      <c r="AX10" s="26" t="n"/>
      <c r="AY10" s="26" t="n"/>
      <c r="AZ10" s="26" t="n"/>
      <c r="BA10" s="26" t="n"/>
      <c r="BB10" s="26" t="n">
        <v>53.4</v>
      </c>
      <c r="BC10" s="26" t="n">
        <v>4.6</v>
      </c>
      <c r="BD10" s="26" t="n">
        <v>25.8</v>
      </c>
      <c r="BE10" s="26" t="n">
        <v>5.4</v>
      </c>
      <c r="BF10" s="26" t="n">
        <v>1.5</v>
      </c>
      <c r="BG10" s="26" t="n"/>
      <c r="BH10" s="26" t="n"/>
      <c r="BI10" s="26" t="n"/>
      <c r="BJ10" s="26" t="n"/>
      <c r="BK10" s="26" t="n"/>
      <c r="BL10" s="23" t="inlineStr">
        <is>
          <t>Alphabet Incorporated - Class A | Taiwan Semiconductor Manufacturing Company Limited | Apple Incorporated | Broadcom Incorporated | Microsoft Corporation</t>
        </is>
      </c>
      <c r="BM10" s="26" t="n"/>
      <c r="BN10" s="22" t="n"/>
      <c r="BO10" s="23" t="n"/>
      <c r="BP10" s="23" t="inlineStr">
        <is>
          <t>The benchmark for PISGSGF is a composite of 90% S&amp;P Global 1200 ESG Shariah Index and 10% 3-Month Islamic Interbank Money Market (IIMM) rate. UnderlyingindexdataaresourcedfromS&amp;PDowJonesIndices,LLCandBank Negara Malaysia and expressed in Ringgit terms.</t>
        </is>
      </c>
      <c r="BQ10" s="28" t="n">
        <v>0.3597</v>
      </c>
      <c r="BR10" s="22" t="inlineStr">
        <is>
          <t>2026-06-03</t>
        </is>
      </c>
      <c r="BS10" s="28" t="n">
        <v>0.346</v>
      </c>
      <c r="BT10" s="27" t="n">
        <v>-3.81</v>
      </c>
      <c r="BU10" s="24" t="n">
        <v>12</v>
      </c>
    </row>
    <row r="11" ht="16" customHeight="1">
      <c r="A11" s="29" t="inlineStr">
        <is>
          <t>PB GREATER CHINA A-SHARES FUND</t>
        </is>
      </c>
      <c r="B11" s="29" t="inlineStr">
        <is>
          <t>PBGCASF</t>
        </is>
      </c>
      <c r="C11" s="29" t="inlineStr">
        <is>
          <t>Conventional</t>
        </is>
      </c>
      <c r="D11" s="29" t="inlineStr">
        <is>
          <t>Equity</t>
        </is>
      </c>
      <c r="E11" s="30" t="inlineStr">
        <is>
          <t>Capital Growth</t>
        </is>
      </c>
      <c r="F11" s="31" t="n">
        <v>5</v>
      </c>
      <c r="G11" s="30" t="inlineStr">
        <is>
          <t>Incidental</t>
        </is>
      </c>
      <c r="H11" s="32" t="n">
        <v>520.9299999999999</v>
      </c>
      <c r="I11" s="29" t="inlineStr">
        <is>
          <t>10.03.2020</t>
        </is>
      </c>
      <c r="J11" s="29" t="inlineStr">
        <is>
          <t>Qualified</t>
        </is>
      </c>
      <c r="K11" s="33" t="n">
        <v>100</v>
      </c>
      <c r="L11" s="29" t="inlineStr">
        <is>
          <t>4/4</t>
        </is>
      </c>
      <c r="M11" s="30" t="inlineStr">
        <is>
          <t>Qualified (WA: +11.01%) — YTD✔ 1Y✔ 3Y✔ 5Y✔</t>
        </is>
      </c>
      <c r="N11" s="34" t="n">
        <v>11.01</v>
      </c>
      <c r="O11" s="34" t="n">
        <v>7.6</v>
      </c>
      <c r="P11" s="34" t="n">
        <v>4.56</v>
      </c>
      <c r="Q11" s="34" t="n">
        <v>3.04</v>
      </c>
      <c r="R11" s="34" t="n">
        <v>59.99</v>
      </c>
      <c r="S11" s="34" t="n">
        <v>19.36</v>
      </c>
      <c r="T11" s="34" t="n">
        <v>40.63</v>
      </c>
      <c r="U11" s="34" t="n">
        <v>15.56</v>
      </c>
      <c r="V11" s="34" t="n">
        <v>8.83</v>
      </c>
      <c r="W11" s="34" t="n">
        <v>6.73</v>
      </c>
      <c r="X11" s="34" t="n">
        <v>2.16</v>
      </c>
      <c r="Y11" s="34" t="n">
        <v>0.49</v>
      </c>
      <c r="Z11" s="34" t="n">
        <v>1.67</v>
      </c>
      <c r="AA11" s="34" t="n"/>
      <c r="AB11" s="34" t="n"/>
      <c r="AC11" s="34" t="n"/>
      <c r="AD11" s="34">
        <f>IF(OR(Q11="",BM11="",BM11=0),"",Q11/BM11)</f>
        <v/>
      </c>
      <c r="AE11" s="34">
        <f>IF(OR(T11="",BM11="",BM11=0),"",T11/BM11)</f>
        <v/>
      </c>
      <c r="AF11" s="34">
        <f>IF(OR(W11="",BM11="",BM11=0),"",W11/BM11)</f>
        <v/>
      </c>
      <c r="AG11" s="34">
        <f>IF(OR(Z11="",BM11="",BM11=0),"",Z11/BM11)</f>
        <v/>
      </c>
      <c r="AH11" s="34">
        <f>IF(OR(AC11="",BM11="",BM11=0),"",AC11/BM11)</f>
        <v/>
      </c>
      <c r="AI11" s="33" t="n"/>
      <c r="AJ11" s="33" t="n">
        <v>92.59999999999999</v>
      </c>
      <c r="AK11" s="33" t="n"/>
      <c r="AL11" s="33" t="n">
        <v>7.4</v>
      </c>
      <c r="AM11" s="33" t="n"/>
      <c r="AN11" s="33" t="n"/>
      <c r="AO11" s="33" t="n">
        <v>2.6</v>
      </c>
      <c r="AP11" s="33" t="n">
        <v>26.2</v>
      </c>
      <c r="AQ11" s="33" t="n"/>
      <c r="AR11" s="33" t="n"/>
      <c r="AS11" s="33" t="n"/>
      <c r="AT11" s="33" t="n"/>
      <c r="AU11" s="33" t="n">
        <v>63.8</v>
      </c>
      <c r="AV11" s="33" t="n"/>
      <c r="AW11" s="33" t="n"/>
      <c r="AX11" s="33" t="n"/>
      <c r="AY11" s="33" t="n"/>
      <c r="AZ11" s="33" t="n"/>
      <c r="BA11" s="33" t="n">
        <v>8.199999999999999</v>
      </c>
      <c r="BB11" s="33" t="n">
        <v>45.6</v>
      </c>
      <c r="BC11" s="33" t="n"/>
      <c r="BD11" s="33" t="n">
        <v>17.9</v>
      </c>
      <c r="BE11" s="33" t="n">
        <v>8.800000000000001</v>
      </c>
      <c r="BF11" s="33" t="n"/>
      <c r="BG11" s="33" t="n"/>
      <c r="BH11" s="33" t="n"/>
      <c r="BI11" s="33" t="n">
        <v>4.5</v>
      </c>
      <c r="BJ11" s="33" t="n"/>
      <c r="BK11" s="33" t="n"/>
      <c r="BL11" s="30" t="inlineStr">
        <is>
          <t>Taiwan Semiconductor Manufacturing Company Limited | Zhongji Innolight Company Limited - A Shares (HKS) | Hygon Information Technology Company Limited - A Shares (HKS) | Cambricon Technologies Corporation Limited - A Shares (HKS) | Alchip Technologies Limited</t>
        </is>
      </c>
      <c r="BM11" s="33" t="n">
        <v>20</v>
      </c>
      <c r="BN11" s="29" t="inlineStr">
        <is>
          <t>Very High</t>
        </is>
      </c>
      <c r="BO11" s="30" t="inlineStr">
        <is>
          <t>Equity Greater China Greater China</t>
        </is>
      </c>
      <c r="BP11" s="30" t="inlineStr">
        <is>
          <t>ThebenchmarkforPBGCASFisacompositeof50%S&amp;PChinaA50Index,25% Hang Seng China Enterprises Index(HSCEI), 15% S&amp;P Taiwan LargeCap Index and 10% 3-Month Kuala Lumpur Interbank Offered Rate (KLIBOR). UnderlyingindexdataaresourcedfromLipper,S&amp;PDowJonesIndices,LLCand Bank Negara Malaysia and expressed in Ringgit terms.</t>
        </is>
      </c>
      <c r="BQ11" s="35" t="n">
        <v>0.4192</v>
      </c>
      <c r="BR11" s="29" t="inlineStr">
        <is>
          <t>2026-06-03</t>
        </is>
      </c>
      <c r="BS11" s="35" t="n">
        <v>0.4015</v>
      </c>
      <c r="BT11" s="34" t="n">
        <v>-4.22</v>
      </c>
      <c r="BU11" s="31" t="n">
        <v>12</v>
      </c>
    </row>
    <row r="12" ht="16" customHeight="1">
      <c r="A12" s="36" t="inlineStr">
        <is>
          <t>PUBLIC ISLAMIC SELECT TREASURES FUND</t>
        </is>
      </c>
      <c r="B12" s="36" t="inlineStr">
        <is>
          <t>PISTF</t>
        </is>
      </c>
      <c r="C12" s="36" t="inlineStr">
        <is>
          <t>Shariah</t>
        </is>
      </c>
      <c r="D12" s="36" t="inlineStr">
        <is>
          <t>Equity</t>
        </is>
      </c>
      <c r="E12" s="23" t="inlineStr">
        <is>
          <t>Capital Growth</t>
        </is>
      </c>
      <c r="F12" s="24" t="n">
        <v>5</v>
      </c>
      <c r="G12" s="23" t="inlineStr">
        <is>
          <t>Incidental</t>
        </is>
      </c>
      <c r="H12" s="25" t="n">
        <v>1363.56</v>
      </c>
      <c r="I12" s="22" t="inlineStr">
        <is>
          <t>26.02.2008</t>
        </is>
      </c>
      <c r="J12" s="22" t="inlineStr">
        <is>
          <t>Qualified</t>
        </is>
      </c>
      <c r="K12" s="26" t="n">
        <v>100</v>
      </c>
      <c r="L12" s="22" t="inlineStr">
        <is>
          <t>5/5</t>
        </is>
      </c>
      <c r="M12" s="23" t="inlineStr">
        <is>
          <t>Qualified (WA: +10.99%) — YTD✔ 1Y✔ 3Y✔ 5Y✔ 10Y✔</t>
        </is>
      </c>
      <c r="N12" s="27" t="n">
        <v>10.99</v>
      </c>
      <c r="O12" s="27" t="n">
        <v>14.88</v>
      </c>
      <c r="P12" s="27" t="n">
        <v>3.4</v>
      </c>
      <c r="Q12" s="27" t="n">
        <v>11.48</v>
      </c>
      <c r="R12" s="27" t="n">
        <v>32.33</v>
      </c>
      <c r="S12" s="27" t="n">
        <v>7.08</v>
      </c>
      <c r="T12" s="27" t="n">
        <v>25.25</v>
      </c>
      <c r="U12" s="27" t="n">
        <v>12.9</v>
      </c>
      <c r="V12" s="27" t="n">
        <v>2.71</v>
      </c>
      <c r="W12" s="27" t="n">
        <v>10.19</v>
      </c>
      <c r="X12" s="27" t="n">
        <v>4.49</v>
      </c>
      <c r="Y12" s="27" t="n">
        <v>-2.5</v>
      </c>
      <c r="Z12" s="27" t="n">
        <v>6.99</v>
      </c>
      <c r="AA12" s="27" t="n">
        <v>6.45</v>
      </c>
      <c r="AB12" s="27" t="n">
        <v>1.07</v>
      </c>
      <c r="AC12" s="27" t="n">
        <v>5.38</v>
      </c>
      <c r="AD12" s="27">
        <f>IF(OR(Q12="",BM12="",BM12=0),"",Q12/BM12)</f>
        <v/>
      </c>
      <c r="AE12" s="27">
        <f>IF(OR(T12="",BM12="",BM12=0),"",T12/BM12)</f>
        <v/>
      </c>
      <c r="AF12" s="27">
        <f>IF(OR(W12="",BM12="",BM12=0),"",W12/BM12)</f>
        <v/>
      </c>
      <c r="AG12" s="27">
        <f>IF(OR(Z12="",BM12="",BM12=0),"",Z12/BM12)</f>
        <v/>
      </c>
      <c r="AH12" s="27">
        <f>IF(OR(AC12="",BM12="",BM12=0),"",AC12/BM12)</f>
        <v/>
      </c>
      <c r="AI12" s="26" t="n">
        <v>75.2</v>
      </c>
      <c r="AJ12" s="26" t="n">
        <v>20.4</v>
      </c>
      <c r="AK12" s="26" t="n"/>
      <c r="AL12" s="26" t="n">
        <v>4.4</v>
      </c>
      <c r="AM12" s="26" t="n"/>
      <c r="AN12" s="26" t="n"/>
      <c r="AO12" s="26" t="n">
        <v>5.4</v>
      </c>
      <c r="AP12" s="26" t="n">
        <v>9.199999999999999</v>
      </c>
      <c r="AQ12" s="26" t="n">
        <v>2.6</v>
      </c>
      <c r="AR12" s="26" t="n">
        <v>3.2</v>
      </c>
      <c r="AS12" s="26" t="n"/>
      <c r="AT12" s="26" t="n"/>
      <c r="AU12" s="26" t="n"/>
      <c r="AV12" s="26" t="n"/>
      <c r="AW12" s="26" t="n"/>
      <c r="AX12" s="26" t="n"/>
      <c r="AY12" s="26" t="n"/>
      <c r="AZ12" s="26" t="n"/>
      <c r="BA12" s="26" t="n">
        <v>40</v>
      </c>
      <c r="BB12" s="26" t="n">
        <v>6.7</v>
      </c>
      <c r="BC12" s="26" t="n">
        <v>15.6</v>
      </c>
      <c r="BD12" s="26" t="n">
        <v>7.8</v>
      </c>
      <c r="BE12" s="26" t="n"/>
      <c r="BF12" s="26" t="n">
        <v>20.7</v>
      </c>
      <c r="BG12" s="26" t="n"/>
      <c r="BH12" s="26" t="n"/>
      <c r="BI12" s="26" t="n"/>
      <c r="BJ12" s="26" t="n"/>
      <c r="BK12" s="26" t="n"/>
      <c r="BL12" s="23" t="inlineStr">
        <is>
          <t>KPJ Healthcare Berhad | TIME dotCom Berhad | Frontken Corporation Berhad | Vitrox Corporation Berhad | Kelington Group Berhad</t>
        </is>
      </c>
      <c r="BM12" s="26" t="n">
        <v>9.199999999999999</v>
      </c>
      <c r="BN12" s="22" t="inlineStr">
        <is>
          <t>Moderate</t>
        </is>
      </c>
      <c r="BO12" s="23" t="inlineStr">
        <is>
          <t>Equity Malaysia Domestic</t>
        </is>
      </c>
      <c r="BP12" s="23" t="n"/>
      <c r="BQ12" s="28" t="n">
        <v>0.5474</v>
      </c>
      <c r="BR12" s="22" t="inlineStr">
        <is>
          <t>2026-05-29</t>
        </is>
      </c>
      <c r="BS12" s="28" t="n">
        <v>0.5439000000000001</v>
      </c>
      <c r="BT12" s="27" t="n">
        <v>-0.64</v>
      </c>
      <c r="BU12" s="24" t="n">
        <v>17</v>
      </c>
    </row>
    <row r="13" ht="16" customHeight="1">
      <c r="A13" s="29" t="inlineStr">
        <is>
          <t>PB GLOBAL TECHNOLOGY &amp; HEALTHCARE FUND</t>
        </is>
      </c>
      <c r="B13" s="29" t="inlineStr">
        <is>
          <t>PBGTHF</t>
        </is>
      </c>
      <c r="C13" s="29" t="inlineStr">
        <is>
          <t>Conventional</t>
        </is>
      </c>
      <c r="D13" s="29" t="inlineStr">
        <is>
          <t>Equity</t>
        </is>
      </c>
      <c r="E13" s="30" t="inlineStr">
        <is>
          <t>Capital Growth</t>
        </is>
      </c>
      <c r="F13" s="31" t="n">
        <v>5</v>
      </c>
      <c r="G13" s="30" t="inlineStr">
        <is>
          <t>Incidental</t>
        </is>
      </c>
      <c r="H13" s="32" t="n">
        <v>482.66</v>
      </c>
      <c r="I13" s="29" t="inlineStr">
        <is>
          <t>09.05.2019</t>
        </is>
      </c>
      <c r="J13" s="29" t="inlineStr">
        <is>
          <t>Qualified</t>
        </is>
      </c>
      <c r="K13" s="33" t="n">
        <v>100</v>
      </c>
      <c r="L13" s="29" t="inlineStr">
        <is>
          <t>4/4</t>
        </is>
      </c>
      <c r="M13" s="30" t="inlineStr">
        <is>
          <t>Qualified (WA: +9.74%) — YTD✔ 1Y✔ 3Y✔ 5Y✔</t>
        </is>
      </c>
      <c r="N13" s="34" t="n">
        <v>9.74</v>
      </c>
      <c r="O13" s="34" t="n">
        <v>11.48</v>
      </c>
      <c r="P13" s="34" t="n">
        <v>1.58</v>
      </c>
      <c r="Q13" s="34" t="n">
        <v>9.9</v>
      </c>
      <c r="R13" s="34" t="n">
        <v>40.43</v>
      </c>
      <c r="S13" s="34" t="n">
        <v>19.19</v>
      </c>
      <c r="T13" s="34" t="n">
        <v>21.24</v>
      </c>
      <c r="U13" s="34" t="n">
        <v>24.21</v>
      </c>
      <c r="V13" s="34" t="n">
        <v>13.49</v>
      </c>
      <c r="W13" s="34" t="n">
        <v>10.72</v>
      </c>
      <c r="X13" s="34" t="n">
        <v>11.93</v>
      </c>
      <c r="Y13" s="34" t="n">
        <v>10.68</v>
      </c>
      <c r="Z13" s="34" t="n">
        <v>1.25</v>
      </c>
      <c r="AA13" s="34" t="n"/>
      <c r="AB13" s="34" t="n"/>
      <c r="AC13" s="34" t="n"/>
      <c r="AD13" s="34">
        <f>IF(OR(Q13="",BM13="",BM13=0),"",Q13/BM13)</f>
        <v/>
      </c>
      <c r="AE13" s="34">
        <f>IF(OR(T13="",BM13="",BM13=0),"",T13/BM13)</f>
        <v/>
      </c>
      <c r="AF13" s="34">
        <f>IF(OR(W13="",BM13="",BM13=0),"",W13/BM13)</f>
        <v/>
      </c>
      <c r="AG13" s="34">
        <f>IF(OR(Z13="",BM13="",BM13=0),"",Z13/BM13)</f>
        <v/>
      </c>
      <c r="AH13" s="34">
        <f>IF(OR(AC13="",BM13="",BM13=0),"",AC13/BM13)</f>
        <v/>
      </c>
      <c r="AI13" s="33" t="n"/>
      <c r="AJ13" s="33" t="n">
        <v>93.40000000000001</v>
      </c>
      <c r="AK13" s="33" t="n"/>
      <c r="AL13" s="33" t="n">
        <v>6.6</v>
      </c>
      <c r="AM13" s="33" t="n"/>
      <c r="AN13" s="33" t="n"/>
      <c r="AO13" s="33" t="n">
        <v>49.4</v>
      </c>
      <c r="AP13" s="33" t="n">
        <v>17.2</v>
      </c>
      <c r="AQ13" s="33" t="n">
        <v>15.8</v>
      </c>
      <c r="AR13" s="33" t="n"/>
      <c r="AS13" s="33" t="n"/>
      <c r="AT13" s="33" t="n"/>
      <c r="AU13" s="33" t="n">
        <v>4.6</v>
      </c>
      <c r="AV13" s="33" t="n"/>
      <c r="AW13" s="33" t="n">
        <v>4.6</v>
      </c>
      <c r="AX13" s="33" t="n"/>
      <c r="AY13" s="33" t="n"/>
      <c r="AZ13" s="33" t="n"/>
      <c r="BA13" s="33" t="n">
        <v>12.4</v>
      </c>
      <c r="BB13" s="33" t="n">
        <v>54.7</v>
      </c>
      <c r="BC13" s="33" t="n"/>
      <c r="BD13" s="33" t="n">
        <v>15.5</v>
      </c>
      <c r="BE13" s="33" t="n">
        <v>1.9</v>
      </c>
      <c r="BF13" s="33" t="n"/>
      <c r="BG13" s="33" t="n"/>
      <c r="BH13" s="33" t="n"/>
      <c r="BI13" s="33" t="n"/>
      <c r="BJ13" s="33" t="n"/>
      <c r="BK13" s="33" t="n">
        <v>8.9</v>
      </c>
      <c r="BL13" s="30" t="inlineStr">
        <is>
          <t>Advanced Micro Devices Incorporated | Apple Incorporated | Taiwan Semiconductor Manufacturing Company Limited | HD Hyundai Electric Company Limited | Microsoft Corporation</t>
        </is>
      </c>
      <c r="BM13" s="33" t="n">
        <v>16.1</v>
      </c>
      <c r="BN13" s="29" t="inlineStr">
        <is>
          <t>Very High</t>
        </is>
      </c>
      <c r="BO13" s="30" t="inlineStr">
        <is>
          <t>Equity Global Global</t>
        </is>
      </c>
      <c r="BP13" s="30" t="inlineStr">
        <is>
          <t>ThebenchmarkforPBGTHFisacompositeof50%S&amp;PGlobal1200Information Technology Index, 40% S&amp;P Global 1200 Health Care Index and 10% 1-Month Kuala Lumpur Interbank Offered Rate (KLIBOR). Underlying index data are sourced from Lipper and Bank Negara Malaysia and expressed in Ringgit terms.</t>
        </is>
      </c>
      <c r="BQ13" s="35" t="n">
        <v>0.7637</v>
      </c>
      <c r="BR13" s="29" t="inlineStr">
        <is>
          <t>2026-06-04</t>
        </is>
      </c>
      <c r="BS13" s="35" t="n">
        <v>0.7398</v>
      </c>
      <c r="BT13" s="34" t="n">
        <v>-3.13</v>
      </c>
      <c r="BU13" s="31" t="n">
        <v>11</v>
      </c>
    </row>
    <row r="14" ht="16" customHeight="1">
      <c r="A14" s="36" t="inlineStr">
        <is>
          <t>PUBLIC ISLAMIC OPTIMAL EQUITY FUND</t>
        </is>
      </c>
      <c r="B14" s="36" t="inlineStr">
        <is>
          <t>PIOEF</t>
        </is>
      </c>
      <c r="C14" s="36" t="inlineStr">
        <is>
          <t>Shariah</t>
        </is>
      </c>
      <c r="D14" s="36" t="inlineStr">
        <is>
          <t>Equity</t>
        </is>
      </c>
      <c r="E14" s="23" t="inlineStr">
        <is>
          <t>Capital Growth</t>
        </is>
      </c>
      <c r="F14" s="24" t="n">
        <v>5</v>
      </c>
      <c r="G14" s="23" t="inlineStr">
        <is>
          <t>Incidental</t>
        </is>
      </c>
      <c r="H14" s="25" t="n">
        <v>57.96</v>
      </c>
      <c r="I14" s="22" t="inlineStr">
        <is>
          <t>26.07.2016</t>
        </is>
      </c>
      <c r="J14" s="22" t="inlineStr">
        <is>
          <t>Qualified</t>
        </is>
      </c>
      <c r="K14" s="26" t="n">
        <v>75</v>
      </c>
      <c r="L14" s="22" t="inlineStr">
        <is>
          <t>3/4</t>
        </is>
      </c>
      <c r="M14" s="23" t="inlineStr">
        <is>
          <t>Qualified (WA: +9.36%) — YTD✔ 1Y✔ 3Y✔ 5Y✘</t>
        </is>
      </c>
      <c r="N14" s="27" t="n">
        <v>9.359999999999999</v>
      </c>
      <c r="O14" s="27" t="n">
        <v>37.02</v>
      </c>
      <c r="P14" s="27" t="n">
        <v>17.86</v>
      </c>
      <c r="Q14" s="27" t="n">
        <v>19.16</v>
      </c>
      <c r="R14" s="27" t="n">
        <v>68.53</v>
      </c>
      <c r="S14" s="27" t="n">
        <v>39.51</v>
      </c>
      <c r="T14" s="27" t="n">
        <v>29.02</v>
      </c>
      <c r="U14" s="27" t="n">
        <v>21.55</v>
      </c>
      <c r="V14" s="27" t="n">
        <v>14.42</v>
      </c>
      <c r="W14" s="27" t="n">
        <v>7.13</v>
      </c>
      <c r="X14" s="27" t="n">
        <v>2.12</v>
      </c>
      <c r="Y14" s="27" t="n">
        <v>2.95</v>
      </c>
      <c r="Z14" s="27" t="n">
        <v>-0.83</v>
      </c>
      <c r="AA14" s="27" t="n"/>
      <c r="AB14" s="27" t="n"/>
      <c r="AC14" s="27" t="n"/>
      <c r="AD14" s="27">
        <f>IF(OR(Q14="",BM14="",BM14=0),"",Q14/BM14)</f>
        <v/>
      </c>
      <c r="AE14" s="27">
        <f>IF(OR(T14="",BM14="",BM14=0),"",T14/BM14)</f>
        <v/>
      </c>
      <c r="AF14" s="27">
        <f>IF(OR(W14="",BM14="",BM14=0),"",W14/BM14)</f>
        <v/>
      </c>
      <c r="AG14" s="27">
        <f>IF(OR(Z14="",BM14="",BM14=0),"",Z14/BM14)</f>
        <v/>
      </c>
      <c r="AH14" s="27">
        <f>IF(OR(AC14="",BM14="",BM14=0),"",AC14/BM14)</f>
        <v/>
      </c>
      <c r="AI14" s="26" t="n"/>
      <c r="AJ14" s="26" t="n">
        <v>85.90000000000001</v>
      </c>
      <c r="AK14" s="26" t="n"/>
      <c r="AL14" s="26" t="n">
        <v>14.1</v>
      </c>
      <c r="AM14" s="26" t="n"/>
      <c r="AN14" s="26" t="n"/>
      <c r="AO14" s="26" t="n">
        <v>7.9</v>
      </c>
      <c r="AP14" s="26" t="n">
        <v>49.4</v>
      </c>
      <c r="AQ14" s="26" t="n">
        <v>17</v>
      </c>
      <c r="AR14" s="26" t="n"/>
      <c r="AS14" s="26" t="n"/>
      <c r="AT14" s="26" t="n"/>
      <c r="AU14" s="26" t="n">
        <v>11.6</v>
      </c>
      <c r="AV14" s="26" t="n"/>
      <c r="AW14" s="26" t="n"/>
      <c r="AX14" s="26" t="n"/>
      <c r="AY14" s="26" t="n"/>
      <c r="AZ14" s="26" t="n"/>
      <c r="BA14" s="26" t="n">
        <v>27.8</v>
      </c>
      <c r="BB14" s="26" t="n">
        <v>43.6</v>
      </c>
      <c r="BC14" s="26" t="n"/>
      <c r="BD14" s="26" t="n">
        <v>6.8</v>
      </c>
      <c r="BE14" s="26" t="n">
        <v>7.7</v>
      </c>
      <c r="BF14" s="26" t="n"/>
      <c r="BG14" s="26" t="n"/>
      <c r="BH14" s="26" t="n"/>
      <c r="BI14" s="26" t="n"/>
      <c r="BJ14" s="26" t="n"/>
      <c r="BK14" s="26" t="n"/>
      <c r="BL14" s="23" t="inlineStr">
        <is>
          <t>Unimicron Technology Corporation | Taiwan Semiconductor Manufacturing Company Limited | Alibaba Group Holding Limited - W | Alchip Technologies Limited | HD Hyundai Electric Company Limited</t>
        </is>
      </c>
      <c r="BM14" s="26" t="n">
        <v>18</v>
      </c>
      <c r="BN14" s="22" t="inlineStr">
        <is>
          <t>Very High</t>
        </is>
      </c>
      <c r="BO14" s="23" t="inlineStr">
        <is>
          <t>Equity Asia Pacific Asia</t>
        </is>
      </c>
      <c r="BP14" s="23" t="n"/>
      <c r="BQ14" s="28" t="n">
        <v>0.5798</v>
      </c>
      <c r="BR14" s="22" t="inlineStr">
        <is>
          <t>2026-06-04</t>
        </is>
      </c>
      <c r="BS14" s="28" t="n">
        <v>0.5596</v>
      </c>
      <c r="BT14" s="27" t="n">
        <v>-3.48</v>
      </c>
      <c r="BU14" s="24" t="n">
        <v>11</v>
      </c>
    </row>
    <row r="15" ht="16" customHeight="1">
      <c r="A15" s="29" t="inlineStr">
        <is>
          <t>PB ISLAMIC ASIA STRATEGIC SECTOR FUND</t>
        </is>
      </c>
      <c r="B15" s="29" t="inlineStr">
        <is>
          <t>PBIASSF</t>
        </is>
      </c>
      <c r="C15" s="29" t="inlineStr">
        <is>
          <t>Conventional</t>
        </is>
      </c>
      <c r="D15" s="29" t="inlineStr">
        <is>
          <t>Equity</t>
        </is>
      </c>
      <c r="E15" s="30" t="inlineStr">
        <is>
          <t>Capital Growth</t>
        </is>
      </c>
      <c r="F15" s="31" t="n">
        <v>5</v>
      </c>
      <c r="G15" s="30" t="inlineStr">
        <is>
          <t>Incidental</t>
        </is>
      </c>
      <c r="H15" s="32" t="n">
        <v>135.58</v>
      </c>
      <c r="I15" s="29" t="inlineStr">
        <is>
          <t>06.09.2007</t>
        </is>
      </c>
      <c r="J15" s="29" t="inlineStr">
        <is>
          <t>Qualified</t>
        </is>
      </c>
      <c r="K15" s="33" t="n">
        <v>100</v>
      </c>
      <c r="L15" s="29" t="inlineStr">
        <is>
          <t>5/5</t>
        </is>
      </c>
      <c r="M15" s="30" t="inlineStr">
        <is>
          <t>Qualified (WA: +9.28%) — YTD✔ 1Y✔ 3Y✔ 5Y✔ 10Y✔</t>
        </is>
      </c>
      <c r="N15" s="34" t="n">
        <v>9.279999999999999</v>
      </c>
      <c r="O15" s="34" t="n">
        <v>43.35</v>
      </c>
      <c r="P15" s="34" t="n">
        <v>27.13</v>
      </c>
      <c r="Q15" s="34" t="n">
        <v>16.22</v>
      </c>
      <c r="R15" s="34" t="n">
        <v>96.3</v>
      </c>
      <c r="S15" s="34" t="n">
        <v>61.51</v>
      </c>
      <c r="T15" s="34" t="n">
        <v>34.79</v>
      </c>
      <c r="U15" s="34" t="n">
        <v>25.05</v>
      </c>
      <c r="V15" s="34" t="n">
        <v>18.79</v>
      </c>
      <c r="W15" s="34" t="n">
        <v>6.26</v>
      </c>
      <c r="X15" s="34" t="n">
        <v>5.87</v>
      </c>
      <c r="Y15" s="34" t="n">
        <v>4.1</v>
      </c>
      <c r="Z15" s="34" t="n">
        <v>1.77</v>
      </c>
      <c r="AA15" s="34" t="n">
        <v>11.36</v>
      </c>
      <c r="AB15" s="34" t="n">
        <v>9.33</v>
      </c>
      <c r="AC15" s="34" t="n">
        <v>2.03</v>
      </c>
      <c r="AD15" s="34">
        <f>IF(OR(Q15="",BM15="",BM15=0),"",Q15/BM15)</f>
        <v/>
      </c>
      <c r="AE15" s="34">
        <f>IF(OR(T15="",BM15="",BM15=0),"",T15/BM15)</f>
        <v/>
      </c>
      <c r="AF15" s="34">
        <f>IF(OR(W15="",BM15="",BM15=0),"",W15/BM15)</f>
        <v/>
      </c>
      <c r="AG15" s="34">
        <f>IF(OR(Z15="",BM15="",BM15=0),"",Z15/BM15)</f>
        <v/>
      </c>
      <c r="AH15" s="34">
        <f>IF(OR(AC15="",BM15="",BM15=0),"",AC15/BM15)</f>
        <v/>
      </c>
      <c r="AI15" s="33" t="n"/>
      <c r="AJ15" s="33" t="n">
        <v>84.8</v>
      </c>
      <c r="AK15" s="33" t="n"/>
      <c r="AL15" s="33" t="n">
        <v>15.2</v>
      </c>
      <c r="AM15" s="33" t="n"/>
      <c r="AN15" s="33" t="n"/>
      <c r="AO15" s="33" t="n"/>
      <c r="AP15" s="33" t="n">
        <v>46.8</v>
      </c>
      <c r="AQ15" s="33" t="n">
        <v>26.7</v>
      </c>
      <c r="AR15" s="33" t="n">
        <v>2</v>
      </c>
      <c r="AS15" s="33" t="n"/>
      <c r="AT15" s="33" t="n"/>
      <c r="AU15" s="33" t="n">
        <v>9.300000000000001</v>
      </c>
      <c r="AV15" s="33" t="n"/>
      <c r="AW15" s="33" t="n"/>
      <c r="AX15" s="33" t="n"/>
      <c r="AY15" s="33" t="n"/>
      <c r="AZ15" s="33" t="n"/>
      <c r="BA15" s="33" t="n">
        <v>29.6</v>
      </c>
      <c r="BB15" s="33" t="n">
        <v>42.3</v>
      </c>
      <c r="BC15" s="33" t="n"/>
      <c r="BD15" s="33" t="n">
        <v>12.9</v>
      </c>
      <c r="BE15" s="33" t="n"/>
      <c r="BF15" s="33" t="n"/>
      <c r="BG15" s="33" t="n"/>
      <c r="BH15" s="33" t="n"/>
      <c r="BI15" s="33" t="n"/>
      <c r="BJ15" s="33" t="n"/>
      <c r="BK15" s="33" t="n"/>
      <c r="BL15" s="30" t="inlineStr">
        <is>
          <t>Delta Electronics Incorporated | SK Hynix Incorporated | Samsung Electronics Company Limited | Taiwan Semiconductor Manufacturing Company Limited | HD Hyundai Electric Company Limited</t>
        </is>
      </c>
      <c r="BM15" s="33" t="n">
        <v>20.8</v>
      </c>
      <c r="BN15" s="29" t="inlineStr">
        <is>
          <t>Very High</t>
        </is>
      </c>
      <c r="BO15" s="30" t="inlineStr">
        <is>
          <t>Equity Asia Pacific Asia</t>
        </is>
      </c>
      <c r="BP15" s="30" t="inlineStr">
        <is>
          <t>ThebenchmarkforPBIASSFisacompositeof90%DowJonesIslamicMarketAsia Ex-JapanIndexSM(priorto1January2009),90%S&amp;PShariahBMIAsiaEx-Japan Index (w.e.f. 1 January 2009) and 10% 3-Month Islamic Interbank MoneyMarket (IIMM) rate. Underlying indexdata are sourced from S&amp;P Dow Jones Indices, LLC and Bank Negara Malaysia and expressed in Ringgit terms.</t>
        </is>
      </c>
      <c r="BQ15" s="35" t="n">
        <v>0.7042</v>
      </c>
      <c r="BR15" s="29" t="inlineStr">
        <is>
          <t>2026-06-04</t>
        </is>
      </c>
      <c r="BS15" s="35" t="n">
        <v>0.6803</v>
      </c>
      <c r="BT15" s="34" t="n">
        <v>-3.39</v>
      </c>
      <c r="BU15" s="31" t="n">
        <v>11</v>
      </c>
    </row>
    <row r="16" ht="16" customHeight="1">
      <c r="A16" s="22" t="inlineStr">
        <is>
          <t>PUBLIC e-ASIA EVOLVING GROWTH FUND</t>
        </is>
      </c>
      <c r="B16" s="22" t="inlineStr">
        <is>
          <t>PeAEVGF</t>
        </is>
      </c>
      <c r="C16" s="22" t="inlineStr">
        <is>
          <t>Conventional</t>
        </is>
      </c>
      <c r="D16" s="22" t="inlineStr">
        <is>
          <t>Equity</t>
        </is>
      </c>
      <c r="E16" s="23" t="inlineStr">
        <is>
          <t>Capital Growth</t>
        </is>
      </c>
      <c r="F16" s="24" t="n">
        <v>5</v>
      </c>
      <c r="G16" s="23" t="inlineStr">
        <is>
          <t>Incidental</t>
        </is>
      </c>
      <c r="H16" s="25" t="n">
        <v>782.73</v>
      </c>
      <c r="I16" s="22" t="inlineStr">
        <is>
          <t>30.11.2021</t>
        </is>
      </c>
      <c r="J16" s="22" t="inlineStr">
        <is>
          <t>Qualified</t>
        </is>
      </c>
      <c r="K16" s="26" t="n">
        <v>100</v>
      </c>
      <c r="L16" s="22" t="inlineStr">
        <is>
          <t>3/3</t>
        </is>
      </c>
      <c r="M16" s="23" t="inlineStr">
        <is>
          <t>Qualified (WA: +7.87%) — YTD✔ 1Y✔ 3Y✔</t>
        </is>
      </c>
      <c r="N16" s="27" t="n">
        <v>7.87</v>
      </c>
      <c r="O16" s="27" t="n">
        <v>24.13</v>
      </c>
      <c r="P16" s="27" t="n">
        <v>13.7</v>
      </c>
      <c r="Q16" s="27" t="n">
        <v>10.43</v>
      </c>
      <c r="R16" s="27" t="n">
        <v>60.52</v>
      </c>
      <c r="S16" s="27" t="n">
        <v>42.63</v>
      </c>
      <c r="T16" s="27" t="n">
        <v>17.89</v>
      </c>
      <c r="U16" s="27" t="n">
        <v>22.21</v>
      </c>
      <c r="V16" s="27" t="n">
        <v>18.42</v>
      </c>
      <c r="W16" s="27" t="n">
        <v>3.79</v>
      </c>
      <c r="X16" s="27" t="n"/>
      <c r="Y16" s="27" t="n"/>
      <c r="Z16" s="27" t="n"/>
      <c r="AA16" s="27" t="n"/>
      <c r="AB16" s="27" t="n"/>
      <c r="AC16" s="27" t="n"/>
      <c r="AD16" s="27">
        <f>IF(OR(Q16="",BM16="",BM16=0),"",Q16/BM16)</f>
        <v/>
      </c>
      <c r="AE16" s="27">
        <f>IF(OR(T16="",BM16="",BM16=0),"",T16/BM16)</f>
        <v/>
      </c>
      <c r="AF16" s="27">
        <f>IF(OR(W16="",BM16="",BM16=0),"",W16/BM16)</f>
        <v/>
      </c>
      <c r="AG16" s="27">
        <f>IF(OR(Z16="",BM16="",BM16=0),"",Z16/BM16)</f>
        <v/>
      </c>
      <c r="AH16" s="27">
        <f>IF(OR(AC16="",BM16="",BM16=0),"",AC16/BM16)</f>
        <v/>
      </c>
      <c r="AI16" s="26" t="n">
        <v>1</v>
      </c>
      <c r="AJ16" s="26" t="n">
        <v>95.59999999999999</v>
      </c>
      <c r="AK16" s="26" t="n"/>
      <c r="AL16" s="26" t="n">
        <v>3.4</v>
      </c>
      <c r="AM16" s="26" t="n"/>
      <c r="AN16" s="26" t="n"/>
      <c r="AO16" s="26" t="n">
        <v>16.5</v>
      </c>
      <c r="AP16" s="26" t="n">
        <v>24.9</v>
      </c>
      <c r="AQ16" s="26" t="n">
        <v>23.5</v>
      </c>
      <c r="AR16" s="26" t="n"/>
      <c r="AS16" s="26" t="n"/>
      <c r="AT16" s="26" t="n">
        <v>1.3</v>
      </c>
      <c r="AU16" s="26" t="n">
        <v>29.4</v>
      </c>
      <c r="AV16" s="26" t="n"/>
      <c r="AW16" s="26" t="n"/>
      <c r="AX16" s="26" t="n"/>
      <c r="AY16" s="26" t="n"/>
      <c r="AZ16" s="26" t="n"/>
      <c r="BA16" s="26" t="n">
        <v>18</v>
      </c>
      <c r="BB16" s="26" t="n">
        <v>43.2</v>
      </c>
      <c r="BC16" s="26" t="n">
        <v>1</v>
      </c>
      <c r="BD16" s="26" t="n">
        <v>31.7</v>
      </c>
      <c r="BE16" s="26" t="n">
        <v>2.7</v>
      </c>
      <c r="BF16" s="26" t="n"/>
      <c r="BG16" s="26" t="n"/>
      <c r="BH16" s="26" t="n"/>
      <c r="BI16" s="26" t="n"/>
      <c r="BJ16" s="26" t="n"/>
      <c r="BK16" s="26" t="n"/>
      <c r="BL16" s="23" t="inlineStr">
        <is>
          <t>Taiwan Semiconductor Manufacturing Company Limited | SK Hynix Incorporated | Unimicron Technology Corporation | Tencent Holdings Limited | Alibaba Group Holding Limited - W</t>
        </is>
      </c>
      <c r="BM16" s="26" t="n">
        <v>19.7</v>
      </c>
      <c r="BN16" s="22" t="inlineStr">
        <is>
          <t>Very High</t>
        </is>
      </c>
      <c r="BO16" s="23" t="inlineStr">
        <is>
          <t>Equity Asia Pacific ex- Asia</t>
        </is>
      </c>
      <c r="BP16" s="23" t="inlineStr">
        <is>
          <t>ThebenchmarkforPeAEVGFisacompositeof90%customisedindexbyS&amp;PDow JonesIndices,LLCbasedonthetop30constituentsoftheS&amp;PBMIAsiaEx-Japan Index and 10% 3-Month Kuala Lumpur Interbank Offered Rate (KLIBOR). Underlying indexdata are sourced from S&amp;P Dow Jones Indices, LLC and Bank Negara Malaysia and expressed in Ringgit terms.</t>
        </is>
      </c>
      <c r="BQ16" s="28" t="n">
        <v>0.4341</v>
      </c>
      <c r="BR16" s="22" t="inlineStr">
        <is>
          <t>2026-06-04</t>
        </is>
      </c>
      <c r="BS16" s="28" t="n">
        <v>0.422</v>
      </c>
      <c r="BT16" s="27" t="n">
        <v>-2.79</v>
      </c>
      <c r="BU16" s="24" t="n">
        <v>11</v>
      </c>
    </row>
    <row r="17" ht="16" customHeight="1">
      <c r="A17" s="29" t="inlineStr">
        <is>
          <t>PUBLIC SMALLCAP FUND</t>
        </is>
      </c>
      <c r="B17" s="29" t="inlineStr">
        <is>
          <t>P SmallCap</t>
        </is>
      </c>
      <c r="C17" s="29" t="inlineStr">
        <is>
          <t>Conventional</t>
        </is>
      </c>
      <c r="D17" s="29" t="inlineStr">
        <is>
          <t>Equity</t>
        </is>
      </c>
      <c r="E17" s="30" t="inlineStr">
        <is>
          <t>Capital Growth</t>
        </is>
      </c>
      <c r="F17" s="31" t="n">
        <v>5</v>
      </c>
      <c r="G17" s="30" t="inlineStr">
        <is>
          <t>Incidental</t>
        </is>
      </c>
      <c r="H17" s="32" t="n">
        <v>1424.31</v>
      </c>
      <c r="I17" s="29" t="inlineStr">
        <is>
          <t>13.06.2000</t>
        </is>
      </c>
      <c r="J17" s="29" t="inlineStr">
        <is>
          <t>Qualified</t>
        </is>
      </c>
      <c r="K17" s="33" t="n">
        <v>100</v>
      </c>
      <c r="L17" s="29" t="inlineStr">
        <is>
          <t>5/5</t>
        </is>
      </c>
      <c r="M17" s="30" t="inlineStr">
        <is>
          <t>Qualified (WA: +7.86%) — YTD✔ 1Y✔ 3Y✔ 5Y✔ 10Y✔</t>
        </is>
      </c>
      <c r="N17" s="34" t="n">
        <v>7.86</v>
      </c>
      <c r="O17" s="34" t="n">
        <v>3.42</v>
      </c>
      <c r="P17" s="34" t="n">
        <v>-1.01</v>
      </c>
      <c r="Q17" s="34" t="n">
        <v>4.43</v>
      </c>
      <c r="R17" s="34" t="n">
        <v>18.7</v>
      </c>
      <c r="S17" s="34" t="n">
        <v>1.82</v>
      </c>
      <c r="T17" s="34" t="n">
        <v>16.88</v>
      </c>
      <c r="U17" s="34" t="n">
        <v>7.48</v>
      </c>
      <c r="V17" s="34" t="n">
        <v>0.25</v>
      </c>
      <c r="W17" s="34" t="n">
        <v>7.23</v>
      </c>
      <c r="X17" s="34" t="n">
        <v>3.79</v>
      </c>
      <c r="Y17" s="34" t="n">
        <v>-1.91</v>
      </c>
      <c r="Z17" s="34" t="n">
        <v>5.7</v>
      </c>
      <c r="AA17" s="34" t="n">
        <v>5.41</v>
      </c>
      <c r="AB17" s="34" t="n">
        <v>0.12</v>
      </c>
      <c r="AC17" s="34" t="n">
        <v>5.29</v>
      </c>
      <c r="AD17" s="34">
        <f>IF(OR(Q17="",BM17="",BM17=0),"",Q17/BM17)</f>
        <v/>
      </c>
      <c r="AE17" s="34">
        <f>IF(OR(T17="",BM17="",BM17=0),"",T17/BM17)</f>
        <v/>
      </c>
      <c r="AF17" s="34">
        <f>IF(OR(W17="",BM17="",BM17=0),"",W17/BM17)</f>
        <v/>
      </c>
      <c r="AG17" s="34">
        <f>IF(OR(Z17="",BM17="",BM17=0),"",Z17/BM17)</f>
        <v/>
      </c>
      <c r="AH17" s="34">
        <f>IF(OR(AC17="",BM17="",BM17=0),"",AC17/BM17)</f>
        <v/>
      </c>
      <c r="AI17" s="33" t="n">
        <v>76</v>
      </c>
      <c r="AJ17" s="33" t="n">
        <v>17.6</v>
      </c>
      <c r="AK17" s="33" t="n"/>
      <c r="AL17" s="33" t="n">
        <v>6.4</v>
      </c>
      <c r="AM17" s="33" t="n"/>
      <c r="AN17" s="33" t="n"/>
      <c r="AO17" s="33" t="n">
        <v>14.1</v>
      </c>
      <c r="AP17" s="33" t="n"/>
      <c r="AQ17" s="33" t="n"/>
      <c r="AR17" s="33" t="n">
        <v>3.5</v>
      </c>
      <c r="AS17" s="33" t="n"/>
      <c r="AT17" s="33" t="n"/>
      <c r="AU17" s="33" t="n"/>
      <c r="AV17" s="33" t="n"/>
      <c r="AW17" s="33" t="n"/>
      <c r="AX17" s="33" t="n"/>
      <c r="AY17" s="33" t="n"/>
      <c r="AZ17" s="33" t="n"/>
      <c r="BA17" s="33" t="n">
        <v>23</v>
      </c>
      <c r="BB17" s="33" t="n"/>
      <c r="BC17" s="33" t="n">
        <v>33.7</v>
      </c>
      <c r="BD17" s="33" t="n">
        <v>20.9</v>
      </c>
      <c r="BE17" s="33" t="n"/>
      <c r="BF17" s="33" t="n">
        <v>7.2</v>
      </c>
      <c r="BG17" s="33" t="n"/>
      <c r="BH17" s="33" t="n"/>
      <c r="BI17" s="33" t="n"/>
      <c r="BJ17" s="33" t="n"/>
      <c r="BK17" s="33" t="n">
        <v>6.6</v>
      </c>
      <c r="BL17" s="30" t="inlineStr">
        <is>
          <t>TIME dotCom Berhad | IGB Real Estate Investment Trust | Malaysian Pacific Industries Berhad | Alphabet Incorporated - Class A | Hong Leong Industries Berhad</t>
        </is>
      </c>
      <c r="BM17" s="33" t="n">
        <v>8.9</v>
      </c>
      <c r="BN17" s="29" t="inlineStr">
        <is>
          <t>Moderate</t>
        </is>
      </c>
      <c r="BO17" s="30" t="inlineStr">
        <is>
          <t>Equity Malaysia Domestic 30% of the fund’s NAV</t>
        </is>
      </c>
      <c r="BP17" s="30" t="n"/>
      <c r="BQ17" s="35" t="n">
        <v>1.1808</v>
      </c>
      <c r="BR17" s="29" t="inlineStr">
        <is>
          <t>2026-05-14</t>
        </is>
      </c>
      <c r="BS17" s="35" t="n">
        <v>1.1432</v>
      </c>
      <c r="BT17" s="34" t="n">
        <v>-3.18</v>
      </c>
      <c r="BU17" s="31" t="n">
        <v>32</v>
      </c>
    </row>
    <row r="18" ht="16" customHeight="1">
      <c r="A18" s="22" t="inlineStr">
        <is>
          <t>PUBLIC STRATEGIC SMALLCAP FUND</t>
        </is>
      </c>
      <c r="B18" s="22" t="inlineStr">
        <is>
          <t>PSSCF</t>
        </is>
      </c>
      <c r="C18" s="22" t="inlineStr">
        <is>
          <t>Conventional</t>
        </is>
      </c>
      <c r="D18" s="22" t="inlineStr">
        <is>
          <t>Equity</t>
        </is>
      </c>
      <c r="E18" s="23" t="inlineStr">
        <is>
          <t>Capital Growth</t>
        </is>
      </c>
      <c r="F18" s="24" t="n">
        <v>5</v>
      </c>
      <c r="G18" s="23" t="inlineStr">
        <is>
          <t>Incidental</t>
        </is>
      </c>
      <c r="H18" s="25" t="n">
        <v>448.96</v>
      </c>
      <c r="I18" s="22" t="inlineStr">
        <is>
          <t>20.03.2012</t>
        </is>
      </c>
      <c r="J18" s="22" t="inlineStr">
        <is>
          <t>Qualified</t>
        </is>
      </c>
      <c r="K18" s="26" t="n">
        <v>100</v>
      </c>
      <c r="L18" s="22" t="inlineStr">
        <is>
          <t>5/5</t>
        </is>
      </c>
      <c r="M18" s="23" t="inlineStr">
        <is>
          <t>Qualified (WA: +7.54%) — YTD✔ 1Y✔ 3Y✔ 5Y✔ 10Y✔</t>
        </is>
      </c>
      <c r="N18" s="27" t="n">
        <v>7.54</v>
      </c>
      <c r="O18" s="27" t="n">
        <v>1.35</v>
      </c>
      <c r="P18" s="27" t="n">
        <v>-1.01</v>
      </c>
      <c r="Q18" s="27" t="n">
        <v>2.36</v>
      </c>
      <c r="R18" s="27" t="n">
        <v>19.52</v>
      </c>
      <c r="S18" s="27" t="n">
        <v>1.82</v>
      </c>
      <c r="T18" s="27" t="n">
        <v>17.7</v>
      </c>
      <c r="U18" s="27" t="n">
        <v>7.99</v>
      </c>
      <c r="V18" s="27" t="n">
        <v>0.25</v>
      </c>
      <c r="W18" s="27" t="n">
        <v>7.74</v>
      </c>
      <c r="X18" s="27" t="n">
        <v>2.44</v>
      </c>
      <c r="Y18" s="27" t="n">
        <v>-1.91</v>
      </c>
      <c r="Z18" s="27" t="n">
        <v>4.35</v>
      </c>
      <c r="AA18" s="27" t="n">
        <v>4.04</v>
      </c>
      <c r="AB18" s="27" t="n">
        <v>0.12</v>
      </c>
      <c r="AC18" s="27" t="n">
        <v>3.92</v>
      </c>
      <c r="AD18" s="27">
        <f>IF(OR(Q18="",BM18="",BM18=0),"",Q18/BM18)</f>
        <v/>
      </c>
      <c r="AE18" s="27">
        <f>IF(OR(T18="",BM18="",BM18=0),"",T18/BM18)</f>
        <v/>
      </c>
      <c r="AF18" s="27">
        <f>IF(OR(W18="",BM18="",BM18=0),"",W18/BM18)</f>
        <v/>
      </c>
      <c r="AG18" s="27">
        <f>IF(OR(Z18="",BM18="",BM18=0),"",Z18/BM18)</f>
        <v/>
      </c>
      <c r="AH18" s="27">
        <f>IF(OR(AC18="",BM18="",BM18=0),"",AC18/BM18)</f>
        <v/>
      </c>
      <c r="AI18" s="26" t="n">
        <v>77.09999999999999</v>
      </c>
      <c r="AJ18" s="26" t="n">
        <v>18.9</v>
      </c>
      <c r="AK18" s="26" t="n"/>
      <c r="AL18" s="26" t="n">
        <v>4</v>
      </c>
      <c r="AM18" s="26" t="n"/>
      <c r="AN18" s="26" t="n"/>
      <c r="AO18" s="26" t="n">
        <v>15.3</v>
      </c>
      <c r="AP18" s="26" t="n"/>
      <c r="AQ18" s="26" t="n"/>
      <c r="AR18" s="26" t="n">
        <v>3.6</v>
      </c>
      <c r="AS18" s="26" t="n"/>
      <c r="AT18" s="26" t="n"/>
      <c r="AU18" s="26" t="n"/>
      <c r="AV18" s="26" t="n"/>
      <c r="AW18" s="26" t="n"/>
      <c r="AX18" s="26" t="n"/>
      <c r="AY18" s="26" t="n"/>
      <c r="AZ18" s="26" t="n"/>
      <c r="BA18" s="26" t="n">
        <v>40.3</v>
      </c>
      <c r="BB18" s="26" t="n"/>
      <c r="BC18" s="26" t="n">
        <v>14.2</v>
      </c>
      <c r="BD18" s="26" t="n">
        <v>15.9</v>
      </c>
      <c r="BE18" s="26" t="n"/>
      <c r="BF18" s="26" t="n">
        <v>13.7</v>
      </c>
      <c r="BG18" s="26" t="n"/>
      <c r="BH18" s="26" t="n"/>
      <c r="BI18" s="26" t="n"/>
      <c r="BJ18" s="26" t="n"/>
      <c r="BK18" s="26" t="n">
        <v>6.3</v>
      </c>
      <c r="BL18" s="23" t="inlineStr">
        <is>
          <t>Kelington Group Berhad | Spritzer Berhad | Alphabet Incorporated - Class A | Malaysian Pacific Industries Berhad | SAM Engineering &amp; Equipment (M) Berhad</t>
        </is>
      </c>
      <c r="BM18" s="26" t="n">
        <v>12.8</v>
      </c>
      <c r="BN18" s="22" t="inlineStr">
        <is>
          <t>High</t>
        </is>
      </c>
      <c r="BO18" s="23" t="inlineStr">
        <is>
          <t>Equity Malaysia Domestic 30% of the fund’s NAV</t>
        </is>
      </c>
      <c r="BP18" s="23" t="inlineStr">
        <is>
          <t>Index data are sourced from Lipper.</t>
        </is>
      </c>
      <c r="BQ18" s="28" t="n">
        <v>0.4893</v>
      </c>
      <c r="BR18" s="22" t="inlineStr">
        <is>
          <t>2024-05-23</t>
        </is>
      </c>
      <c r="BS18" s="28" t="n">
        <v>0.4739</v>
      </c>
      <c r="BT18" s="27" t="n">
        <v>-3.15</v>
      </c>
      <c r="BU18" s="24" t="n">
        <v>753</v>
      </c>
    </row>
    <row r="19" ht="16" customHeight="1">
      <c r="A19" s="29" t="inlineStr">
        <is>
          <t>PUBLIC OPTIMAL EQUITY FUND</t>
        </is>
      </c>
      <c r="B19" s="29" t="inlineStr">
        <is>
          <t>POEF</t>
        </is>
      </c>
      <c r="C19" s="29" t="inlineStr">
        <is>
          <t>Conventional</t>
        </is>
      </c>
      <c r="D19" s="29" t="inlineStr">
        <is>
          <t>Equity</t>
        </is>
      </c>
      <c r="E19" s="30" t="inlineStr">
        <is>
          <t>Capital Growth</t>
        </is>
      </c>
      <c r="F19" s="31" t="n">
        <v>5</v>
      </c>
      <c r="G19" s="30" t="inlineStr">
        <is>
          <t>Incidental</t>
        </is>
      </c>
      <c r="H19" s="32" t="n">
        <v>29.69</v>
      </c>
      <c r="I19" s="29" t="inlineStr">
        <is>
          <t>26.07.2016</t>
        </is>
      </c>
      <c r="J19" s="29" t="inlineStr">
        <is>
          <t>Qualified</t>
        </is>
      </c>
      <c r="K19" s="33" t="n">
        <v>75</v>
      </c>
      <c r="L19" s="29" t="inlineStr">
        <is>
          <t>3/4</t>
        </is>
      </c>
      <c r="M19" s="30" t="inlineStr">
        <is>
          <t>Qualified (WA: +7.35%) — YTD✔ 1Y✔ 3Y✔ 5Y✘</t>
        </is>
      </c>
      <c r="N19" s="34" t="n">
        <v>7.35</v>
      </c>
      <c r="O19" s="34" t="n">
        <v>26.63</v>
      </c>
      <c r="P19" s="34" t="n">
        <v>8.720000000000001</v>
      </c>
      <c r="Q19" s="34" t="n">
        <v>17.91</v>
      </c>
      <c r="R19" s="34" t="n">
        <v>51.86</v>
      </c>
      <c r="S19" s="34" t="n">
        <v>28.07</v>
      </c>
      <c r="T19" s="34" t="n">
        <v>23.79</v>
      </c>
      <c r="U19" s="34" t="n">
        <v>18.48</v>
      </c>
      <c r="V19" s="34" t="n">
        <v>13.36</v>
      </c>
      <c r="W19" s="34" t="n">
        <v>5.12</v>
      </c>
      <c r="X19" s="34" t="n">
        <v>1.78</v>
      </c>
      <c r="Y19" s="34" t="n">
        <v>2.84</v>
      </c>
      <c r="Z19" s="34" t="n">
        <v>-1.06</v>
      </c>
      <c r="AA19" s="34" t="n"/>
      <c r="AB19" s="34" t="n"/>
      <c r="AC19" s="34" t="n"/>
      <c r="AD19" s="34">
        <f>IF(OR(Q19="",BM19="",BM19=0),"",Q19/BM19)</f>
        <v/>
      </c>
      <c r="AE19" s="34">
        <f>IF(OR(T19="",BM19="",BM19=0),"",T19/BM19)</f>
        <v/>
      </c>
      <c r="AF19" s="34">
        <f>IF(OR(W19="",BM19="",BM19=0),"",W19/BM19)</f>
        <v/>
      </c>
      <c r="AG19" s="34">
        <f>IF(OR(Z19="",BM19="",BM19=0),"",Z19/BM19)</f>
        <v/>
      </c>
      <c r="AH19" s="34">
        <f>IF(OR(AC19="",BM19="",BM19=0),"",AC19/BM19)</f>
        <v/>
      </c>
      <c r="AI19" s="33" t="n"/>
      <c r="AJ19" s="33" t="n">
        <v>94.7</v>
      </c>
      <c r="AK19" s="33" t="n"/>
      <c r="AL19" s="33" t="n">
        <v>5.3</v>
      </c>
      <c r="AM19" s="33" t="n"/>
      <c r="AN19" s="33" t="n"/>
      <c r="AO19" s="33" t="n">
        <v>8.300000000000001</v>
      </c>
      <c r="AP19" s="33" t="n">
        <v>44.8</v>
      </c>
      <c r="AQ19" s="33" t="n">
        <v>26.7</v>
      </c>
      <c r="AR19" s="33" t="n"/>
      <c r="AS19" s="33" t="n"/>
      <c r="AT19" s="33" t="n"/>
      <c r="AU19" s="33" t="n">
        <v>14.9</v>
      </c>
      <c r="AV19" s="33" t="n"/>
      <c r="AW19" s="33" t="n"/>
      <c r="AX19" s="33" t="n"/>
      <c r="AY19" s="33" t="n"/>
      <c r="AZ19" s="33" t="n"/>
      <c r="BA19" s="33" t="n">
        <v>23</v>
      </c>
      <c r="BB19" s="33" t="n">
        <v>50.5</v>
      </c>
      <c r="BC19" s="33" t="n"/>
      <c r="BD19" s="33" t="n">
        <v>19.1</v>
      </c>
      <c r="BE19" s="33" t="n">
        <v>2.1</v>
      </c>
      <c r="BF19" s="33" t="n"/>
      <c r="BG19" s="33" t="n"/>
      <c r="BH19" s="33" t="n"/>
      <c r="BI19" s="33" t="n"/>
      <c r="BJ19" s="33" t="n"/>
      <c r="BK19" s="33" t="n"/>
      <c r="BL19" s="30" t="inlineStr">
        <is>
          <t>SK Hynix Incorporated | Samsung Electronics Company Limited | Taiwan Semiconductor Manufacturing Company Limited | Tencent Holdings Limited | Advanced Micro Devices Incorporated</t>
        </is>
      </c>
      <c r="BM19" s="33" t="n">
        <v>19.3</v>
      </c>
      <c r="BN19" s="29" t="inlineStr">
        <is>
          <t>Very High</t>
        </is>
      </c>
      <c r="BO19" s="30" t="inlineStr">
        <is>
          <t>Equity Asia Pacific Asia</t>
        </is>
      </c>
      <c r="BP19" s="30" t="n"/>
      <c r="BQ19" s="35" t="n">
        <v>0.4587</v>
      </c>
      <c r="BR19" s="29" t="inlineStr">
        <is>
          <t>2026-06-04</t>
        </is>
      </c>
      <c r="BS19" s="35" t="n">
        <v>0.4367</v>
      </c>
      <c r="BT19" s="34" t="n">
        <v>-4.8</v>
      </c>
      <c r="BU19" s="31" t="n">
        <v>11</v>
      </c>
    </row>
    <row r="20" ht="16" customHeight="1">
      <c r="A20" s="36" t="inlineStr">
        <is>
          <t>PUBLIC ISLAMIC EMERGING OPPORTUNITIES FUND</t>
        </is>
      </c>
      <c r="B20" s="36" t="inlineStr">
        <is>
          <t>PIEMOF</t>
        </is>
      </c>
      <c r="C20" s="36" t="inlineStr">
        <is>
          <t>Shariah</t>
        </is>
      </c>
      <c r="D20" s="36" t="inlineStr">
        <is>
          <t>Equity</t>
        </is>
      </c>
      <c r="E20" s="23" t="inlineStr">
        <is>
          <t>Capital Growth</t>
        </is>
      </c>
      <c r="F20" s="24" t="n">
        <v>5</v>
      </c>
      <c r="G20" s="23" t="inlineStr">
        <is>
          <t>Incidental</t>
        </is>
      </c>
      <c r="H20" s="25" t="n">
        <v>101.17</v>
      </c>
      <c r="I20" s="22" t="inlineStr">
        <is>
          <t>30.03.2016</t>
        </is>
      </c>
      <c r="J20" s="22" t="inlineStr">
        <is>
          <t>Qualified</t>
        </is>
      </c>
      <c r="K20" s="26" t="n">
        <v>100</v>
      </c>
      <c r="L20" s="22" t="inlineStr">
        <is>
          <t>5/5</t>
        </is>
      </c>
      <c r="M20" s="23" t="inlineStr">
        <is>
          <t>Qualified (WA: +6.62%) — YTD✔ 1Y✔ 3Y✔ 5Y✔ 10Y✔</t>
        </is>
      </c>
      <c r="N20" s="27" t="n">
        <v>6.62</v>
      </c>
      <c r="O20" s="27" t="n">
        <v>8.67</v>
      </c>
      <c r="P20" s="27" t="n">
        <v>3.19</v>
      </c>
      <c r="Q20" s="27" t="n">
        <v>5.48</v>
      </c>
      <c r="R20" s="27" t="n">
        <v>20.26</v>
      </c>
      <c r="S20" s="27" t="n">
        <v>6.76</v>
      </c>
      <c r="T20" s="27" t="n">
        <v>13.5</v>
      </c>
      <c r="U20" s="27" t="n">
        <v>9.369999999999999</v>
      </c>
      <c r="V20" s="27" t="n">
        <v>2.88</v>
      </c>
      <c r="W20" s="27" t="n">
        <v>6.49</v>
      </c>
      <c r="X20" s="27" t="n">
        <v>2.56</v>
      </c>
      <c r="Y20" s="27" t="n">
        <v>-1.86</v>
      </c>
      <c r="Z20" s="27" t="n">
        <v>4.42</v>
      </c>
      <c r="AA20" s="27" t="n">
        <v>5.54</v>
      </c>
      <c r="AB20" s="27" t="n">
        <v>1.39</v>
      </c>
      <c r="AC20" s="27" t="n">
        <v>4.15</v>
      </c>
      <c r="AD20" s="27">
        <f>IF(OR(Q20="",BM20="",BM20=0),"",Q20/BM20)</f>
        <v/>
      </c>
      <c r="AE20" s="27">
        <f>IF(OR(T20="",BM20="",BM20=0),"",T20/BM20)</f>
        <v/>
      </c>
      <c r="AF20" s="27">
        <f>IF(OR(W20="",BM20="",BM20=0),"",W20/BM20)</f>
        <v/>
      </c>
      <c r="AG20" s="27">
        <f>IF(OR(Z20="",BM20="",BM20=0),"",Z20/BM20)</f>
        <v/>
      </c>
      <c r="AH20" s="27">
        <f>IF(OR(AC20="",BM20="",BM20=0),"",AC20/BM20)</f>
        <v/>
      </c>
      <c r="AI20" s="26" t="n">
        <v>74.2</v>
      </c>
      <c r="AJ20" s="26" t="n">
        <v>21.6</v>
      </c>
      <c r="AK20" s="26" t="n"/>
      <c r="AL20" s="26" t="n">
        <v>4.2</v>
      </c>
      <c r="AM20" s="26" t="n"/>
      <c r="AN20" s="26" t="n"/>
      <c r="AO20" s="26" t="n">
        <v>7.9</v>
      </c>
      <c r="AP20" s="26" t="n">
        <v>6.1</v>
      </c>
      <c r="AQ20" s="26" t="n">
        <v>3.1</v>
      </c>
      <c r="AR20" s="26" t="n">
        <v>4.5</v>
      </c>
      <c r="AS20" s="26" t="n"/>
      <c r="AT20" s="26" t="n"/>
      <c r="AU20" s="26" t="n"/>
      <c r="AV20" s="26" t="n"/>
      <c r="AW20" s="26" t="n"/>
      <c r="AX20" s="26" t="n"/>
      <c r="AY20" s="26" t="n"/>
      <c r="AZ20" s="26" t="n"/>
      <c r="BA20" s="26" t="n">
        <v>34.6</v>
      </c>
      <c r="BB20" s="26" t="n"/>
      <c r="BC20" s="26" t="n">
        <v>13.9</v>
      </c>
      <c r="BD20" s="26" t="n"/>
      <c r="BE20" s="26" t="n"/>
      <c r="BF20" s="26" t="n">
        <v>21.5</v>
      </c>
      <c r="BG20" s="26" t="n"/>
      <c r="BH20" s="26" t="n">
        <v>8.699999999999999</v>
      </c>
      <c r="BI20" s="26" t="n"/>
      <c r="BJ20" s="26" t="n"/>
      <c r="BK20" s="26" t="n">
        <v>5.1</v>
      </c>
      <c r="BL20" s="23" t="inlineStr">
        <is>
          <t>Gas Malaysia Berhad | Spritzer Berhad | Vitrox Corporation Berhad | Kinik Company | KPJ Healthcare Berhad</t>
        </is>
      </c>
      <c r="BM20" s="26" t="n">
        <v>10</v>
      </c>
      <c r="BN20" s="22" t="inlineStr">
        <is>
          <t>Moderate</t>
        </is>
      </c>
      <c r="BO20" s="23" t="inlineStr">
        <is>
          <t>Equity Malaysia Domestic</t>
        </is>
      </c>
      <c r="BP20" s="23" t="n"/>
      <c r="BQ20" s="28" t="n">
        <v>0.4221</v>
      </c>
      <c r="BR20" s="22" t="inlineStr">
        <is>
          <t>2026-05-29</t>
        </is>
      </c>
      <c r="BS20" s="28" t="n">
        <v>0.4192</v>
      </c>
      <c r="BT20" s="27" t="n">
        <v>-0.6899999999999999</v>
      </c>
      <c r="BU20" s="24" t="n">
        <v>17</v>
      </c>
    </row>
    <row r="21" ht="16" customHeight="1">
      <c r="A21" s="37" t="inlineStr">
        <is>
          <t>PUBLIC ITTIKAL SEQUEL FUND</t>
        </is>
      </c>
      <c r="B21" s="37" t="inlineStr">
        <is>
          <t>PITSEQ</t>
        </is>
      </c>
      <c r="C21" s="37" t="inlineStr">
        <is>
          <t>Shariah</t>
        </is>
      </c>
      <c r="D21" s="37" t="inlineStr">
        <is>
          <t>Equity</t>
        </is>
      </c>
      <c r="E21" s="30" t="inlineStr">
        <is>
          <t>Capital Growth</t>
        </is>
      </c>
      <c r="F21" s="31" t="n">
        <v>4</v>
      </c>
      <c r="G21" s="30" t="inlineStr">
        <is>
          <t>Incidental</t>
        </is>
      </c>
      <c r="H21" s="32" t="n">
        <v>4541.6</v>
      </c>
      <c r="I21" s="29" t="inlineStr">
        <is>
          <t>11.10.2011</t>
        </is>
      </c>
      <c r="J21" s="29" t="inlineStr">
        <is>
          <t>Qualified</t>
        </is>
      </c>
      <c r="K21" s="33" t="n">
        <v>80</v>
      </c>
      <c r="L21" s="29" t="inlineStr">
        <is>
          <t>4/5</t>
        </is>
      </c>
      <c r="M21" s="30" t="inlineStr">
        <is>
          <t>Qualified (WA: +6.16%) — YTD✘ 1Y✔ 3Y✔ 5Y✔ 10Y✔</t>
        </is>
      </c>
      <c r="N21" s="34" t="n">
        <v>6.16</v>
      </c>
      <c r="O21" s="34" t="n">
        <v>4.24</v>
      </c>
      <c r="P21" s="34" t="n">
        <v>5.14</v>
      </c>
      <c r="Q21" s="34" t="n">
        <v>-0.9</v>
      </c>
      <c r="R21" s="34" t="n">
        <v>15.15</v>
      </c>
      <c r="S21" s="34" t="n">
        <v>12.81</v>
      </c>
      <c r="T21" s="34" t="n">
        <v>2.34</v>
      </c>
      <c r="U21" s="34" t="n">
        <v>13.88</v>
      </c>
      <c r="V21" s="34" t="n">
        <v>5.79</v>
      </c>
      <c r="W21" s="34" t="n">
        <v>8.09</v>
      </c>
      <c r="X21" s="34" t="n">
        <v>6.25</v>
      </c>
      <c r="Y21" s="34" t="n">
        <v>-0.85</v>
      </c>
      <c r="Z21" s="34" t="n">
        <v>7.1</v>
      </c>
      <c r="AA21" s="34" t="n">
        <v>6.01</v>
      </c>
      <c r="AB21" s="34" t="n">
        <v>0.41</v>
      </c>
      <c r="AC21" s="34" t="n">
        <v>5.6</v>
      </c>
      <c r="AD21" s="34">
        <f>IF(OR(Q21="",BM21="",BM21=0),"",Q21/BM21)</f>
        <v/>
      </c>
      <c r="AE21" s="34">
        <f>IF(OR(T21="",BM21="",BM21=0),"",T21/BM21)</f>
        <v/>
      </c>
      <c r="AF21" s="34">
        <f>IF(OR(W21="",BM21="",BM21=0),"",W21/BM21)</f>
        <v/>
      </c>
      <c r="AG21" s="34">
        <f>IF(OR(Z21="",BM21="",BM21=0),"",Z21/BM21)</f>
        <v/>
      </c>
      <c r="AH21" s="34">
        <f>IF(OR(AC21="",BM21="",BM21=0),"",AC21/BM21)</f>
        <v/>
      </c>
      <c r="AI21" s="33" t="n">
        <v>73.40000000000001</v>
      </c>
      <c r="AJ21" s="33" t="n">
        <v>22.7</v>
      </c>
      <c r="AK21" s="33" t="n"/>
      <c r="AL21" s="33" t="n">
        <v>3.9</v>
      </c>
      <c r="AM21" s="33" t="n"/>
      <c r="AN21" s="33" t="n"/>
      <c r="AO21" s="33" t="n">
        <v>18.2</v>
      </c>
      <c r="AP21" s="33" t="n">
        <v>4.5</v>
      </c>
      <c r="AQ21" s="33" t="n"/>
      <c r="AR21" s="33" t="n"/>
      <c r="AS21" s="33" t="n"/>
      <c r="AT21" s="33" t="n"/>
      <c r="AU21" s="33" t="n"/>
      <c r="AV21" s="33" t="n"/>
      <c r="AW21" s="33" t="n"/>
      <c r="AX21" s="33" t="n"/>
      <c r="AY21" s="33" t="n"/>
      <c r="AZ21" s="33" t="n"/>
      <c r="BA21" s="33" t="n"/>
      <c r="BB21" s="33" t="n">
        <v>13.7</v>
      </c>
      <c r="BC21" s="33" t="n">
        <v>15.4</v>
      </c>
      <c r="BD21" s="33" t="n">
        <v>19.7</v>
      </c>
      <c r="BE21" s="33" t="n"/>
      <c r="BF21" s="33" t="n">
        <v>16.6</v>
      </c>
      <c r="BG21" s="33" t="n">
        <v>9.1</v>
      </c>
      <c r="BH21" s="33" t="n"/>
      <c r="BI21" s="33" t="n"/>
      <c r="BJ21" s="33" t="n"/>
      <c r="BK21" s="33" t="n"/>
      <c r="BL21" s="30" t="inlineStr">
        <is>
          <t>Tenaga Nasional Berhad | Telekom Malaysia Berhad | Sunway Berhad | Gamuda Berhad | Press Metal Aluminium Holdings Berhad</t>
        </is>
      </c>
      <c r="BM21" s="33" t="n">
        <v>7.5</v>
      </c>
      <c r="BN21" s="29" t="inlineStr">
        <is>
          <t>Low</t>
        </is>
      </c>
      <c r="BO21" s="30" t="inlineStr">
        <is>
          <t>Equity Malaysia Domestic</t>
        </is>
      </c>
      <c r="BP21" s="30" t="inlineStr">
        <is>
          <t>Index data are sourced from Lipper. 2022 1.00 30.11.22 3.4 Note: Distribution yield simply measures the level of distributions and is not a measure of fund performance.</t>
        </is>
      </c>
      <c r="BQ21" s="35" t="n">
        <v>0.4597</v>
      </c>
      <c r="BR21" s="29" t="inlineStr">
        <is>
          <t>2026-05-12</t>
        </is>
      </c>
      <c r="BS21" s="35" t="n">
        <v>0.4541</v>
      </c>
      <c r="BT21" s="34" t="n">
        <v>-1.22</v>
      </c>
      <c r="BU21" s="31" t="n">
        <v>34</v>
      </c>
    </row>
    <row r="22" ht="16" customHeight="1">
      <c r="A22" s="36" t="inlineStr">
        <is>
          <t>PUBLIC ISLAMIC ASIA DIVIDEND FUND</t>
        </is>
      </c>
      <c r="B22" s="36" t="inlineStr">
        <is>
          <t>PIADF</t>
        </is>
      </c>
      <c r="C22" s="36" t="inlineStr">
        <is>
          <t>Shariah</t>
        </is>
      </c>
      <c r="D22" s="36" t="inlineStr">
        <is>
          <t>Equity</t>
        </is>
      </c>
      <c r="E22" s="23" t="inlineStr">
        <is>
          <t>Income</t>
        </is>
      </c>
      <c r="F22" s="24" t="n">
        <v>5</v>
      </c>
      <c r="G22" s="23" t="inlineStr">
        <is>
          <t>Annual</t>
        </is>
      </c>
      <c r="H22" s="25" t="n">
        <v>1765.59</v>
      </c>
      <c r="I22" s="22" t="inlineStr">
        <is>
          <t>03.04.2007</t>
        </is>
      </c>
      <c r="J22" s="22" t="inlineStr">
        <is>
          <t>Qualified</t>
        </is>
      </c>
      <c r="K22" s="26" t="n">
        <v>100</v>
      </c>
      <c r="L22" s="22" t="inlineStr">
        <is>
          <t>5/5</t>
        </is>
      </c>
      <c r="M22" s="23" t="inlineStr">
        <is>
          <t>Qualified (WA: +5.90%) — YTD✔ 1Y✔ 3Y✔ 5Y✔ 10Y✔</t>
        </is>
      </c>
      <c r="N22" s="27" t="n">
        <v>5.9</v>
      </c>
      <c r="O22" s="27" t="n">
        <v>31.7</v>
      </c>
      <c r="P22" s="27" t="n">
        <v>22.05</v>
      </c>
      <c r="Q22" s="27" t="n">
        <v>9.65</v>
      </c>
      <c r="R22" s="27" t="n">
        <v>62.66</v>
      </c>
      <c r="S22" s="27" t="n">
        <v>49.56</v>
      </c>
      <c r="T22" s="27" t="n">
        <v>13.1</v>
      </c>
      <c r="U22" s="27" t="n">
        <v>22.95</v>
      </c>
      <c r="V22" s="27" t="n">
        <v>16.19</v>
      </c>
      <c r="W22" s="27" t="n">
        <v>6.76</v>
      </c>
      <c r="X22" s="27" t="n">
        <v>5.19</v>
      </c>
      <c r="Y22" s="27" t="n">
        <v>3.53</v>
      </c>
      <c r="Z22" s="27" t="n">
        <v>1.66</v>
      </c>
      <c r="AA22" s="27" t="n">
        <v>9.75</v>
      </c>
      <c r="AB22" s="27" t="n">
        <v>7.54</v>
      </c>
      <c r="AC22" s="27" t="n">
        <v>2.21</v>
      </c>
      <c r="AD22" s="27">
        <f>IF(OR(Q22="",BM22="",BM22=0),"",Q22/BM22)</f>
        <v/>
      </c>
      <c r="AE22" s="27">
        <f>IF(OR(T22="",BM22="",BM22=0),"",T22/BM22)</f>
        <v/>
      </c>
      <c r="AF22" s="27">
        <f>IF(OR(W22="",BM22="",BM22=0),"",W22/BM22)</f>
        <v/>
      </c>
      <c r="AG22" s="27">
        <f>IF(OR(Z22="",BM22="",BM22=0),"",Z22/BM22)</f>
        <v/>
      </c>
      <c r="AH22" s="27">
        <f>IF(OR(AC22="",BM22="",BM22=0),"",AC22/BM22)</f>
        <v/>
      </c>
      <c r="AI22" s="26" t="n">
        <v>1.7</v>
      </c>
      <c r="AJ22" s="26" t="n">
        <v>90.90000000000001</v>
      </c>
      <c r="AK22" s="26" t="n"/>
      <c r="AL22" s="26" t="n">
        <v>7.4</v>
      </c>
      <c r="AM22" s="26" t="n"/>
      <c r="AN22" s="26" t="n"/>
      <c r="AO22" s="26" t="n">
        <v>5.6</v>
      </c>
      <c r="AP22" s="26" t="n">
        <v>31.1</v>
      </c>
      <c r="AQ22" s="26" t="n">
        <v>34</v>
      </c>
      <c r="AR22" s="26" t="n"/>
      <c r="AS22" s="26" t="n"/>
      <c r="AT22" s="26" t="n"/>
      <c r="AU22" s="26" t="n">
        <v>13</v>
      </c>
      <c r="AV22" s="26" t="n"/>
      <c r="AW22" s="26" t="n"/>
      <c r="AX22" s="26" t="n"/>
      <c r="AY22" s="26" t="n">
        <v>3.5</v>
      </c>
      <c r="AZ22" s="26" t="n"/>
      <c r="BA22" s="26" t="n">
        <v>29.7</v>
      </c>
      <c r="BB22" s="26" t="n">
        <v>30.1</v>
      </c>
      <c r="BC22" s="26" t="n"/>
      <c r="BD22" s="26" t="n">
        <v>25.9</v>
      </c>
      <c r="BE22" s="26" t="n">
        <v>3.3</v>
      </c>
      <c r="BF22" s="26" t="n"/>
      <c r="BG22" s="26" t="n"/>
      <c r="BH22" s="26" t="n"/>
      <c r="BI22" s="26" t="n">
        <v>2.2</v>
      </c>
      <c r="BJ22" s="26" t="n"/>
      <c r="BK22" s="26" t="n"/>
      <c r="BL22" s="23" t="inlineStr">
        <is>
          <t>Samsung Electronics Company Limited | SK Hynix Incorporated | Taiwan Semiconductor Manufacturing Company Limited | Hanwha Aerospace Company Limited | Elite Material Company Limited</t>
        </is>
      </c>
      <c r="BM22" s="26" t="n">
        <v>16.1</v>
      </c>
      <c r="BN22" s="22" t="inlineStr">
        <is>
          <t>Very High</t>
        </is>
      </c>
      <c r="BO22" s="23" t="inlineStr">
        <is>
          <t>Equity Asia Pacific Asia</t>
        </is>
      </c>
      <c r="BP22" s="23" t="n"/>
      <c r="BQ22" s="28" t="n">
        <v>0.6677999999999999</v>
      </c>
      <c r="BR22" s="22" t="inlineStr">
        <is>
          <t>2026-06-04</t>
        </is>
      </c>
      <c r="BS22" s="28" t="n">
        <v>0.6493</v>
      </c>
      <c r="BT22" s="27" t="n">
        <v>-2.77</v>
      </c>
      <c r="BU22" s="24" t="n">
        <v>11</v>
      </c>
    </row>
    <row r="23" ht="16" customHeight="1">
      <c r="A23" s="29" t="inlineStr">
        <is>
          <t>PUBLIC GREATER CHINA FUND</t>
        </is>
      </c>
      <c r="B23" s="29" t="inlineStr">
        <is>
          <t>PGCF</t>
        </is>
      </c>
      <c r="C23" s="29" t="inlineStr">
        <is>
          <t>Conventional</t>
        </is>
      </c>
      <c r="D23" s="29" t="inlineStr">
        <is>
          <t>Equity</t>
        </is>
      </c>
      <c r="E23" s="30" t="inlineStr">
        <is>
          <t>Capital Growth</t>
        </is>
      </c>
      <c r="F23" s="31" t="n">
        <v>5</v>
      </c>
      <c r="G23" s="30" t="inlineStr">
        <is>
          <t>Incidental</t>
        </is>
      </c>
      <c r="H23" s="32" t="n">
        <v>384.55</v>
      </c>
      <c r="I23" s="29" t="inlineStr">
        <is>
          <t>26.10.2017</t>
        </is>
      </c>
      <c r="J23" s="29" t="inlineStr">
        <is>
          <t>Qualified</t>
        </is>
      </c>
      <c r="K23" s="33" t="n">
        <v>100</v>
      </c>
      <c r="L23" s="29" t="inlineStr">
        <is>
          <t>4/4</t>
        </is>
      </c>
      <c r="M23" s="30" t="inlineStr">
        <is>
          <t>Qualified (WA: +5.90%) — YTD✔ 1Y✔ 3Y✔ 5Y✔</t>
        </is>
      </c>
      <c r="N23" s="34" t="n">
        <v>5.9</v>
      </c>
      <c r="O23" s="34" t="n">
        <v>14.71</v>
      </c>
      <c r="P23" s="34" t="n">
        <v>7.04</v>
      </c>
      <c r="Q23" s="34" t="n">
        <v>7.67</v>
      </c>
      <c r="R23" s="34" t="n">
        <v>37.36</v>
      </c>
      <c r="S23" s="34" t="n">
        <v>26.81</v>
      </c>
      <c r="T23" s="34" t="n">
        <v>10.55</v>
      </c>
      <c r="U23" s="34" t="n">
        <v>18.18</v>
      </c>
      <c r="V23" s="34" t="n">
        <v>12.44</v>
      </c>
      <c r="W23" s="34" t="n">
        <v>5.74</v>
      </c>
      <c r="X23" s="34" t="n">
        <v>2.84</v>
      </c>
      <c r="Y23" s="34" t="n">
        <v>-0.18</v>
      </c>
      <c r="Z23" s="34" t="n">
        <v>3.02</v>
      </c>
      <c r="AA23" s="34" t="n"/>
      <c r="AB23" s="34" t="n"/>
      <c r="AC23" s="34" t="n"/>
      <c r="AD23" s="34">
        <f>IF(OR(Q23="",BM23="",BM23=0),"",Q23/BM23)</f>
        <v/>
      </c>
      <c r="AE23" s="34">
        <f>IF(OR(T23="",BM23="",BM23=0),"",T23/BM23)</f>
        <v/>
      </c>
      <c r="AF23" s="34">
        <f>IF(OR(W23="",BM23="",BM23=0),"",W23/BM23)</f>
        <v/>
      </c>
      <c r="AG23" s="34">
        <f>IF(OR(Z23="",BM23="",BM23=0),"",Z23/BM23)</f>
        <v/>
      </c>
      <c r="AH23" s="34">
        <f>IF(OR(AC23="",BM23="",BM23=0),"",AC23/BM23)</f>
        <v/>
      </c>
      <c r="AI23" s="33" t="n"/>
      <c r="AJ23" s="33" t="n">
        <v>93.5</v>
      </c>
      <c r="AK23" s="33" t="n"/>
      <c r="AL23" s="33" t="n">
        <v>6.5</v>
      </c>
      <c r="AM23" s="33" t="n"/>
      <c r="AN23" s="33" t="n"/>
      <c r="AO23" s="33" t="n">
        <v>13.7</v>
      </c>
      <c r="AP23" s="33" t="n">
        <v>45.7</v>
      </c>
      <c r="AQ23" s="33" t="n"/>
      <c r="AR23" s="33" t="n"/>
      <c r="AS23" s="33" t="n"/>
      <c r="AT23" s="33" t="n">
        <v>1.4</v>
      </c>
      <c r="AU23" s="33" t="n">
        <v>1.3</v>
      </c>
      <c r="AV23" s="33" t="n"/>
      <c r="AW23" s="33" t="n"/>
      <c r="AX23" s="33" t="n"/>
      <c r="AY23" s="33" t="n"/>
      <c r="AZ23" s="33" t="n"/>
      <c r="BA23" s="33" t="n">
        <v>19.7</v>
      </c>
      <c r="BB23" s="33" t="n">
        <v>32.1</v>
      </c>
      <c r="BC23" s="33" t="n">
        <v>3.4</v>
      </c>
      <c r="BD23" s="33" t="n">
        <v>30.2</v>
      </c>
      <c r="BE23" s="33" t="n">
        <v>8.1</v>
      </c>
      <c r="BF23" s="33" t="n"/>
      <c r="BG23" s="33" t="n"/>
      <c r="BH23" s="33" t="n"/>
      <c r="BI23" s="33" t="n"/>
      <c r="BJ23" s="33" t="n"/>
      <c r="BK23" s="33" t="n"/>
      <c r="BL23" s="30" t="inlineStr">
        <is>
          <t>Taiwan Semiconductor Manufacturing Company Limited | Alibaba Group Holding Limited - W | Delta Electronics Incorporated | Tencent Holdings Limited | ASPEED Technology Incorporated</t>
        </is>
      </c>
      <c r="BM23" s="33" t="n">
        <v>15.6</v>
      </c>
      <c r="BN23" s="29" t="inlineStr">
        <is>
          <t>Very High</t>
        </is>
      </c>
      <c r="BO23" s="30" t="inlineStr">
        <is>
          <t>Greater China</t>
        </is>
      </c>
      <c r="BP23" s="30" t="inlineStr">
        <is>
          <t>MSCI Golden Dragon Index (prior to 30 April 2021), S&amp;P Greater China LargeMidCap Index (30 April 2021 to 1 January 2025), S&amp;P Greater China LargeMidCap 8% Capped Index (w.e.f. 2 January 2025). UnderlyingIndexdataaresourcedfromS&amp;PDowJonesIndices,LLCandLipper and expressed in Ringgit terms.</t>
        </is>
      </c>
      <c r="BQ23" s="35" t="n">
        <v>0.4085</v>
      </c>
      <c r="BR23" s="29" t="inlineStr">
        <is>
          <t>2026-06-03</t>
        </is>
      </c>
      <c r="BS23" s="35" t="n">
        <v>0.3901</v>
      </c>
      <c r="BT23" s="34" t="n">
        <v>-4.5</v>
      </c>
      <c r="BU23" s="31" t="n">
        <v>12</v>
      </c>
    </row>
    <row r="24" ht="16" customHeight="1">
      <c r="A24" s="36" t="inlineStr">
        <is>
          <t>PUBLIC ISLAMIC SAVINGS FUND</t>
        </is>
      </c>
      <c r="B24" s="36" t="inlineStr">
        <is>
          <t>PISVF</t>
        </is>
      </c>
      <c r="C24" s="36" t="inlineStr">
        <is>
          <t>Shariah</t>
        </is>
      </c>
      <c r="D24" s="36" t="inlineStr">
        <is>
          <t>Equity</t>
        </is>
      </c>
      <c r="E24" s="23" t="inlineStr">
        <is>
          <t>Income</t>
        </is>
      </c>
      <c r="F24" s="24" t="n">
        <v>4</v>
      </c>
      <c r="G24" s="23" t="inlineStr">
        <is>
          <t>Semi-Annual</t>
        </is>
      </c>
      <c r="H24" s="25" t="n">
        <v>510.62</v>
      </c>
      <c r="I24" s="22" t="inlineStr">
        <is>
          <t>15.12.2011</t>
        </is>
      </c>
      <c r="J24" s="22" t="inlineStr">
        <is>
          <t>Qualified</t>
        </is>
      </c>
      <c r="K24" s="26" t="n">
        <v>100</v>
      </c>
      <c r="L24" s="22" t="inlineStr">
        <is>
          <t>5/5</t>
        </is>
      </c>
      <c r="M24" s="23" t="inlineStr">
        <is>
          <t>Qualified (WA: +5.89%) — YTD✔ 1Y✔ 3Y✔ 5Y✔ 10Y✔</t>
        </is>
      </c>
      <c r="N24" s="27" t="n">
        <v>5.89</v>
      </c>
      <c r="O24" s="27" t="n">
        <v>7.69</v>
      </c>
      <c r="P24" s="27" t="n">
        <v>4.74</v>
      </c>
      <c r="Q24" s="27" t="n">
        <v>2.95</v>
      </c>
      <c r="R24" s="27" t="n">
        <v>25.36</v>
      </c>
      <c r="S24" s="27" t="n">
        <v>11.86</v>
      </c>
      <c r="T24" s="27" t="n">
        <v>13.5</v>
      </c>
      <c r="U24" s="27" t="n">
        <v>10.99</v>
      </c>
      <c r="V24" s="27" t="n">
        <v>5.62</v>
      </c>
      <c r="W24" s="27" t="n">
        <v>5.37</v>
      </c>
      <c r="X24" s="27" t="n">
        <v>3.14</v>
      </c>
      <c r="Y24" s="27" t="n">
        <v>-0.4</v>
      </c>
      <c r="Z24" s="27" t="n">
        <v>3.54</v>
      </c>
      <c r="AA24" s="27" t="n">
        <v>5.3</v>
      </c>
      <c r="AB24" s="27" t="n">
        <v>0.75</v>
      </c>
      <c r="AC24" s="27" t="n">
        <v>4.55</v>
      </c>
      <c r="AD24" s="27">
        <f>IF(OR(Q24="",BM24="",BM24=0),"",Q24/BM24)</f>
        <v/>
      </c>
      <c r="AE24" s="27">
        <f>IF(OR(T24="",BM24="",BM24=0),"",T24/BM24)</f>
        <v/>
      </c>
      <c r="AF24" s="27">
        <f>IF(OR(W24="",BM24="",BM24=0),"",W24/BM24)</f>
        <v/>
      </c>
      <c r="AG24" s="27">
        <f>IF(OR(Z24="",BM24="",BM24=0),"",Z24/BM24)</f>
        <v/>
      </c>
      <c r="AH24" s="27">
        <f>IF(OR(AC24="",BM24="",BM24=0),"",AC24/BM24)</f>
        <v/>
      </c>
      <c r="AI24" s="26" t="n">
        <v>75.7</v>
      </c>
      <c r="AJ24" s="26" t="n">
        <v>21.6</v>
      </c>
      <c r="AK24" s="26" t="n"/>
      <c r="AL24" s="26" t="n">
        <v>2.7</v>
      </c>
      <c r="AM24" s="26" t="n"/>
      <c r="AN24" s="26" t="n"/>
      <c r="AO24" s="26" t="n">
        <v>10.6</v>
      </c>
      <c r="AP24" s="26" t="n">
        <v>3.8</v>
      </c>
      <c r="AQ24" s="26" t="n">
        <v>7.2</v>
      </c>
      <c r="AR24" s="26" t="n"/>
      <c r="AS24" s="26" t="n"/>
      <c r="AT24" s="26" t="n"/>
      <c r="AU24" s="26" t="n"/>
      <c r="AV24" s="26" t="n"/>
      <c r="AW24" s="26" t="n"/>
      <c r="AX24" s="26" t="n"/>
      <c r="AY24" s="26" t="n"/>
      <c r="AZ24" s="26" t="n"/>
      <c r="BA24" s="26" t="n">
        <v>26.1</v>
      </c>
      <c r="BB24" s="26" t="n">
        <v>12.1</v>
      </c>
      <c r="BC24" s="26" t="n">
        <v>12.1</v>
      </c>
      <c r="BD24" s="26" t="n">
        <v>13.1</v>
      </c>
      <c r="BE24" s="26" t="n"/>
      <c r="BF24" s="26" t="n">
        <v>10.1</v>
      </c>
      <c r="BG24" s="26" t="n"/>
      <c r="BH24" s="26" t="n"/>
      <c r="BI24" s="26" t="n"/>
      <c r="BJ24" s="26" t="n"/>
      <c r="BK24" s="26" t="n"/>
      <c r="BL24" s="23" t="inlineStr">
        <is>
          <t>Press Metal Aluminium Holdings Berhad | Tenaga Nasional Berhad | HD Hyundai Electric Company Limited | Telekom Malaysia Berhad | IHH Healthcare Berhad</t>
        </is>
      </c>
      <c r="BM24" s="26" t="n">
        <v>9.5</v>
      </c>
      <c r="BN24" s="22" t="inlineStr">
        <is>
          <t>Moderate</t>
        </is>
      </c>
      <c r="BO24" s="23" t="inlineStr">
        <is>
          <t>Equity Malaysia Domestic</t>
        </is>
      </c>
      <c r="BP24" s="23" t="n"/>
      <c r="BQ24" s="28" t="n">
        <v>0.4381</v>
      </c>
      <c r="BR24" s="22" t="inlineStr">
        <is>
          <t>2026-05-14</t>
        </is>
      </c>
      <c r="BS24" s="28" t="n">
        <v>0.4286</v>
      </c>
      <c r="BT24" s="27" t="n">
        <v>-2.17</v>
      </c>
      <c r="BU24" s="24" t="n">
        <v>32</v>
      </c>
    </row>
    <row r="25" ht="16" customHeight="1">
      <c r="A25" s="29" t="inlineStr">
        <is>
          <t>PB CHINA PACIFIC EQUITY FUND</t>
        </is>
      </c>
      <c r="B25" s="29" t="inlineStr">
        <is>
          <t>PBCPEF</t>
        </is>
      </c>
      <c r="C25" s="29" t="inlineStr">
        <is>
          <t>Conventional</t>
        </is>
      </c>
      <c r="D25" s="29" t="inlineStr">
        <is>
          <t>Equity</t>
        </is>
      </c>
      <c r="E25" s="30" t="inlineStr">
        <is>
          <t>Capital Growth</t>
        </is>
      </c>
      <c r="F25" s="31" t="n">
        <v>5</v>
      </c>
      <c r="G25" s="30" t="inlineStr">
        <is>
          <t>Incidental</t>
        </is>
      </c>
      <c r="H25" s="32" t="n">
        <v>229.83</v>
      </c>
      <c r="I25" s="29" t="inlineStr">
        <is>
          <t>23.10.2007</t>
        </is>
      </c>
      <c r="J25" s="29" t="inlineStr">
        <is>
          <t>Qualified</t>
        </is>
      </c>
      <c r="K25" s="33" t="n">
        <v>100</v>
      </c>
      <c r="L25" s="29" t="inlineStr">
        <is>
          <t>5/5</t>
        </is>
      </c>
      <c r="M25" s="30" t="inlineStr">
        <is>
          <t>Qualified (WA: +5.76%) — YTD✔ 1Y✔ 3Y✔ 5Y✔ 10Y✔</t>
        </is>
      </c>
      <c r="N25" s="34" t="n">
        <v>5.76</v>
      </c>
      <c r="O25" s="34" t="n">
        <v>23.14</v>
      </c>
      <c r="P25" s="34" t="n">
        <v>9.66</v>
      </c>
      <c r="Q25" s="34" t="n">
        <v>13.48</v>
      </c>
      <c r="R25" s="34" t="n">
        <v>44.67</v>
      </c>
      <c r="S25" s="34" t="n">
        <v>32.09</v>
      </c>
      <c r="T25" s="34" t="n">
        <v>12.58</v>
      </c>
      <c r="U25" s="34" t="n">
        <v>17.11</v>
      </c>
      <c r="V25" s="34" t="n">
        <v>11.4</v>
      </c>
      <c r="W25" s="34" t="n">
        <v>5.71</v>
      </c>
      <c r="X25" s="34" t="n">
        <v>1.25</v>
      </c>
      <c r="Y25" s="34" t="n">
        <v>-1.3</v>
      </c>
      <c r="Z25" s="34" t="n">
        <v>2.55</v>
      </c>
      <c r="AA25" s="34" t="n">
        <v>8.66</v>
      </c>
      <c r="AB25" s="34" t="n">
        <v>6.82</v>
      </c>
      <c r="AC25" s="34" t="n">
        <v>1.84</v>
      </c>
      <c r="AD25" s="34">
        <f>IF(OR(Q25="",BM25="",BM25=0),"",Q25/BM25)</f>
        <v/>
      </c>
      <c r="AE25" s="34">
        <f>IF(OR(T25="",BM25="",BM25=0),"",T25/BM25)</f>
        <v/>
      </c>
      <c r="AF25" s="34">
        <f>IF(OR(W25="",BM25="",BM25=0),"",W25/BM25)</f>
        <v/>
      </c>
      <c r="AG25" s="34">
        <f>IF(OR(Z25="",BM25="",BM25=0),"",Z25/BM25)</f>
        <v/>
      </c>
      <c r="AH25" s="34">
        <f>IF(OR(AC25="",BM25="",BM25=0),"",AC25/BM25)</f>
        <v/>
      </c>
      <c r="AI25" s="33" t="n"/>
      <c r="AJ25" s="33" t="n">
        <v>95</v>
      </c>
      <c r="AK25" s="33" t="n"/>
      <c r="AL25" s="33" t="n">
        <v>5</v>
      </c>
      <c r="AM25" s="33" t="n"/>
      <c r="AN25" s="33" t="n"/>
      <c r="AO25" s="33" t="n">
        <v>4.8</v>
      </c>
      <c r="AP25" s="33" t="n">
        <v>47.3</v>
      </c>
      <c r="AQ25" s="33" t="n">
        <v>28.4</v>
      </c>
      <c r="AR25" s="33" t="n">
        <v>0.4</v>
      </c>
      <c r="AS25" s="33" t="n"/>
      <c r="AT25" s="33" t="n"/>
      <c r="AU25" s="33" t="n">
        <v>14.1</v>
      </c>
      <c r="AV25" s="33" t="n"/>
      <c r="AW25" s="33" t="n"/>
      <c r="AX25" s="33" t="n"/>
      <c r="AY25" s="33" t="n"/>
      <c r="AZ25" s="33" t="n"/>
      <c r="BA25" s="33" t="n">
        <v>26.5</v>
      </c>
      <c r="BB25" s="33" t="n">
        <v>50</v>
      </c>
      <c r="BC25" s="33" t="n"/>
      <c r="BD25" s="33" t="n">
        <v>18</v>
      </c>
      <c r="BE25" s="33" t="n">
        <v>0.5</v>
      </c>
      <c r="BF25" s="33" t="n"/>
      <c r="BG25" s="33" t="n"/>
      <c r="BH25" s="33" t="n"/>
      <c r="BI25" s="33" t="n"/>
      <c r="BJ25" s="33" t="n"/>
      <c r="BK25" s="33" t="n"/>
      <c r="BL25" s="30" t="inlineStr">
        <is>
          <t>SK Hynix Incorporated | Taiwan Semiconductor Manufacturing Company Limited | Samsung Electronics Company Limited | Tencent Holdings Limited | Delta Electronics Incorporated</t>
        </is>
      </c>
      <c r="BM25" s="33" t="n">
        <v>19.3</v>
      </c>
      <c r="BN25" s="29" t="inlineStr">
        <is>
          <t>Very High</t>
        </is>
      </c>
      <c r="BO25" s="30" t="inlineStr">
        <is>
          <t>Equity Asia Pacific Greater China</t>
        </is>
      </c>
      <c r="BP25" s="30" t="inlineStr">
        <is>
          <t>ThebenchmarkforPBCPEFisacompositeof70%HangSengChinaEnterprises Index (HSCEI) and 30% Hang Seng Index (HSI) (prior to 1 January 2009). MSCI Zhong Hua Index (1 January 2009 to 29 April 2015). 80%MSCIZhongHuaIndex(30April2015to29April2021),80%S&amp;PChina&amp; HongKongLargeMidCapIndex(30April 2021to28December2025),60%S&amp;P China&amp;HongKongLargeMidCapIndex(w.e.f.29December2025),10%KOSPI50 Index (30 April 2015 to 29 April 2016), 10% MSCI Korea Large Cap Index (30April2016to29April2021),10%S&amp;PKoreaLargeCapIndex(30April2021to 28December2025),15%S&amp;PKoreaLargeCapIndex(w.e.f.29December2025), 10% FTSE TWSE Taiwan50 Index(30 April 2015 to29 April 2016), 10% MSCI Taiwan Large Cap Index (30 April 2016 to 29 April 2021), 10% S&amp;P Taiwan LargeCapIndex(30April2021to28December2025),15%S&amp;PTaiwanLargeCap Index(w.e.f.29December2025)and10%3-MonthKualaLumpurInterbankOffered Rate (KLIBOR) (w.e.f. 29 December 2025). UnderlyingindexdataaresourcedfromS&amp;PDowJonesIndices,LLC,Lipperand Bank Negara Malaysia and expressed in Ringgit terms.</t>
        </is>
      </c>
      <c r="BQ25" s="35" t="n">
        <v>0.5508999999999999</v>
      </c>
      <c r="BR25" s="29" t="inlineStr">
        <is>
          <t>2026-06-04</t>
        </is>
      </c>
      <c r="BS25" s="35" t="n">
        <v>0.5278</v>
      </c>
      <c r="BT25" s="34" t="n">
        <v>-4.19</v>
      </c>
      <c r="BU25" s="31" t="n">
        <v>11</v>
      </c>
    </row>
    <row r="26" ht="16" customHeight="1">
      <c r="A26" s="22" t="inlineStr">
        <is>
          <t>PB SMALLCAP GROWTH FUND</t>
        </is>
      </c>
      <c r="B26" s="22" t="inlineStr">
        <is>
          <t>PBSCGF</t>
        </is>
      </c>
      <c r="C26" s="22" t="inlineStr">
        <is>
          <t>Conventional</t>
        </is>
      </c>
      <c r="D26" s="22" t="inlineStr">
        <is>
          <t>Equity</t>
        </is>
      </c>
      <c r="E26" s="23" t="inlineStr">
        <is>
          <t>Capital Growth</t>
        </is>
      </c>
      <c r="F26" s="24" t="n">
        <v>5</v>
      </c>
      <c r="G26" s="23" t="inlineStr">
        <is>
          <t>Incidental</t>
        </is>
      </c>
      <c r="H26" s="25" t="n">
        <v>123.09</v>
      </c>
      <c r="I26" s="22" t="inlineStr">
        <is>
          <t>13.01.2016</t>
        </is>
      </c>
      <c r="J26" s="22" t="inlineStr">
        <is>
          <t>Qualified</t>
        </is>
      </c>
      <c r="K26" s="26" t="n">
        <v>80</v>
      </c>
      <c r="L26" s="22" t="inlineStr">
        <is>
          <t>4/5</t>
        </is>
      </c>
      <c r="M26" s="23" t="inlineStr">
        <is>
          <t>Qualified (WA: +5.70%) — YTD✘ 1Y✔ 3Y✔ 5Y✔ 10Y✔</t>
        </is>
      </c>
      <c r="N26" s="27" t="n">
        <v>5.7</v>
      </c>
      <c r="O26" s="27" t="n">
        <v>-1.39</v>
      </c>
      <c r="P26" s="27" t="n">
        <v>-0.78</v>
      </c>
      <c r="Q26" s="27" t="n">
        <v>-0.61</v>
      </c>
      <c r="R26" s="27" t="n">
        <v>19.08</v>
      </c>
      <c r="S26" s="27" t="n">
        <v>2.02</v>
      </c>
      <c r="T26" s="27" t="n">
        <v>17.06</v>
      </c>
      <c r="U26" s="27" t="n">
        <v>5.06</v>
      </c>
      <c r="V26" s="27" t="n">
        <v>0.65</v>
      </c>
      <c r="W26" s="27" t="n">
        <v>4.41</v>
      </c>
      <c r="X26" s="27" t="n">
        <v>2.09</v>
      </c>
      <c r="Y26" s="27" t="n">
        <v>-1.34</v>
      </c>
      <c r="Z26" s="27" t="n">
        <v>3.43</v>
      </c>
      <c r="AA26" s="27" t="n">
        <v>4.2</v>
      </c>
      <c r="AB26" s="27" t="n">
        <v>0.54</v>
      </c>
      <c r="AC26" s="27" t="n">
        <v>3.66</v>
      </c>
      <c r="AD26" s="27">
        <f>IF(OR(Q26="",BM26="",BM26=0),"",Q26/BM26)</f>
        <v/>
      </c>
      <c r="AE26" s="27">
        <f>IF(OR(T26="",BM26="",BM26=0),"",T26/BM26)</f>
        <v/>
      </c>
      <c r="AF26" s="27">
        <f>IF(OR(W26="",BM26="",BM26=0),"",W26/BM26)</f>
        <v/>
      </c>
      <c r="AG26" s="27">
        <f>IF(OR(Z26="",BM26="",BM26=0),"",Z26/BM26)</f>
        <v/>
      </c>
      <c r="AH26" s="27">
        <f>IF(OR(AC26="",BM26="",BM26=0),"",AC26/BM26)</f>
        <v/>
      </c>
      <c r="AI26" s="26" t="n">
        <v>77.2</v>
      </c>
      <c r="AJ26" s="26" t="n">
        <v>17.2</v>
      </c>
      <c r="AK26" s="26" t="n"/>
      <c r="AL26" s="26" t="n">
        <v>5.6</v>
      </c>
      <c r="AM26" s="26" t="n"/>
      <c r="AN26" s="26" t="n"/>
      <c r="AO26" s="26" t="n">
        <v>12.6</v>
      </c>
      <c r="AP26" s="26" t="n"/>
      <c r="AQ26" s="26" t="n"/>
      <c r="AR26" s="26" t="n">
        <v>4.6</v>
      </c>
      <c r="AS26" s="26" t="n"/>
      <c r="AT26" s="26" t="n"/>
      <c r="AU26" s="26" t="n"/>
      <c r="AV26" s="26" t="n"/>
      <c r="AW26" s="26" t="n"/>
      <c r="AX26" s="26" t="n"/>
      <c r="AY26" s="26" t="n"/>
      <c r="AZ26" s="26" t="n"/>
      <c r="BA26" s="26" t="n">
        <v>44</v>
      </c>
      <c r="BB26" s="26" t="n"/>
      <c r="BC26" s="26" t="n">
        <v>7.4</v>
      </c>
      <c r="BD26" s="26" t="n">
        <v>9.199999999999999</v>
      </c>
      <c r="BE26" s="26" t="n"/>
      <c r="BF26" s="26" t="n">
        <v>23.5</v>
      </c>
      <c r="BG26" s="26" t="n"/>
      <c r="BH26" s="26" t="n"/>
      <c r="BI26" s="26" t="n"/>
      <c r="BJ26" s="26" t="n"/>
      <c r="BK26" s="26" t="n">
        <v>7.6</v>
      </c>
      <c r="BL26" s="23" t="inlineStr">
        <is>
          <t>Spritzer Berhad | Malaysian Pacific Industries Berhad | UWC Berhad | MN Holdings Berhad | Southern Cable Group Berhad</t>
        </is>
      </c>
      <c r="BM26" s="26" t="n">
        <v>12.9</v>
      </c>
      <c r="BN26" s="22" t="inlineStr">
        <is>
          <t>High</t>
        </is>
      </c>
      <c r="BO26" s="23" t="inlineStr">
        <is>
          <t>Equity Malaysia Small &amp;</t>
        </is>
      </c>
      <c r="BP26" s="23" t="n"/>
      <c r="BQ26" s="28" t="n">
        <v>0.3595</v>
      </c>
      <c r="BR26" s="22" t="inlineStr">
        <is>
          <t>2024-06-14</t>
        </is>
      </c>
      <c r="BS26" s="28" t="n">
        <v>0.3516</v>
      </c>
      <c r="BT26" s="27" t="n">
        <v>-2.2</v>
      </c>
      <c r="BU26" s="24" t="n">
        <v>731</v>
      </c>
    </row>
    <row r="27" ht="16" customHeight="1">
      <c r="A27" s="29" t="inlineStr">
        <is>
          <t>PB ISLAMIC ASIA EQUITY FUND</t>
        </is>
      </c>
      <c r="B27" s="29" t="inlineStr">
        <is>
          <t>PBIAEF</t>
        </is>
      </c>
      <c r="C27" s="29" t="inlineStr">
        <is>
          <t>Conventional</t>
        </is>
      </c>
      <c r="D27" s="29" t="inlineStr">
        <is>
          <t>Equity</t>
        </is>
      </c>
      <c r="E27" s="30" t="inlineStr">
        <is>
          <t>Capital Growth</t>
        </is>
      </c>
      <c r="F27" s="31" t="n">
        <v>5</v>
      </c>
      <c r="G27" s="30" t="inlineStr">
        <is>
          <t>Incidental</t>
        </is>
      </c>
      <c r="H27" s="32" t="n">
        <v>139.65</v>
      </c>
      <c r="I27" s="29" t="inlineStr">
        <is>
          <t>08.01.2007</t>
        </is>
      </c>
      <c r="J27" s="29" t="inlineStr">
        <is>
          <t>Qualified</t>
        </is>
      </c>
      <c r="K27" s="33" t="n">
        <v>100</v>
      </c>
      <c r="L27" s="29" t="inlineStr">
        <is>
          <t>5/5</t>
        </is>
      </c>
      <c r="M27" s="30" t="inlineStr">
        <is>
          <t>Qualified (WA: +5.49%) — YTD✔ 1Y✔ 3Y✔ 5Y✔ 10Y✔</t>
        </is>
      </c>
      <c r="N27" s="34" t="n">
        <v>5.49</v>
      </c>
      <c r="O27" s="34" t="n">
        <v>29.83</v>
      </c>
      <c r="P27" s="34" t="n">
        <v>25.06</v>
      </c>
      <c r="Q27" s="34" t="n">
        <v>4.77</v>
      </c>
      <c r="R27" s="34" t="n">
        <v>79.45</v>
      </c>
      <c r="S27" s="34" t="n">
        <v>56.89</v>
      </c>
      <c r="T27" s="34" t="n">
        <v>22.56</v>
      </c>
      <c r="U27" s="34" t="n">
        <v>22.33</v>
      </c>
      <c r="V27" s="34" t="n">
        <v>17.8</v>
      </c>
      <c r="W27" s="34" t="n">
        <v>4.53</v>
      </c>
      <c r="X27" s="34" t="n">
        <v>3.7</v>
      </c>
      <c r="Y27" s="34" t="n">
        <v>3.47</v>
      </c>
      <c r="Z27" s="34" t="n">
        <v>0.23</v>
      </c>
      <c r="AA27" s="34" t="n">
        <v>8.1</v>
      </c>
      <c r="AB27" s="34" t="n">
        <v>8.09</v>
      </c>
      <c r="AC27" s="34" t="n">
        <v>0.01</v>
      </c>
      <c r="AD27" s="34">
        <f>IF(OR(Q27="",BM27="",BM27=0),"",Q27/BM27)</f>
        <v/>
      </c>
      <c r="AE27" s="34">
        <f>IF(OR(T27="",BM27="",BM27=0),"",T27/BM27)</f>
        <v/>
      </c>
      <c r="AF27" s="34">
        <f>IF(OR(W27="",BM27="",BM27=0),"",W27/BM27)</f>
        <v/>
      </c>
      <c r="AG27" s="34">
        <f>IF(OR(Z27="",BM27="",BM27=0),"",Z27/BM27)</f>
        <v/>
      </c>
      <c r="AH27" s="34">
        <f>IF(OR(AC27="",BM27="",BM27=0),"",AC27/BM27)</f>
        <v/>
      </c>
      <c r="AI27" s="33" t="n"/>
      <c r="AJ27" s="33" t="n">
        <v>83.40000000000001</v>
      </c>
      <c r="AK27" s="33" t="n"/>
      <c r="AL27" s="33" t="n">
        <v>16.6</v>
      </c>
      <c r="AM27" s="33" t="n"/>
      <c r="AN27" s="33" t="n"/>
      <c r="AO27" s="33" t="n"/>
      <c r="AP27" s="33" t="n">
        <v>33.2</v>
      </c>
      <c r="AQ27" s="33" t="n">
        <v>29.8</v>
      </c>
      <c r="AR27" s="33" t="n">
        <v>0.9</v>
      </c>
      <c r="AS27" s="33" t="n"/>
      <c r="AT27" s="33" t="n"/>
      <c r="AU27" s="33" t="n">
        <v>17.3</v>
      </c>
      <c r="AV27" s="33" t="n"/>
      <c r="AW27" s="33" t="n"/>
      <c r="AX27" s="33" t="n"/>
      <c r="AY27" s="33" t="n"/>
      <c r="AZ27" s="33" t="n">
        <v>2.2</v>
      </c>
      <c r="BA27" s="33" t="n">
        <v>15.8</v>
      </c>
      <c r="BB27" s="33" t="n">
        <v>43</v>
      </c>
      <c r="BC27" s="33" t="n"/>
      <c r="BD27" s="33" t="n">
        <v>24.6</v>
      </c>
      <c r="BE27" s="33" t="n"/>
      <c r="BF27" s="33" t="n"/>
      <c r="BG27" s="33" t="n"/>
      <c r="BH27" s="33" t="n"/>
      <c r="BI27" s="33" t="n"/>
      <c r="BJ27" s="33" t="n"/>
      <c r="BK27" s="33" t="n"/>
      <c r="BL27" s="30" t="inlineStr">
        <is>
          <t>SK Hynix Incorporated | Taiwan Semiconductor Manufacturing Company Limited | Alibaba Group Holding Limited - W | Samsung Electronics Company Limited | Tencent Holdings Limited</t>
        </is>
      </c>
      <c r="BM27" s="33" t="n">
        <v>16.3</v>
      </c>
      <c r="BN27" s="29" t="inlineStr">
        <is>
          <t>Very High</t>
        </is>
      </c>
      <c r="BO27" s="30" t="inlineStr">
        <is>
          <t>Equity Asia Pacific Asia</t>
        </is>
      </c>
      <c r="BP27" s="30" t="inlineStr">
        <is>
          <t>The benchmark for PBIAEF is a composite of 20% Kuala Lumpur Syariah Index (prior to 1 November 2007), 20% FTSE Bursa Malaysia EMAS Shariah Index (1 November 2007 to 29 April 2011), 20% FTSE Bursa Malaysia Hijrah Shariah Index (w.e.f. 30 April 2011) and 80% Dow Jones Islamic Market Asia Ex-Japan IndexSM (prior to 1 January 2009), 80% S&amp;P Shariah BMI Asia Ex-Japan Index (w.e.f. 1 January 2009). UnderlyingindexdataaresourcedfromS&amp;PDowJonesIndices,LLCandLipper and expressed in Ringgit terms.</t>
        </is>
      </c>
      <c r="BQ27" s="35" t="n">
        <v>0.4907</v>
      </c>
      <c r="BR27" s="29" t="inlineStr">
        <is>
          <t>2026-06-04</t>
        </is>
      </c>
      <c r="BS27" s="35" t="n">
        <v>0.4773</v>
      </c>
      <c r="BT27" s="34" t="n">
        <v>-2.73</v>
      </c>
      <c r="BU27" s="31" t="n">
        <v>11</v>
      </c>
    </row>
    <row r="28" ht="16" customHeight="1">
      <c r="A28" s="36" t="inlineStr">
        <is>
          <t>PUBLIC ISLAMIC OPPORTUNITIES FUND</t>
        </is>
      </c>
      <c r="B28" s="36" t="inlineStr">
        <is>
          <t>PIOF</t>
        </is>
      </c>
      <c r="C28" s="36" t="inlineStr">
        <is>
          <t>Shariah</t>
        </is>
      </c>
      <c r="D28" s="36" t="inlineStr">
        <is>
          <t>Equity</t>
        </is>
      </c>
      <c r="E28" s="23" t="inlineStr">
        <is>
          <t>Capital Growth</t>
        </is>
      </c>
      <c r="F28" s="24" t="n">
        <v>5</v>
      </c>
      <c r="G28" s="23" t="inlineStr">
        <is>
          <t>Incidental</t>
        </is>
      </c>
      <c r="H28" s="25" t="n">
        <v>1137.4</v>
      </c>
      <c r="I28" s="22" t="inlineStr">
        <is>
          <t>28.06.2005</t>
        </is>
      </c>
      <c r="J28" s="22" t="inlineStr">
        <is>
          <t>Qualified</t>
        </is>
      </c>
      <c r="K28" s="26" t="n">
        <v>100</v>
      </c>
      <c r="L28" s="22" t="inlineStr">
        <is>
          <t>5/5</t>
        </is>
      </c>
      <c r="M28" s="23" t="inlineStr">
        <is>
          <t>Qualified (WA: +5.43%) — YTD✔ 1Y✔ 3Y✔ 5Y✔ 10Y✔</t>
        </is>
      </c>
      <c r="N28" s="27" t="n">
        <v>5.43</v>
      </c>
      <c r="O28" s="27" t="n">
        <v>8.56</v>
      </c>
      <c r="P28" s="27" t="n">
        <v>-2.13</v>
      </c>
      <c r="Q28" s="27" t="n">
        <v>10.69</v>
      </c>
      <c r="R28" s="27" t="n">
        <v>13.5</v>
      </c>
      <c r="S28" s="27" t="n">
        <v>3</v>
      </c>
      <c r="T28" s="27" t="n">
        <v>10.5</v>
      </c>
      <c r="U28" s="27" t="n">
        <v>5.51</v>
      </c>
      <c r="V28" s="27" t="n">
        <v>0.98</v>
      </c>
      <c r="W28" s="27" t="n">
        <v>4.53</v>
      </c>
      <c r="X28" s="27" t="n">
        <v>0.43</v>
      </c>
      <c r="Y28" s="27" t="n">
        <v>-1.87</v>
      </c>
      <c r="Z28" s="27" t="n">
        <v>2.3</v>
      </c>
      <c r="AA28" s="27" t="n">
        <v>6.28</v>
      </c>
      <c r="AB28" s="27" t="n">
        <v>0.04</v>
      </c>
      <c r="AC28" s="27" t="n">
        <v>6.24</v>
      </c>
      <c r="AD28" s="27">
        <f>IF(OR(Q28="",BM28="",BM28=0),"",Q28/BM28)</f>
        <v/>
      </c>
      <c r="AE28" s="27">
        <f>IF(OR(T28="",BM28="",BM28=0),"",T28/BM28)</f>
        <v/>
      </c>
      <c r="AF28" s="27">
        <f>IF(OR(W28="",BM28="",BM28=0),"",W28/BM28)</f>
        <v/>
      </c>
      <c r="AG28" s="27">
        <f>IF(OR(Z28="",BM28="",BM28=0),"",Z28/BM28)</f>
        <v/>
      </c>
      <c r="AH28" s="27">
        <f>IF(OR(AC28="",BM28="",BM28=0),"",AC28/BM28)</f>
        <v/>
      </c>
      <c r="AI28" s="26" t="n">
        <v>76.3</v>
      </c>
      <c r="AJ28" s="26" t="n">
        <v>19.4</v>
      </c>
      <c r="AK28" s="26" t="n"/>
      <c r="AL28" s="26" t="n">
        <v>4.3</v>
      </c>
      <c r="AM28" s="26" t="n"/>
      <c r="AN28" s="26" t="n"/>
      <c r="AO28" s="26" t="n">
        <v>5.7</v>
      </c>
      <c r="AP28" s="26" t="n">
        <v>5.7</v>
      </c>
      <c r="AQ28" s="26" t="n">
        <v>8</v>
      </c>
      <c r="AR28" s="26" t="n"/>
      <c r="AS28" s="26" t="n"/>
      <c r="AT28" s="26" t="n"/>
      <c r="AU28" s="26" t="n"/>
      <c r="AV28" s="26" t="n"/>
      <c r="AW28" s="26" t="n"/>
      <c r="AX28" s="26" t="n"/>
      <c r="AY28" s="26" t="n"/>
      <c r="AZ28" s="26" t="n"/>
      <c r="BA28" s="26" t="n">
        <v>42.9</v>
      </c>
      <c r="BB28" s="26" t="n">
        <v>16.1</v>
      </c>
      <c r="BC28" s="26" t="n">
        <v>11</v>
      </c>
      <c r="BD28" s="26" t="n"/>
      <c r="BE28" s="26" t="n">
        <v>6.7</v>
      </c>
      <c r="BF28" s="26" t="n">
        <v>11.2</v>
      </c>
      <c r="BG28" s="26" t="n"/>
      <c r="BH28" s="26" t="n"/>
      <c r="BI28" s="26" t="n"/>
      <c r="BJ28" s="26" t="n"/>
      <c r="BK28" s="26" t="n"/>
      <c r="BL28" s="23" t="inlineStr">
        <is>
          <t>Kelington Group Berhad | Frontken Corporation Berhad | Taiwan Semiconductor Manufacturing Company Limited | UWC Berhad | HD Hyundai Electric Company Limited</t>
        </is>
      </c>
      <c r="BM28" s="26" t="n">
        <v>11.5</v>
      </c>
      <c r="BN28" s="22" t="inlineStr">
        <is>
          <t>High</t>
        </is>
      </c>
      <c r="BO28" s="23" t="inlineStr">
        <is>
          <t>Equity Malaysia Domestic</t>
        </is>
      </c>
      <c r="BP28" s="23" t="inlineStr">
        <is>
          <t>2023 1.00 31.7.23 1.9 Kuala Lumpur Syariah Index (prior to 1 November 2007). Note: Distribution yield simply measures the level of distributions and is not FTSE Bursa Malaysia EMAS Shariah Index (1 November 2007 to 29 April 2013). a measure of fund performance. FTSE Bursa Malaysia Small Cap Shariah Index (w.e.f. 30 April 2013). Underlying index data are sourced from Lipper.</t>
        </is>
      </c>
      <c r="BQ28" s="28" t="n">
        <v>0.714</v>
      </c>
      <c r="BR28" s="22" t="inlineStr">
        <is>
          <t>2021-11-19</t>
        </is>
      </c>
      <c r="BS28" s="28" t="n">
        <v>0.6276</v>
      </c>
      <c r="BT28" s="27" t="n">
        <v>-12.1</v>
      </c>
      <c r="BU28" s="24" t="n">
        <v>1669</v>
      </c>
    </row>
    <row r="29" ht="16" customHeight="1">
      <c r="A29" s="37" t="inlineStr">
        <is>
          <t>PUBLIC ITTIKAL FUND</t>
        </is>
      </c>
      <c r="B29" s="37" t="inlineStr">
        <is>
          <t>P ITTIKAL</t>
        </is>
      </c>
      <c r="C29" s="37" t="inlineStr">
        <is>
          <t>Shariah</t>
        </is>
      </c>
      <c r="D29" s="37" t="inlineStr">
        <is>
          <t>Equity</t>
        </is>
      </c>
      <c r="E29" s="30" t="inlineStr">
        <is>
          <t>Capital Growth</t>
        </is>
      </c>
      <c r="F29" s="31" t="n">
        <v>4</v>
      </c>
      <c r="G29" s="30" t="inlineStr">
        <is>
          <t>Incidental</t>
        </is>
      </c>
      <c r="H29" s="32" t="n">
        <v>3992.97</v>
      </c>
      <c r="I29" s="29" t="inlineStr">
        <is>
          <t>10.04.1997</t>
        </is>
      </c>
      <c r="J29" s="29" t="inlineStr">
        <is>
          <t>Qualified</t>
        </is>
      </c>
      <c r="K29" s="33" t="n">
        <v>80</v>
      </c>
      <c r="L29" s="29" t="inlineStr">
        <is>
          <t>4/5</t>
        </is>
      </c>
      <c r="M29" s="30" t="inlineStr">
        <is>
          <t>Qualified (WA: +5.40%) — YTD✘ 1Y✔ 3Y✔ 5Y✔ 10Y✔</t>
        </is>
      </c>
      <c r="N29" s="34" t="n">
        <v>5.4</v>
      </c>
      <c r="O29" s="34" t="n">
        <v>4.47</v>
      </c>
      <c r="P29" s="34" t="n">
        <v>5.14</v>
      </c>
      <c r="Q29" s="34" t="n">
        <v>-0.67</v>
      </c>
      <c r="R29" s="34" t="n">
        <v>21.24</v>
      </c>
      <c r="S29" s="34" t="n">
        <v>12.81</v>
      </c>
      <c r="T29" s="34" t="n">
        <v>8.43</v>
      </c>
      <c r="U29" s="34" t="n">
        <v>11.24</v>
      </c>
      <c r="V29" s="34" t="n">
        <v>5.79</v>
      </c>
      <c r="W29" s="34" t="n">
        <v>5.45</v>
      </c>
      <c r="X29" s="34" t="n">
        <v>4.98</v>
      </c>
      <c r="Y29" s="34" t="n">
        <v>-0.85</v>
      </c>
      <c r="Z29" s="34" t="n">
        <v>5.83</v>
      </c>
      <c r="AA29" s="34" t="n">
        <v>3.98</v>
      </c>
      <c r="AB29" s="34" t="n">
        <v>0.41</v>
      </c>
      <c r="AC29" s="34" t="n">
        <v>3.57</v>
      </c>
      <c r="AD29" s="34">
        <f>IF(OR(Q29="",BM29="",BM29=0),"",Q29/BM29)</f>
        <v/>
      </c>
      <c r="AE29" s="34">
        <f>IF(OR(T29="",BM29="",BM29=0),"",T29/BM29)</f>
        <v/>
      </c>
      <c r="AF29" s="34">
        <f>IF(OR(W29="",BM29="",BM29=0),"",W29/BM29)</f>
        <v/>
      </c>
      <c r="AG29" s="34">
        <f>IF(OR(Z29="",BM29="",BM29=0),"",Z29/BM29)</f>
        <v/>
      </c>
      <c r="AH29" s="34">
        <f>IF(OR(AC29="",BM29="",BM29=0),"",AC29/BM29)</f>
        <v/>
      </c>
      <c r="AI29" s="33" t="n">
        <v>74.7</v>
      </c>
      <c r="AJ29" s="33" t="n">
        <v>23.3</v>
      </c>
      <c r="AK29" s="33" t="n"/>
      <c r="AL29" s="33" t="n">
        <v>2</v>
      </c>
      <c r="AM29" s="33" t="n"/>
      <c r="AN29" s="33" t="n"/>
      <c r="AO29" s="33" t="n">
        <v>14.5</v>
      </c>
      <c r="AP29" s="33" t="n">
        <v>8.800000000000001</v>
      </c>
      <c r="AQ29" s="33" t="n"/>
      <c r="AR29" s="33" t="n"/>
      <c r="AS29" s="33" t="n"/>
      <c r="AT29" s="33" t="n"/>
      <c r="AU29" s="33" t="n"/>
      <c r="AV29" s="33" t="n"/>
      <c r="AW29" s="33" t="n"/>
      <c r="AX29" s="33" t="n"/>
      <c r="AY29" s="33" t="n"/>
      <c r="AZ29" s="33" t="n"/>
      <c r="BA29" s="33" t="n"/>
      <c r="BB29" s="33" t="n">
        <v>15.3</v>
      </c>
      <c r="BC29" s="33" t="n">
        <v>13.2</v>
      </c>
      <c r="BD29" s="33" t="n">
        <v>19.1</v>
      </c>
      <c r="BE29" s="33" t="n"/>
      <c r="BF29" s="33" t="n">
        <v>20.5</v>
      </c>
      <c r="BG29" s="33" t="n">
        <v>9.6</v>
      </c>
      <c r="BH29" s="33" t="n"/>
      <c r="BI29" s="33" t="n"/>
      <c r="BJ29" s="33" t="n"/>
      <c r="BK29" s="33" t="n"/>
      <c r="BL29" s="30" t="inlineStr">
        <is>
          <t>Tenaga Nasional Berhad | IHH Healthcare Berhad | Telekom Malaysia Berhad | Sunway Berhad | Taiwan Semiconductor Manufacturing Company Limited</t>
        </is>
      </c>
      <c r="BM29" s="33" t="n">
        <v>8.6</v>
      </c>
      <c r="BN29" s="29" t="inlineStr">
        <is>
          <t>Moderate</t>
        </is>
      </c>
      <c r="BO29" s="30" t="inlineStr">
        <is>
          <t>Equity Malaysia Domestic</t>
        </is>
      </c>
      <c r="BP29" s="30" t="inlineStr">
        <is>
          <t>Kuala Lumpur Syariah Index (prior to 1 November 2007). FTSE Bursa Malaysia EMAS Shariah Index (w.e.f. 1 November 2007).</t>
        </is>
      </c>
      <c r="BQ29" s="35" t="n">
        <v>1.31</v>
      </c>
      <c r="BR29" s="29" t="inlineStr">
        <is>
          <t>2000-02-24</t>
        </is>
      </c>
      <c r="BS29" s="35" t="n">
        <v>1.0312</v>
      </c>
      <c r="BT29" s="34" t="n">
        <v>-21.28</v>
      </c>
      <c r="BU29" s="31" t="n">
        <v>9608</v>
      </c>
    </row>
    <row r="30" ht="16" customHeight="1">
      <c r="A30" s="22" t="inlineStr">
        <is>
          <t>PUBLIC EMERGING OPPORTUNITIES FUND</t>
        </is>
      </c>
      <c r="B30" s="22" t="inlineStr">
        <is>
          <t>PEMOF</t>
        </is>
      </c>
      <c r="C30" s="22" t="inlineStr">
        <is>
          <t>Conventional</t>
        </is>
      </c>
      <c r="D30" s="22" t="inlineStr">
        <is>
          <t>Equity</t>
        </is>
      </c>
      <c r="E30" s="23" t="inlineStr">
        <is>
          <t>Capital Growth</t>
        </is>
      </c>
      <c r="F30" s="24" t="n">
        <v>5</v>
      </c>
      <c r="G30" s="23" t="inlineStr">
        <is>
          <t>Incidental</t>
        </is>
      </c>
      <c r="H30" s="25" t="n">
        <v>148.42</v>
      </c>
      <c r="I30" s="22" t="inlineStr">
        <is>
          <t>30.03.2016</t>
        </is>
      </c>
      <c r="J30" s="22" t="inlineStr">
        <is>
          <t>Qualified</t>
        </is>
      </c>
      <c r="K30" s="26" t="n">
        <v>100</v>
      </c>
      <c r="L30" s="22" t="inlineStr">
        <is>
          <t>5/5</t>
        </is>
      </c>
      <c r="M30" s="23" t="inlineStr">
        <is>
          <t>Qualified (WA: +5.40%) — YTD✔ 1Y✔ 3Y✔ 5Y✔ 10Y✔</t>
        </is>
      </c>
      <c r="N30" s="27" t="n">
        <v>5.4</v>
      </c>
      <c r="O30" s="27" t="n">
        <v>9</v>
      </c>
      <c r="P30" s="27" t="n">
        <v>4.34</v>
      </c>
      <c r="Q30" s="27" t="n">
        <v>4.66</v>
      </c>
      <c r="R30" s="27" t="n">
        <v>23.41</v>
      </c>
      <c r="S30" s="27" t="n">
        <v>8.880000000000001</v>
      </c>
      <c r="T30" s="27" t="n">
        <v>14.53</v>
      </c>
      <c r="U30" s="27" t="n">
        <v>11.14</v>
      </c>
      <c r="V30" s="27" t="n">
        <v>6.55</v>
      </c>
      <c r="W30" s="27" t="n">
        <v>4.59</v>
      </c>
      <c r="X30" s="27" t="n">
        <v>2.76</v>
      </c>
      <c r="Y30" s="27" t="n">
        <v>1.66</v>
      </c>
      <c r="Z30" s="27" t="n">
        <v>1.1</v>
      </c>
      <c r="AA30" s="27" t="n">
        <v>8.359999999999999</v>
      </c>
      <c r="AB30" s="27" t="n">
        <v>2.54</v>
      </c>
      <c r="AC30" s="27" t="n">
        <v>5.82</v>
      </c>
      <c r="AD30" s="27">
        <f>IF(OR(Q30="",BM30="",BM30=0),"",Q30/BM30)</f>
        <v/>
      </c>
      <c r="AE30" s="27">
        <f>IF(OR(T30="",BM30="",BM30=0),"",T30/BM30)</f>
        <v/>
      </c>
      <c r="AF30" s="27">
        <f>IF(OR(W30="",BM30="",BM30=0),"",W30/BM30)</f>
        <v/>
      </c>
      <c r="AG30" s="27">
        <f>IF(OR(Z30="",BM30="",BM30=0),"",Z30/BM30)</f>
        <v/>
      </c>
      <c r="AH30" s="27">
        <f>IF(OR(AC30="",BM30="",BM30=0),"",AC30/BM30)</f>
        <v/>
      </c>
      <c r="AI30" s="26" t="n">
        <v>76.09999999999999</v>
      </c>
      <c r="AJ30" s="26" t="n">
        <v>21.9</v>
      </c>
      <c r="AK30" s="26" t="n"/>
      <c r="AL30" s="26" t="n">
        <v>2</v>
      </c>
      <c r="AM30" s="26" t="n"/>
      <c r="AN30" s="26" t="n"/>
      <c r="AO30" s="26" t="n">
        <v>4.6</v>
      </c>
      <c r="AP30" s="26" t="n">
        <v>15</v>
      </c>
      <c r="AQ30" s="26" t="n"/>
      <c r="AR30" s="26" t="n"/>
      <c r="AS30" s="26" t="n"/>
      <c r="AT30" s="26" t="n">
        <v>2.3</v>
      </c>
      <c r="AU30" s="26" t="n"/>
      <c r="AV30" s="26" t="n"/>
      <c r="AW30" s="26" t="n"/>
      <c r="AX30" s="26" t="n"/>
      <c r="AY30" s="26" t="n"/>
      <c r="AZ30" s="26" t="n"/>
      <c r="BA30" s="26" t="n">
        <v>46.2</v>
      </c>
      <c r="BB30" s="26" t="n">
        <v>8</v>
      </c>
      <c r="BC30" s="26" t="n">
        <v>25.5</v>
      </c>
      <c r="BD30" s="26" t="n">
        <v>4.3</v>
      </c>
      <c r="BE30" s="26" t="n"/>
      <c r="BF30" s="26" t="n">
        <v>8.199999999999999</v>
      </c>
      <c r="BG30" s="26" t="n"/>
      <c r="BH30" s="26" t="n"/>
      <c r="BI30" s="26" t="n"/>
      <c r="BJ30" s="26" t="n"/>
      <c r="BK30" s="26" t="n"/>
      <c r="BL30" s="23" t="inlineStr">
        <is>
          <t>Kelington Group Berhad | Hon.Precision Incorporated | Kinik Company | Sunway Real Estate Investment Trust | IGB Real Estate Investment Trust</t>
        </is>
      </c>
      <c r="BM30" s="26" t="n">
        <v>11.6</v>
      </c>
      <c r="BN30" s="22" t="inlineStr">
        <is>
          <t>High</t>
        </is>
      </c>
      <c r="BO30" s="23" t="inlineStr">
        <is>
          <t>Equity Malaysia Domestic 25% of the fund’s NAV</t>
        </is>
      </c>
      <c r="BP30" s="23" t="inlineStr">
        <is>
          <t>ThebenchmarkforPEMOFisacompositeof60%FTSEBursaMalaysiaMid70 Index, 30% FTSE Bursa Malaysia Small Cap Index and 10% 3-Month Kuala Lumpur Interbank Offered Rate (KLIBOR). Underlying index data are sourced from Lipper and Bank Negara Malaysia.</t>
        </is>
      </c>
      <c r="BQ30" s="28" t="n">
        <v>0.609</v>
      </c>
      <c r="BR30" s="22" t="inlineStr">
        <is>
          <t>2026-05-29</t>
        </is>
      </c>
      <c r="BS30" s="28" t="n">
        <v>0.5943000000000001</v>
      </c>
      <c r="BT30" s="27" t="n">
        <v>-2.41</v>
      </c>
      <c r="BU30" s="24" t="n">
        <v>17</v>
      </c>
    </row>
    <row r="31" ht="16" customHeight="1">
      <c r="A31" s="37" t="inlineStr">
        <is>
          <t>PUBLIC e-ISLAMIC ASIA THEMATIC GROWTH FUND</t>
        </is>
      </c>
      <c r="B31" s="37" t="inlineStr">
        <is>
          <t>PeIATGF</t>
        </is>
      </c>
      <c r="C31" s="37" t="inlineStr">
        <is>
          <t>Shariah</t>
        </is>
      </c>
      <c r="D31" s="37" t="inlineStr">
        <is>
          <t>Equity</t>
        </is>
      </c>
      <c r="E31" s="30" t="inlineStr">
        <is>
          <t>Capital Growth</t>
        </is>
      </c>
      <c r="F31" s="31" t="n">
        <v>5</v>
      </c>
      <c r="G31" s="30" t="inlineStr">
        <is>
          <t>Incidental</t>
        </is>
      </c>
      <c r="H31" s="32" t="n">
        <v>538.28</v>
      </c>
      <c r="I31" s="29" t="inlineStr">
        <is>
          <t>30.11.2021</t>
        </is>
      </c>
      <c r="J31" s="29" t="inlineStr">
        <is>
          <t>Qualified</t>
        </is>
      </c>
      <c r="K31" s="33" t="n">
        <v>100</v>
      </c>
      <c r="L31" s="29" t="inlineStr">
        <is>
          <t>3/3</t>
        </is>
      </c>
      <c r="M31" s="30" t="inlineStr">
        <is>
          <t>Qualified (WA: +5.37%) — YTD✔ 1Y✔ 3Y✔</t>
        </is>
      </c>
      <c r="N31" s="34" t="n">
        <v>5.37</v>
      </c>
      <c r="O31" s="34" t="n">
        <v>42.09</v>
      </c>
      <c r="P31" s="34" t="n">
        <v>32.08</v>
      </c>
      <c r="Q31" s="34" t="n">
        <v>10.01</v>
      </c>
      <c r="R31" s="34" t="n">
        <v>78.31999999999999</v>
      </c>
      <c r="S31" s="34" t="n">
        <v>72.28</v>
      </c>
      <c r="T31" s="34" t="n">
        <v>6.04</v>
      </c>
      <c r="U31" s="34" t="n">
        <v>26.7</v>
      </c>
      <c r="V31" s="34" t="n">
        <v>22.16</v>
      </c>
      <c r="W31" s="34" t="n">
        <v>4.54</v>
      </c>
      <c r="X31" s="34" t="n"/>
      <c r="Y31" s="34" t="n"/>
      <c r="Z31" s="34" t="n"/>
      <c r="AA31" s="34" t="n"/>
      <c r="AB31" s="34" t="n"/>
      <c r="AC31" s="34" t="n"/>
      <c r="AD31" s="34">
        <f>IF(OR(Q31="",BM31="",BM31=0),"",Q31/BM31)</f>
        <v/>
      </c>
      <c r="AE31" s="34">
        <f>IF(OR(T31="",BM31="",BM31=0),"",T31/BM31)</f>
        <v/>
      </c>
      <c r="AF31" s="34">
        <f>IF(OR(W31="",BM31="",BM31=0),"",W31/BM31)</f>
        <v/>
      </c>
      <c r="AG31" s="34">
        <f>IF(OR(Z31="",BM31="",BM31=0),"",Z31/BM31)</f>
        <v/>
      </c>
      <c r="AH31" s="34">
        <f>IF(OR(AC31="",BM31="",BM31=0),"",AC31/BM31)</f>
        <v/>
      </c>
      <c r="AI31" s="33" t="n"/>
      <c r="AJ31" s="33" t="n">
        <v>92.3</v>
      </c>
      <c r="AK31" s="33" t="n"/>
      <c r="AL31" s="33" t="n">
        <v>7.7</v>
      </c>
      <c r="AM31" s="33" t="n"/>
      <c r="AN31" s="33" t="n"/>
      <c r="AO31" s="33" t="n">
        <v>5.2</v>
      </c>
      <c r="AP31" s="33" t="n">
        <v>50</v>
      </c>
      <c r="AQ31" s="33" t="n">
        <v>27.9</v>
      </c>
      <c r="AR31" s="33" t="n"/>
      <c r="AS31" s="33" t="n"/>
      <c r="AT31" s="33" t="n"/>
      <c r="AU31" s="33" t="n">
        <v>9.199999999999999</v>
      </c>
      <c r="AV31" s="33" t="n"/>
      <c r="AW31" s="33" t="n"/>
      <c r="AX31" s="33" t="n"/>
      <c r="AY31" s="33" t="n"/>
      <c r="AZ31" s="33" t="n"/>
      <c r="BA31" s="33" t="n">
        <v>33.3</v>
      </c>
      <c r="BB31" s="33" t="n">
        <v>45.9</v>
      </c>
      <c r="BC31" s="33" t="n"/>
      <c r="BD31" s="33" t="n">
        <v>13.1</v>
      </c>
      <c r="BE31" s="33" t="n"/>
      <c r="BF31" s="33" t="n"/>
      <c r="BG31" s="33" t="n"/>
      <c r="BH31" s="33" t="n"/>
      <c r="BI31" s="33" t="n"/>
      <c r="BJ31" s="33" t="n"/>
      <c r="BK31" s="33" t="n"/>
      <c r="BL31" s="30" t="inlineStr">
        <is>
          <t>SK Hynix Incorporated | Samsung Electronics Company Limited | Delta Electronics Incorporated | Taiwan Semiconductor Manufacturing Company Limited | Alibaba Group Holding Limited - W</t>
        </is>
      </c>
      <c r="BM31" s="33" t="n">
        <v>19.7</v>
      </c>
      <c r="BN31" s="29" t="inlineStr">
        <is>
          <t>Very High</t>
        </is>
      </c>
      <c r="BO31" s="30" t="inlineStr">
        <is>
          <t>Equity Asia Pacific ex- Asia</t>
        </is>
      </c>
      <c r="BP31" s="30" t="inlineStr">
        <is>
          <t>ThebenchmarkforPeIATGFisacustomisedindexbyS&amp;PDowJonesIndices,LLC basedonthetop100constituentsbymarketcapitalisationoftheS&amp;PShariahBMI Asia Ex-Japan Index. Underlying index data are sourced from S&amp;P Dow Jones Indices, LLC and expressed in Ringgit terms.</t>
        </is>
      </c>
      <c r="BQ31" s="35" t="n">
        <v>0.4862</v>
      </c>
      <c r="BR31" s="29" t="inlineStr">
        <is>
          <t>2026-06-04</t>
        </is>
      </c>
      <c r="BS31" s="35" t="n">
        <v>0.4636</v>
      </c>
      <c r="BT31" s="34" t="n">
        <v>-4.65</v>
      </c>
      <c r="BU31" s="31" t="n">
        <v>11</v>
      </c>
    </row>
    <row r="32" ht="16" customHeight="1">
      <c r="A32" s="22" t="inlineStr">
        <is>
          <t>PB ISLAMIC SMALLCAP FUND</t>
        </is>
      </c>
      <c r="B32" s="22" t="inlineStr">
        <is>
          <t>PBISCF</t>
        </is>
      </c>
      <c r="C32" s="22" t="inlineStr">
        <is>
          <t>Conventional</t>
        </is>
      </c>
      <c r="D32" s="22" t="inlineStr">
        <is>
          <t>Equity</t>
        </is>
      </c>
      <c r="E32" s="23" t="inlineStr">
        <is>
          <t>Capital Growth</t>
        </is>
      </c>
      <c r="F32" s="24" t="n">
        <v>5</v>
      </c>
      <c r="G32" s="23" t="inlineStr">
        <is>
          <t>Incidental</t>
        </is>
      </c>
      <c r="H32" s="25" t="n">
        <v>114.01</v>
      </c>
      <c r="I32" s="22" t="inlineStr">
        <is>
          <t>28.03.2017</t>
        </is>
      </c>
      <c r="J32" s="22" t="inlineStr">
        <is>
          <t>Qualified</t>
        </is>
      </c>
      <c r="K32" s="26" t="n">
        <v>100</v>
      </c>
      <c r="L32" s="22" t="inlineStr">
        <is>
          <t>4/4</t>
        </is>
      </c>
      <c r="M32" s="23" t="inlineStr">
        <is>
          <t>Qualified (WA: +4.83%) — YTD✔ 1Y✔ 3Y✔ 5Y✔</t>
        </is>
      </c>
      <c r="N32" s="27" t="n">
        <v>4.83</v>
      </c>
      <c r="O32" s="27" t="n">
        <v>0.8</v>
      </c>
      <c r="P32" s="27" t="n">
        <v>-2.13</v>
      </c>
      <c r="Q32" s="27" t="n">
        <v>2.93</v>
      </c>
      <c r="R32" s="27" t="n">
        <v>13.89</v>
      </c>
      <c r="S32" s="27" t="n">
        <v>3</v>
      </c>
      <c r="T32" s="27" t="n">
        <v>10.89</v>
      </c>
      <c r="U32" s="27" t="n">
        <v>4.59</v>
      </c>
      <c r="V32" s="27" t="n">
        <v>0.98</v>
      </c>
      <c r="W32" s="27" t="n">
        <v>3.61</v>
      </c>
      <c r="X32" s="27" t="n">
        <v>1.67</v>
      </c>
      <c r="Y32" s="27" t="n">
        <v>-1.87</v>
      </c>
      <c r="Z32" s="27" t="n">
        <v>3.54</v>
      </c>
      <c r="AA32" s="27" t="n"/>
      <c r="AB32" s="27" t="n"/>
      <c r="AC32" s="27" t="n"/>
      <c r="AD32" s="27">
        <f>IF(OR(Q32="",BM32="",BM32=0),"",Q32/BM32)</f>
        <v/>
      </c>
      <c r="AE32" s="27">
        <f>IF(OR(T32="",BM32="",BM32=0),"",T32/BM32)</f>
        <v/>
      </c>
      <c r="AF32" s="27">
        <f>IF(OR(W32="",BM32="",BM32=0),"",W32/BM32)</f>
        <v/>
      </c>
      <c r="AG32" s="27">
        <f>IF(OR(Z32="",BM32="",BM32=0),"",Z32/BM32)</f>
        <v/>
      </c>
      <c r="AH32" s="27">
        <f>IF(OR(AC32="",BM32="",BM32=0),"",AC32/BM32)</f>
        <v/>
      </c>
      <c r="AI32" s="26" t="n">
        <v>75.5</v>
      </c>
      <c r="AJ32" s="26" t="n">
        <v>19.6</v>
      </c>
      <c r="AK32" s="26" t="n"/>
      <c r="AL32" s="26" t="n">
        <v>4.9</v>
      </c>
      <c r="AM32" s="26" t="n"/>
      <c r="AN32" s="26" t="n"/>
      <c r="AO32" s="26" t="n">
        <v>4.8</v>
      </c>
      <c r="AP32" s="26" t="n">
        <v>6.1</v>
      </c>
      <c r="AQ32" s="26" t="n">
        <v>6.3</v>
      </c>
      <c r="AR32" s="26" t="n">
        <v>2.4</v>
      </c>
      <c r="AS32" s="26" t="n"/>
      <c r="AT32" s="26" t="n"/>
      <c r="AU32" s="26" t="n"/>
      <c r="AV32" s="26" t="n"/>
      <c r="AW32" s="26" t="n"/>
      <c r="AX32" s="26" t="n"/>
      <c r="AY32" s="26" t="n"/>
      <c r="AZ32" s="26" t="n"/>
      <c r="BA32" s="26" t="n">
        <v>54</v>
      </c>
      <c r="BB32" s="26" t="n">
        <v>8.1</v>
      </c>
      <c r="BC32" s="26" t="n">
        <v>6.2</v>
      </c>
      <c r="BD32" s="26" t="n"/>
      <c r="BE32" s="26" t="n"/>
      <c r="BF32" s="26" t="n">
        <v>17.3</v>
      </c>
      <c r="BG32" s="26" t="n"/>
      <c r="BH32" s="26" t="n"/>
      <c r="BI32" s="26" t="n"/>
      <c r="BJ32" s="26" t="n"/>
      <c r="BK32" s="26" t="n">
        <v>3.8</v>
      </c>
      <c r="BL32" s="23" t="inlineStr">
        <is>
          <t>Kelington Group Berhad | Frontken Corporation Berhad | Spritzer Berhad | HD Hyundai Electric Company Limited | Taiwan Semiconductor Manufacturing Company Limited</t>
        </is>
      </c>
      <c r="BM32" s="26" t="n">
        <v>12.6</v>
      </c>
      <c r="BN32" s="22" t="inlineStr">
        <is>
          <t>High</t>
        </is>
      </c>
      <c r="BO32" s="23" t="inlineStr">
        <is>
          <t>Equity Malaysia Small &amp;</t>
        </is>
      </c>
      <c r="BP32" s="23" t="inlineStr">
        <is>
          <t>Index data are sourced from Lipper.</t>
        </is>
      </c>
      <c r="BQ32" s="28" t="n">
        <v>0.4582</v>
      </c>
      <c r="BR32" s="22" t="inlineStr">
        <is>
          <t>2022-01-04</t>
        </is>
      </c>
      <c r="BS32" s="28" t="n">
        <v>0.3887</v>
      </c>
      <c r="BT32" s="27" t="n">
        <v>-15.17</v>
      </c>
      <c r="BU32" s="24" t="n">
        <v>1623</v>
      </c>
    </row>
    <row r="33" ht="16" customHeight="1">
      <c r="A33" s="37" t="inlineStr">
        <is>
          <t>PUBLIC ISLAMIC TREASURES GROWTH FUND</t>
        </is>
      </c>
      <c r="B33" s="37" t="inlineStr">
        <is>
          <t>PITGF</t>
        </is>
      </c>
      <c r="C33" s="37" t="inlineStr">
        <is>
          <t>Shariah</t>
        </is>
      </c>
      <c r="D33" s="37" t="inlineStr">
        <is>
          <t>Equity</t>
        </is>
      </c>
      <c r="E33" s="30" t="inlineStr">
        <is>
          <t>Capital Growth</t>
        </is>
      </c>
      <c r="F33" s="31" t="n">
        <v>5</v>
      </c>
      <c r="G33" s="30" t="inlineStr">
        <is>
          <t>Incidental</t>
        </is>
      </c>
      <c r="H33" s="32" t="n">
        <v>278.85</v>
      </c>
      <c r="I33" s="29" t="inlineStr">
        <is>
          <t>19.07.2011</t>
        </is>
      </c>
      <c r="J33" s="29" t="inlineStr">
        <is>
          <t>Qualified</t>
        </is>
      </c>
      <c r="K33" s="33" t="n">
        <v>100</v>
      </c>
      <c r="L33" s="29" t="inlineStr">
        <is>
          <t>5/5</t>
        </is>
      </c>
      <c r="M33" s="30" t="inlineStr">
        <is>
          <t>Qualified (WA: +4.81%) — YTD✔ 1Y✔ 3Y✔ 5Y✔ 10Y✔</t>
        </is>
      </c>
      <c r="N33" s="34" t="n">
        <v>4.81</v>
      </c>
      <c r="O33" s="34" t="n">
        <v>10.86</v>
      </c>
      <c r="P33" s="34" t="n">
        <v>3.19</v>
      </c>
      <c r="Q33" s="34" t="n">
        <v>7.67</v>
      </c>
      <c r="R33" s="34" t="n">
        <v>18.02</v>
      </c>
      <c r="S33" s="34" t="n">
        <v>6.76</v>
      </c>
      <c r="T33" s="34" t="n">
        <v>11.26</v>
      </c>
      <c r="U33" s="34" t="n">
        <v>7.3</v>
      </c>
      <c r="V33" s="34" t="n">
        <v>2.88</v>
      </c>
      <c r="W33" s="34" t="n">
        <v>4.42</v>
      </c>
      <c r="X33" s="34" t="n">
        <v>0.33</v>
      </c>
      <c r="Y33" s="34" t="n">
        <v>-1.86</v>
      </c>
      <c r="Z33" s="34" t="n">
        <v>2.19</v>
      </c>
      <c r="AA33" s="34" t="n">
        <v>4.19</v>
      </c>
      <c r="AB33" s="34" t="n">
        <v>1.39</v>
      </c>
      <c r="AC33" s="34" t="n">
        <v>2.8</v>
      </c>
      <c r="AD33" s="34">
        <f>IF(OR(Q33="",BM33="",BM33=0),"",Q33/BM33)</f>
        <v/>
      </c>
      <c r="AE33" s="34">
        <f>IF(OR(T33="",BM33="",BM33=0),"",T33/BM33)</f>
        <v/>
      </c>
      <c r="AF33" s="34">
        <f>IF(OR(W33="",BM33="",BM33=0),"",W33/BM33)</f>
        <v/>
      </c>
      <c r="AG33" s="34">
        <f>IF(OR(Z33="",BM33="",BM33=0),"",Z33/BM33)</f>
        <v/>
      </c>
      <c r="AH33" s="34">
        <f>IF(OR(AC33="",BM33="",BM33=0),"",AC33/BM33)</f>
        <v/>
      </c>
      <c r="AI33" s="33" t="n">
        <v>76</v>
      </c>
      <c r="AJ33" s="33" t="n">
        <v>18.5</v>
      </c>
      <c r="AK33" s="33" t="n"/>
      <c r="AL33" s="33" t="n">
        <v>5.5</v>
      </c>
      <c r="AM33" s="33" t="n"/>
      <c r="AN33" s="33" t="n"/>
      <c r="AO33" s="33" t="n">
        <v>7.8</v>
      </c>
      <c r="AP33" s="33" t="n">
        <v>6.1</v>
      </c>
      <c r="AQ33" s="33" t="n"/>
      <c r="AR33" s="33" t="n">
        <v>4.6</v>
      </c>
      <c r="AS33" s="33" t="n"/>
      <c r="AT33" s="33" t="n"/>
      <c r="AU33" s="33" t="n"/>
      <c r="AV33" s="33" t="n"/>
      <c r="AW33" s="33" t="n"/>
      <c r="AX33" s="33" t="n"/>
      <c r="AY33" s="33" t="n"/>
      <c r="AZ33" s="33" t="n"/>
      <c r="BA33" s="33" t="n">
        <v>35.1</v>
      </c>
      <c r="BB33" s="33" t="n"/>
      <c r="BC33" s="33" t="n">
        <v>11.9</v>
      </c>
      <c r="BD33" s="33" t="n">
        <v>8.300000000000001</v>
      </c>
      <c r="BE33" s="33" t="n"/>
      <c r="BF33" s="33" t="n">
        <v>18.1</v>
      </c>
      <c r="BG33" s="33" t="n"/>
      <c r="BH33" s="33" t="n"/>
      <c r="BI33" s="33" t="n"/>
      <c r="BJ33" s="33" t="n"/>
      <c r="BK33" s="33" t="n">
        <v>7.7</v>
      </c>
      <c r="BL33" s="30" t="inlineStr">
        <is>
          <t>Vitrox Corporation Berhad | TIME dotCom Berhad | Malaysian Pacific Industries Berhad | QL Resources Berhad | Bursa Malaysia Berhad</t>
        </is>
      </c>
      <c r="BM33" s="33" t="n">
        <v>10.3</v>
      </c>
      <c r="BN33" s="29" t="inlineStr">
        <is>
          <t>High</t>
        </is>
      </c>
      <c r="BO33" s="30" t="inlineStr">
        <is>
          <t>Equity Malaysia Domestic</t>
        </is>
      </c>
      <c r="BP33" s="30" t="inlineStr">
        <is>
          <t>The benchmark for PITGF is a composite of 90% FTSE Bursa Malaysia EMAS Shariah Index (prior to 30 April 2013), 90% FTSE Bursa Malaysia Small Cap ShariahIndex(FBMSSC)(30April2013to29April2015),90%customisedindex byFTSEbasedontheconstituentswithmarketcapitalisationbelowRM6.0billion withintheFTSE BursaMalaysiaEMAS ShariahIndex(w.e.f. 30April 2015)and 10% 3-Month Islamic Interbank Money Market (IIMM) rate. Underlying index data are sourced from FTSE International Limited, Lipper and Bank Negara Malaysia.</t>
        </is>
      </c>
      <c r="BQ33" s="35" t="n">
        <v>0.437</v>
      </c>
      <c r="BR33" s="29" t="inlineStr">
        <is>
          <t>2026-05-29</t>
        </is>
      </c>
      <c r="BS33" s="35" t="n">
        <v>0.436</v>
      </c>
      <c r="BT33" s="34" t="n">
        <v>-0.23</v>
      </c>
      <c r="BU33" s="31" t="n">
        <v>17</v>
      </c>
    </row>
    <row r="34" ht="16" customHeight="1">
      <c r="A34" s="36" t="inlineStr">
        <is>
          <t>PUBLIC e-ISLAMIC GROWTH FUND</t>
        </is>
      </c>
      <c r="B34" s="36" t="inlineStr">
        <is>
          <t>PeIGRF</t>
        </is>
      </c>
      <c r="C34" s="36" t="inlineStr">
        <is>
          <t>Shariah</t>
        </is>
      </c>
      <c r="D34" s="36" t="inlineStr">
        <is>
          <t>Equity</t>
        </is>
      </c>
      <c r="E34" s="23" t="inlineStr">
        <is>
          <t>Capital Growth</t>
        </is>
      </c>
      <c r="F34" s="24" t="n">
        <v>4</v>
      </c>
      <c r="G34" s="23" t="inlineStr">
        <is>
          <t>Incidental</t>
        </is>
      </c>
      <c r="H34" s="25" t="n">
        <v>65.65000000000001</v>
      </c>
      <c r="I34" s="22" t="inlineStr">
        <is>
          <t>10.12.2021</t>
        </is>
      </c>
      <c r="J34" s="22" t="inlineStr">
        <is>
          <t>Qualified</t>
        </is>
      </c>
      <c r="K34" s="26" t="n">
        <v>66.7</v>
      </c>
      <c r="L34" s="22" t="inlineStr">
        <is>
          <t>2/3</t>
        </is>
      </c>
      <c r="M34" s="23" t="inlineStr">
        <is>
          <t>Qualified (WA: +4.71%) — YTD✘ 1Y✔ 3Y✔</t>
        </is>
      </c>
      <c r="N34" s="27" t="n">
        <v>4.71</v>
      </c>
      <c r="O34" s="27" t="n">
        <v>3.96</v>
      </c>
      <c r="P34" s="27" t="n">
        <v>4.74</v>
      </c>
      <c r="Q34" s="27" t="n">
        <v>-0.78</v>
      </c>
      <c r="R34" s="27" t="n">
        <v>21.83</v>
      </c>
      <c r="S34" s="27" t="n">
        <v>11.86</v>
      </c>
      <c r="T34" s="27" t="n">
        <v>9.970000000000001</v>
      </c>
      <c r="U34" s="27" t="n">
        <v>9.039999999999999</v>
      </c>
      <c r="V34" s="27" t="n">
        <v>5.62</v>
      </c>
      <c r="W34" s="27" t="n">
        <v>3.42</v>
      </c>
      <c r="X34" s="27" t="n"/>
      <c r="Y34" s="27" t="n"/>
      <c r="Z34" s="27" t="n"/>
      <c r="AA34" s="27" t="n"/>
      <c r="AB34" s="27" t="n"/>
      <c r="AC34" s="27" t="n"/>
      <c r="AD34" s="27">
        <f>IF(OR(Q34="",BM34="",BM34=0),"",Q34/BM34)</f>
        <v/>
      </c>
      <c r="AE34" s="27">
        <f>IF(OR(T34="",BM34="",BM34=0),"",T34/BM34)</f>
        <v/>
      </c>
      <c r="AF34" s="27">
        <f>IF(OR(W34="",BM34="",BM34=0),"",W34/BM34)</f>
        <v/>
      </c>
      <c r="AG34" s="27">
        <f>IF(OR(Z34="",BM34="",BM34=0),"",Z34/BM34)</f>
        <v/>
      </c>
      <c r="AH34" s="27">
        <f>IF(OR(AC34="",BM34="",BM34=0),"",AC34/BM34)</f>
        <v/>
      </c>
      <c r="AI34" s="26" t="n">
        <v>77.8</v>
      </c>
      <c r="AJ34" s="26" t="n">
        <v>17.3</v>
      </c>
      <c r="AK34" s="26" t="n"/>
      <c r="AL34" s="26" t="n">
        <v>4.9</v>
      </c>
      <c r="AM34" s="26" t="n"/>
      <c r="AN34" s="26" t="n"/>
      <c r="AO34" s="26" t="n">
        <v>13.8</v>
      </c>
      <c r="AP34" s="26" t="n">
        <v>3.5</v>
      </c>
      <c r="AQ34" s="26" t="n"/>
      <c r="AR34" s="26" t="n"/>
      <c r="AS34" s="26" t="n"/>
      <c r="AT34" s="26" t="n"/>
      <c r="AU34" s="26" t="n"/>
      <c r="AV34" s="26" t="n"/>
      <c r="AW34" s="26" t="n"/>
      <c r="AX34" s="26" t="n"/>
      <c r="AY34" s="26" t="n"/>
      <c r="AZ34" s="26" t="n"/>
      <c r="BA34" s="26" t="n">
        <v>12.7</v>
      </c>
      <c r="BB34" s="26" t="n"/>
      <c r="BC34" s="26" t="n"/>
      <c r="BD34" s="26" t="n">
        <v>25.3</v>
      </c>
      <c r="BE34" s="26" t="n"/>
      <c r="BF34" s="26" t="n">
        <v>17</v>
      </c>
      <c r="BG34" s="26" t="n">
        <v>10.7</v>
      </c>
      <c r="BH34" s="26" t="n"/>
      <c r="BI34" s="26" t="n">
        <v>9.199999999999999</v>
      </c>
      <c r="BJ34" s="26" t="n"/>
      <c r="BK34" s="26" t="n"/>
      <c r="BL34" s="23" t="inlineStr">
        <is>
          <t>Tenaga Nasional Berhad | Press Metal Aluminium Holdings Berhad | Telekom Malaysia Berhad | TIME dotCom Berhad | IHH Healthcare Berhad</t>
        </is>
      </c>
      <c r="BM34" s="26" t="n">
        <v>9.300000000000001</v>
      </c>
      <c r="BN34" s="22" t="inlineStr">
        <is>
          <t>Moderate</t>
        </is>
      </c>
      <c r="BO34" s="23" t="inlineStr">
        <is>
          <t>Equity Malaysia</t>
        </is>
      </c>
      <c r="BP34" s="23" t="inlineStr">
        <is>
          <t>Thebenchmark for PeIGRFis acomposite of90% FTSE Bursa MalaysiaEMAS Shariah Index and 10% 3-Month Islamic Interbank Money Market (IIMM) rate. Underlying index data are sourced from Lipper and Bank Negara Malaysia.</t>
        </is>
      </c>
      <c r="BQ34" s="28" t="n">
        <v>0.3082</v>
      </c>
      <c r="BR34" s="22" t="inlineStr">
        <is>
          <t>2026-05-22</t>
        </is>
      </c>
      <c r="BS34" s="28" t="n">
        <v>0.3029</v>
      </c>
      <c r="BT34" s="27" t="n">
        <v>-1.72</v>
      </c>
      <c r="BU34" s="24" t="n">
        <v>24</v>
      </c>
    </row>
    <row r="35" ht="16" customHeight="1">
      <c r="A35" s="29" t="inlineStr">
        <is>
          <t>PB GROWTH SEQUEL FUND</t>
        </is>
      </c>
      <c r="B35" s="29" t="inlineStr">
        <is>
          <t>PBGSQF</t>
        </is>
      </c>
      <c r="C35" s="29" t="inlineStr">
        <is>
          <t>Conventional</t>
        </is>
      </c>
      <c r="D35" s="29" t="inlineStr">
        <is>
          <t>Equity</t>
        </is>
      </c>
      <c r="E35" s="30" t="inlineStr">
        <is>
          <t>Capital Growth</t>
        </is>
      </c>
      <c r="F35" s="31" t="n">
        <v>4</v>
      </c>
      <c r="G35" s="30" t="inlineStr">
        <is>
          <t>Incidental</t>
        </is>
      </c>
      <c r="H35" s="32" t="n">
        <v>63.12</v>
      </c>
      <c r="I35" s="29" t="inlineStr">
        <is>
          <t>15.11.2011</t>
        </is>
      </c>
      <c r="J35" s="29" t="inlineStr">
        <is>
          <t>Qualified</t>
        </is>
      </c>
      <c r="K35" s="33" t="n">
        <v>80</v>
      </c>
      <c r="L35" s="29" t="inlineStr">
        <is>
          <t>4/5</t>
        </is>
      </c>
      <c r="M35" s="30" t="inlineStr">
        <is>
          <t>Qualified (WA: +4.63%) — YTD✘ 1Y✔ 3Y✔ 5Y✔ 10Y✔</t>
        </is>
      </c>
      <c r="N35" s="34" t="n">
        <v>4.63</v>
      </c>
      <c r="O35" s="34" t="n">
        <v>0.73</v>
      </c>
      <c r="P35" s="34" t="n">
        <v>2.49</v>
      </c>
      <c r="Q35" s="34" t="n">
        <v>-1.76</v>
      </c>
      <c r="R35" s="34" t="n">
        <v>17.11</v>
      </c>
      <c r="S35" s="34" t="n">
        <v>11.8</v>
      </c>
      <c r="T35" s="34" t="n">
        <v>5.31</v>
      </c>
      <c r="U35" s="34" t="n">
        <v>12.53</v>
      </c>
      <c r="V35" s="34" t="n">
        <v>6.72</v>
      </c>
      <c r="W35" s="34" t="n">
        <v>5.81</v>
      </c>
      <c r="X35" s="34" t="n">
        <v>5.38</v>
      </c>
      <c r="Y35" s="34" t="n">
        <v>1.46</v>
      </c>
      <c r="Z35" s="34" t="n">
        <v>3.92</v>
      </c>
      <c r="AA35" s="34" t="n">
        <v>4.39</v>
      </c>
      <c r="AB35" s="34" t="n">
        <v>0.29</v>
      </c>
      <c r="AC35" s="34" t="n">
        <v>4.1</v>
      </c>
      <c r="AD35" s="34">
        <f>IF(OR(Q35="",BM35="",BM35=0),"",Q35/BM35)</f>
        <v/>
      </c>
      <c r="AE35" s="34">
        <f>IF(OR(T35="",BM35="",BM35=0),"",T35/BM35)</f>
        <v/>
      </c>
      <c r="AF35" s="34">
        <f>IF(OR(W35="",BM35="",BM35=0),"",W35/BM35)</f>
        <v/>
      </c>
      <c r="AG35" s="34">
        <f>IF(OR(Z35="",BM35="",BM35=0),"",Z35/BM35)</f>
        <v/>
      </c>
      <c r="AH35" s="34">
        <f>IF(OR(AC35="",BM35="",BM35=0),"",AC35/BM35)</f>
        <v/>
      </c>
      <c r="AI35" s="33" t="n">
        <v>74.40000000000001</v>
      </c>
      <c r="AJ35" s="33" t="n">
        <v>22.8</v>
      </c>
      <c r="AK35" s="33" t="n"/>
      <c r="AL35" s="33" t="n">
        <v>2.8</v>
      </c>
      <c r="AM35" s="33" t="n"/>
      <c r="AN35" s="33" t="n"/>
      <c r="AO35" s="33" t="n">
        <v>15.9</v>
      </c>
      <c r="AP35" s="33" t="n">
        <v>6.4</v>
      </c>
      <c r="AQ35" s="33" t="n"/>
      <c r="AR35" s="33" t="n"/>
      <c r="AS35" s="33" t="n"/>
      <c r="AT35" s="33" t="n"/>
      <c r="AU35" s="33" t="n"/>
      <c r="AV35" s="33" t="n"/>
      <c r="AW35" s="33" t="n"/>
      <c r="AX35" s="33" t="n"/>
      <c r="AY35" s="33" t="n"/>
      <c r="AZ35" s="33" t="n"/>
      <c r="BA35" s="33" t="n">
        <v>27.7</v>
      </c>
      <c r="BB35" s="33" t="n">
        <v>10.3</v>
      </c>
      <c r="BC35" s="33" t="n">
        <v>23.8</v>
      </c>
      <c r="BD35" s="33" t="n">
        <v>19.2</v>
      </c>
      <c r="BE35" s="33" t="n"/>
      <c r="BF35" s="33" t="n">
        <v>8</v>
      </c>
      <c r="BG35" s="33" t="n"/>
      <c r="BH35" s="33" t="n"/>
      <c r="BI35" s="33" t="n"/>
      <c r="BJ35" s="33" t="n"/>
      <c r="BK35" s="33" t="n"/>
      <c r="BL35" s="30" t="inlineStr">
        <is>
          <t>Public Bank Berhad | Sunway Berhad | QL Resources Berhad | Southern Cable Group Berhad | Alphabet Incorporated - Class A</t>
        </is>
      </c>
      <c r="BM35" s="33" t="n">
        <v>10.1</v>
      </c>
      <c r="BN35" s="29" t="inlineStr">
        <is>
          <t>Moderate</t>
        </is>
      </c>
      <c r="BO35" s="30" t="inlineStr">
        <is>
          <t>Equity Malaysia</t>
        </is>
      </c>
      <c r="BP35" s="30" t="inlineStr">
        <is>
          <t>Index data are sourced from Lipper.</t>
        </is>
      </c>
      <c r="BQ35" s="35" t="n">
        <v>0.3945</v>
      </c>
      <c r="BR35" s="29" t="inlineStr">
        <is>
          <t>2026-06-03</t>
        </is>
      </c>
      <c r="BS35" s="35" t="n">
        <v>0.3913</v>
      </c>
      <c r="BT35" s="34" t="n">
        <v>-0.8100000000000001</v>
      </c>
      <c r="BU35" s="31" t="n">
        <v>12</v>
      </c>
    </row>
    <row r="36" ht="16" customHeight="1">
      <c r="A36" s="36" t="inlineStr">
        <is>
          <t>PUBLIC INDUSTRY GROWTH FUND</t>
        </is>
      </c>
      <c r="B36" s="36" t="inlineStr">
        <is>
          <t>PINDGF</t>
        </is>
      </c>
      <c r="C36" s="36" t="inlineStr">
        <is>
          <t>Shariah</t>
        </is>
      </c>
      <c r="D36" s="36" t="inlineStr">
        <is>
          <t>Equity</t>
        </is>
      </c>
      <c r="E36" s="23" t="inlineStr">
        <is>
          <t>Capital Growth</t>
        </is>
      </c>
      <c r="F36" s="24" t="n">
        <v>4</v>
      </c>
      <c r="G36" s="23" t="inlineStr">
        <is>
          <t>Incidental</t>
        </is>
      </c>
      <c r="H36" s="25" t="n">
        <v>248.52</v>
      </c>
      <c r="I36" s="22" t="inlineStr">
        <is>
          <t>18.11.1993</t>
        </is>
      </c>
      <c r="J36" s="22" t="inlineStr">
        <is>
          <t>Qualified</t>
        </is>
      </c>
      <c r="K36" s="26" t="n">
        <v>100</v>
      </c>
      <c r="L36" s="22" t="inlineStr">
        <is>
          <t>5/5</t>
        </is>
      </c>
      <c r="M36" s="23" t="inlineStr">
        <is>
          <t>Qualified (WA: +4.44%) — YTD✔ 1Y✔ 3Y✔ 5Y✔ 10Y✔</t>
        </is>
      </c>
      <c r="N36" s="27" t="n">
        <v>4.44</v>
      </c>
      <c r="O36" s="27" t="n">
        <v>5.94</v>
      </c>
      <c r="P36" s="27" t="n">
        <v>2.49</v>
      </c>
      <c r="Q36" s="27" t="n">
        <v>3.45</v>
      </c>
      <c r="R36" s="27" t="n">
        <v>18.27</v>
      </c>
      <c r="S36" s="27" t="n">
        <v>11.8</v>
      </c>
      <c r="T36" s="27" t="n">
        <v>6.47</v>
      </c>
      <c r="U36" s="27" t="n">
        <v>11.75</v>
      </c>
      <c r="V36" s="27" t="n">
        <v>6.72</v>
      </c>
      <c r="W36" s="27" t="n">
        <v>5.03</v>
      </c>
      <c r="X36" s="27" t="n">
        <v>3.55</v>
      </c>
      <c r="Y36" s="27" t="n">
        <v>1.46</v>
      </c>
      <c r="Z36" s="27" t="n">
        <v>2.09</v>
      </c>
      <c r="AA36" s="27" t="n">
        <v>5.35</v>
      </c>
      <c r="AB36" s="27" t="n">
        <v>0.29</v>
      </c>
      <c r="AC36" s="27" t="n">
        <v>5.06</v>
      </c>
      <c r="AD36" s="27">
        <f>IF(OR(Q36="",BM36="",BM36=0),"",Q36/BM36)</f>
        <v/>
      </c>
      <c r="AE36" s="27">
        <f>IF(OR(T36="",BM36="",BM36=0),"",T36/BM36)</f>
        <v/>
      </c>
      <c r="AF36" s="27">
        <f>IF(OR(W36="",BM36="",BM36=0),"",W36/BM36)</f>
        <v/>
      </c>
      <c r="AG36" s="27">
        <f>IF(OR(Z36="",BM36="",BM36=0),"",Z36/BM36)</f>
        <v/>
      </c>
      <c r="AH36" s="27">
        <f>IF(OR(AC36="",BM36="",BM36=0),"",AC36/BM36)</f>
        <v/>
      </c>
      <c r="AI36" s="26" t="n">
        <v>75.5</v>
      </c>
      <c r="AJ36" s="26" t="n">
        <v>17.2</v>
      </c>
      <c r="AK36" s="26" t="n"/>
      <c r="AL36" s="26" t="n">
        <v>7.3</v>
      </c>
      <c r="AM36" s="26" t="n"/>
      <c r="AN36" s="26" t="n"/>
      <c r="AO36" s="26" t="n">
        <v>15.3</v>
      </c>
      <c r="AP36" s="26" t="n"/>
      <c r="AQ36" s="26" t="n"/>
      <c r="AR36" s="26" t="n"/>
      <c r="AS36" s="26" t="n">
        <v>1.9</v>
      </c>
      <c r="AT36" s="26" t="n"/>
      <c r="AU36" s="26" t="n"/>
      <c r="AV36" s="26" t="n"/>
      <c r="AW36" s="26" t="n"/>
      <c r="AX36" s="26" t="n"/>
      <c r="AY36" s="26" t="n"/>
      <c r="AZ36" s="26" t="n"/>
      <c r="BA36" s="26" t="n">
        <v>9.199999999999999</v>
      </c>
      <c r="BB36" s="26" t="n">
        <v>12.2</v>
      </c>
      <c r="BC36" s="26" t="n">
        <v>23.7</v>
      </c>
      <c r="BD36" s="26" t="n">
        <v>15.4</v>
      </c>
      <c r="BE36" s="26" t="n"/>
      <c r="BF36" s="26" t="n"/>
      <c r="BG36" s="26" t="n">
        <v>12</v>
      </c>
      <c r="BH36" s="26" t="n"/>
      <c r="BI36" s="26" t="n"/>
      <c r="BJ36" s="26" t="n"/>
      <c r="BK36" s="26" t="n"/>
      <c r="BL36" s="23" t="inlineStr">
        <is>
          <t>Malayan Banking Berhad | Tenaga Nasional Berhad | Public Bank Berhad | Telekom Malaysia Berhad | Press Metal Aluminium Holdings Berhad</t>
        </is>
      </c>
      <c r="BM36" s="26" t="n">
        <v>6.9</v>
      </c>
      <c r="BN36" s="22" t="inlineStr">
        <is>
          <t>Low</t>
        </is>
      </c>
      <c r="BO36" s="23" t="inlineStr">
        <is>
          <t>Equity Malaysia Domestic 30% of the fund’s NAV</t>
        </is>
      </c>
      <c r="BP36" s="23" t="n"/>
      <c r="BQ36" s="28" t="n">
        <v>0.9072</v>
      </c>
      <c r="BR36" s="22" t="inlineStr">
        <is>
          <t>2007-10-31</t>
        </is>
      </c>
      <c r="BS36" s="28" t="n">
        <v>0.7059</v>
      </c>
      <c r="BT36" s="27" t="n">
        <v>-22.19</v>
      </c>
      <c r="BU36" s="24" t="n">
        <v>6802</v>
      </c>
    </row>
    <row r="37" ht="16" customHeight="1">
      <c r="A37" s="29" t="inlineStr">
        <is>
          <t>PUBLIC SELECT TREASURES EQUITY FUND</t>
        </is>
      </c>
      <c r="B37" s="29" t="inlineStr">
        <is>
          <t>PSTEF</t>
        </is>
      </c>
      <c r="C37" s="29" t="inlineStr">
        <is>
          <t>Conventional</t>
        </is>
      </c>
      <c r="D37" s="29" t="inlineStr">
        <is>
          <t>Equity</t>
        </is>
      </c>
      <c r="E37" s="30" t="inlineStr">
        <is>
          <t>Capital Growth</t>
        </is>
      </c>
      <c r="F37" s="31" t="n">
        <v>5</v>
      </c>
      <c r="G37" s="30" t="inlineStr">
        <is>
          <t>Incidental</t>
        </is>
      </c>
      <c r="H37" s="32" t="n">
        <v>402.54</v>
      </c>
      <c r="I37" s="29" t="inlineStr">
        <is>
          <t>22.07.2015</t>
        </is>
      </c>
      <c r="J37" s="29" t="inlineStr">
        <is>
          <t>Qualified</t>
        </is>
      </c>
      <c r="K37" s="33" t="n">
        <v>80</v>
      </c>
      <c r="L37" s="29" t="inlineStr">
        <is>
          <t>4/5</t>
        </is>
      </c>
      <c r="M37" s="30" t="inlineStr">
        <is>
          <t>Qualified (WA: +4.24%) — YTD✘ 1Y✔ 3Y✔ 5Y✔ 10Y✔</t>
        </is>
      </c>
      <c r="N37" s="34" t="n">
        <v>4.24</v>
      </c>
      <c r="O37" s="34" t="n">
        <v>5.15</v>
      </c>
      <c r="P37" s="34" t="n">
        <v>5.21</v>
      </c>
      <c r="Q37" s="34" t="n">
        <v>-0.06</v>
      </c>
      <c r="R37" s="34" t="n">
        <v>23.87</v>
      </c>
      <c r="S37" s="34" t="n">
        <v>10.05</v>
      </c>
      <c r="T37" s="34" t="n">
        <v>13.82</v>
      </c>
      <c r="U37" s="34" t="n">
        <v>10.48</v>
      </c>
      <c r="V37" s="34" t="n">
        <v>7.54</v>
      </c>
      <c r="W37" s="34" t="n">
        <v>2.94</v>
      </c>
      <c r="X37" s="34" t="n">
        <v>3.45</v>
      </c>
      <c r="Y37" s="34" t="n">
        <v>2.15</v>
      </c>
      <c r="Z37" s="34" t="n">
        <v>1.3</v>
      </c>
      <c r="AA37" s="34" t="n">
        <v>7.29</v>
      </c>
      <c r="AB37" s="34" t="n">
        <v>2.85</v>
      </c>
      <c r="AC37" s="34" t="n">
        <v>4.44</v>
      </c>
      <c r="AD37" s="34">
        <f>IF(OR(Q37="",BM37="",BM37=0),"",Q37/BM37)</f>
        <v/>
      </c>
      <c r="AE37" s="34">
        <f>IF(OR(T37="",BM37="",BM37=0),"",T37/BM37)</f>
        <v/>
      </c>
      <c r="AF37" s="34">
        <f>IF(OR(W37="",BM37="",BM37=0),"",W37/BM37)</f>
        <v/>
      </c>
      <c r="AG37" s="34">
        <f>IF(OR(Z37="",BM37="",BM37=0),"",Z37/BM37)</f>
        <v/>
      </c>
      <c r="AH37" s="34">
        <f>IF(OR(AC37="",BM37="",BM37=0),"",AC37/BM37)</f>
        <v/>
      </c>
      <c r="AI37" s="33" t="n">
        <v>74.8</v>
      </c>
      <c r="AJ37" s="33" t="n">
        <v>22.3</v>
      </c>
      <c r="AK37" s="33" t="n"/>
      <c r="AL37" s="33" t="n">
        <v>2.9</v>
      </c>
      <c r="AM37" s="33" t="n"/>
      <c r="AN37" s="33" t="n"/>
      <c r="AO37" s="33" t="n">
        <v>4.4</v>
      </c>
      <c r="AP37" s="33" t="n">
        <v>15</v>
      </c>
      <c r="AQ37" s="33" t="n"/>
      <c r="AR37" s="33" t="n"/>
      <c r="AS37" s="33" t="n"/>
      <c r="AT37" s="33" t="n">
        <v>2.9</v>
      </c>
      <c r="AU37" s="33" t="n"/>
      <c r="AV37" s="33" t="n"/>
      <c r="AW37" s="33" t="n"/>
      <c r="AX37" s="33" t="n"/>
      <c r="AY37" s="33" t="n"/>
      <c r="AZ37" s="33" t="n"/>
      <c r="BA37" s="33" t="n">
        <v>35.9</v>
      </c>
      <c r="BB37" s="33" t="n">
        <v>7.7</v>
      </c>
      <c r="BC37" s="33" t="n">
        <v>31.4</v>
      </c>
      <c r="BD37" s="33" t="n">
        <v>5.7</v>
      </c>
      <c r="BE37" s="33" t="n"/>
      <c r="BF37" s="33" t="n">
        <v>11.8</v>
      </c>
      <c r="BG37" s="33" t="n"/>
      <c r="BH37" s="33" t="n"/>
      <c r="BI37" s="33" t="n"/>
      <c r="BJ37" s="33" t="n"/>
      <c r="BK37" s="33" t="n"/>
      <c r="BL37" s="30" t="inlineStr">
        <is>
          <t>Hon.Precision Incorporated | Kinik Company | TIME dotCom Berhad | IGB Real Estate Investment Trust | Frontken Corporation Berhad</t>
        </is>
      </c>
      <c r="BM37" s="33" t="n">
        <v>10.4</v>
      </c>
      <c r="BN37" s="29" t="inlineStr">
        <is>
          <t>High</t>
        </is>
      </c>
      <c r="BO37" s="30" t="inlineStr">
        <is>
          <t>Equity Malaysia Domestic 25% of the fund’s NAV</t>
        </is>
      </c>
      <c r="BP37" s="30" t="n"/>
      <c r="BQ37" s="35" t="n">
        <v>0.4931</v>
      </c>
      <c r="BR37" s="29" t="inlineStr">
        <is>
          <t>2026-05-29</t>
        </is>
      </c>
      <c r="BS37" s="35" t="n">
        <v>0.4776</v>
      </c>
      <c r="BT37" s="34" t="n">
        <v>-3.14</v>
      </c>
      <c r="BU37" s="31" t="n">
        <v>17</v>
      </c>
    </row>
    <row r="38" ht="16" customHeight="1">
      <c r="A38" s="22" t="inlineStr">
        <is>
          <t>PUBLIC FAR-EAST SELECT FUND</t>
        </is>
      </c>
      <c r="B38" s="22" t="inlineStr">
        <is>
          <t>PFES</t>
        </is>
      </c>
      <c r="C38" s="22" t="inlineStr">
        <is>
          <t>Conventional</t>
        </is>
      </c>
      <c r="D38" s="22" t="inlineStr">
        <is>
          <t>Equity</t>
        </is>
      </c>
      <c r="E38" s="23" t="inlineStr">
        <is>
          <t>Capital Growth</t>
        </is>
      </c>
      <c r="F38" s="24" t="n">
        <v>5</v>
      </c>
      <c r="G38" s="23" t="inlineStr">
        <is>
          <t>Incidental</t>
        </is>
      </c>
      <c r="H38" s="25" t="n">
        <v>864.41</v>
      </c>
      <c r="I38" s="22" t="inlineStr">
        <is>
          <t>22.11.2005</t>
        </is>
      </c>
      <c r="J38" s="22" t="inlineStr">
        <is>
          <t>Qualified</t>
        </is>
      </c>
      <c r="K38" s="26" t="n">
        <v>80</v>
      </c>
      <c r="L38" s="22" t="inlineStr">
        <is>
          <t>4/5</t>
        </is>
      </c>
      <c r="M38" s="23" t="inlineStr">
        <is>
          <t>Qualified (WA: +4.19%) — YTD✔ 1Y✔ 3Y✔ 5Y✔ 10Y✘</t>
        </is>
      </c>
      <c r="N38" s="27" t="n">
        <v>4.19</v>
      </c>
      <c r="O38" s="27" t="n">
        <v>22.42</v>
      </c>
      <c r="P38" s="27" t="n">
        <v>13.74</v>
      </c>
      <c r="Q38" s="27" t="n">
        <v>8.68</v>
      </c>
      <c r="R38" s="27" t="n">
        <v>55.4</v>
      </c>
      <c r="S38" s="27" t="n">
        <v>41.49</v>
      </c>
      <c r="T38" s="27" t="n">
        <v>13.91</v>
      </c>
      <c r="U38" s="27" t="n">
        <v>19.07</v>
      </c>
      <c r="V38" s="27" t="n">
        <v>15.79</v>
      </c>
      <c r="W38" s="27" t="n">
        <v>3.28</v>
      </c>
      <c r="X38" s="27" t="n">
        <v>3.56</v>
      </c>
      <c r="Y38" s="27" t="n">
        <v>2.09</v>
      </c>
      <c r="Z38" s="27" t="n">
        <v>1.47</v>
      </c>
      <c r="AA38" s="27" t="n">
        <v>7.62</v>
      </c>
      <c r="AB38" s="27" t="n">
        <v>7.7</v>
      </c>
      <c r="AC38" s="27" t="n">
        <v>-0.08</v>
      </c>
      <c r="AD38" s="27">
        <f>IF(OR(Q38="",BM38="",BM38=0),"",Q38/BM38)</f>
        <v/>
      </c>
      <c r="AE38" s="27">
        <f>IF(OR(T38="",BM38="",BM38=0),"",T38/BM38)</f>
        <v/>
      </c>
      <c r="AF38" s="27">
        <f>IF(OR(W38="",BM38="",BM38=0),"",W38/BM38)</f>
        <v/>
      </c>
      <c r="AG38" s="27">
        <f>IF(OR(Z38="",BM38="",BM38=0),"",Z38/BM38)</f>
        <v/>
      </c>
      <c r="AH38" s="27">
        <f>IF(OR(AC38="",BM38="",BM38=0),"",AC38/BM38)</f>
        <v/>
      </c>
      <c r="AI38" s="26" t="n">
        <v>0.9</v>
      </c>
      <c r="AJ38" s="26" t="n">
        <v>93.2</v>
      </c>
      <c r="AK38" s="26" t="n"/>
      <c r="AL38" s="26" t="n">
        <v>5.9</v>
      </c>
      <c r="AM38" s="26" t="n"/>
      <c r="AN38" s="26" t="n"/>
      <c r="AO38" s="26" t="n"/>
      <c r="AP38" s="26" t="n">
        <v>35.2</v>
      </c>
      <c r="AQ38" s="26" t="n">
        <v>26.8</v>
      </c>
      <c r="AR38" s="26" t="n"/>
      <c r="AS38" s="26" t="n"/>
      <c r="AT38" s="26" t="n"/>
      <c r="AU38" s="26" t="n">
        <v>30.5</v>
      </c>
      <c r="AV38" s="26" t="n"/>
      <c r="AW38" s="26" t="n"/>
      <c r="AX38" s="26" t="n"/>
      <c r="AY38" s="26" t="n"/>
      <c r="AZ38" s="26" t="n">
        <v>0.7</v>
      </c>
      <c r="BA38" s="26" t="n">
        <v>15.2</v>
      </c>
      <c r="BB38" s="26" t="n">
        <v>47.7</v>
      </c>
      <c r="BC38" s="26" t="n">
        <v>2.2</v>
      </c>
      <c r="BD38" s="26" t="n">
        <v>21.4</v>
      </c>
      <c r="BE38" s="26" t="n">
        <v>7.3</v>
      </c>
      <c r="BF38" s="26" t="n"/>
      <c r="BG38" s="26" t="n"/>
      <c r="BH38" s="26" t="n"/>
      <c r="BI38" s="26" t="n"/>
      <c r="BJ38" s="26" t="n"/>
      <c r="BK38" s="26" t="n"/>
      <c r="BL38" s="23" t="inlineStr">
        <is>
          <t>Samsung Electronics Company Limited | Taiwan Semiconductor Manufacturing Company Limited | SK Hynix Incorporated | Alibaba Group Holding Limited - W | Tencent Holdings Limited</t>
        </is>
      </c>
      <c r="BM38" s="26" t="n">
        <v>17.7</v>
      </c>
      <c r="BN38" s="22" t="inlineStr">
        <is>
          <t>Very High</t>
        </is>
      </c>
      <c r="BO38" s="23" t="inlineStr">
        <is>
          <t>Equity Asia Pacific Asia</t>
        </is>
      </c>
      <c r="BP38" s="23" t="inlineStr">
        <is>
          <t>2021 0.80 31.5.21 2.1 ThebenchmarkforPFESisacompositeof70%MSCIACFar-EastEx-JapanIndex 2022 0.80 31.5.22 2.7 and30%KualaLumpurCompositeIndex(priorto6July2009),30%FTSEBursa Malaysia KLCI (6 July 2009 to 29 April 2010). Note: Distribution yield simply measures the level of distributions and is MSCIACFar-EastEx-JapanIndex(30April2010to29April2021),S&amp;PPanAsia not a measure of fund performance. Ex-Japan, Australia, New Zealand &amp; India LargeCap Index (30 April 2021 to 1 January 2025), S&amp;P Pan Asia Ex-Japan, Australia, New Zealand &amp; India LargeCap 8% Capped Index (w.e.f. 2 January 2025). UnderlyingindexdataaresourcedfromS&amp;PDowJonesIndices,LLCandLipper and expressed in Ringgit terms.</t>
        </is>
      </c>
      <c r="BQ38" s="28" t="n">
        <v>0.5227000000000001</v>
      </c>
      <c r="BR38" s="22" t="inlineStr">
        <is>
          <t>2026-06-04</t>
        </is>
      </c>
      <c r="BS38" s="28" t="n">
        <v>0.5014999999999999</v>
      </c>
      <c r="BT38" s="27" t="n">
        <v>-4.06</v>
      </c>
      <c r="BU38" s="24" t="n">
        <v>11</v>
      </c>
    </row>
    <row r="39" ht="16" customHeight="1">
      <c r="A39" s="29" t="inlineStr">
        <is>
          <t>PB ASIA EQUITY FUND</t>
        </is>
      </c>
      <c r="B39" s="29" t="inlineStr">
        <is>
          <t>PBAEF</t>
        </is>
      </c>
      <c r="C39" s="29" t="inlineStr">
        <is>
          <t>Conventional</t>
        </is>
      </c>
      <c r="D39" s="29" t="inlineStr">
        <is>
          <t>Equity</t>
        </is>
      </c>
      <c r="E39" s="30" t="inlineStr">
        <is>
          <t>Capital Growth</t>
        </is>
      </c>
      <c r="F39" s="31" t="n">
        <v>5</v>
      </c>
      <c r="G39" s="30" t="inlineStr">
        <is>
          <t>Incidental</t>
        </is>
      </c>
      <c r="H39" s="32" t="n">
        <v>197.56</v>
      </c>
      <c r="I39" s="29" t="inlineStr">
        <is>
          <t>27.06.2006</t>
        </is>
      </c>
      <c r="J39" s="29" t="inlineStr">
        <is>
          <t>Qualified</t>
        </is>
      </c>
      <c r="K39" s="33" t="n">
        <v>100</v>
      </c>
      <c r="L39" s="29" t="inlineStr">
        <is>
          <t>5/5</t>
        </is>
      </c>
      <c r="M39" s="30" t="inlineStr">
        <is>
          <t>Qualified (WA: +4.01%) — YTD✔ 1Y✔ 3Y✔ 5Y✔ 10Y✔</t>
        </is>
      </c>
      <c r="N39" s="34" t="n">
        <v>4.01</v>
      </c>
      <c r="O39" s="34" t="n">
        <v>26.67</v>
      </c>
      <c r="P39" s="34" t="n">
        <v>15.29</v>
      </c>
      <c r="Q39" s="34" t="n">
        <v>11.38</v>
      </c>
      <c r="R39" s="34" t="n">
        <v>56.42</v>
      </c>
      <c r="S39" s="34" t="n">
        <v>43.26</v>
      </c>
      <c r="T39" s="34" t="n">
        <v>13.16</v>
      </c>
      <c r="U39" s="34" t="n">
        <v>20</v>
      </c>
      <c r="V39" s="34" t="n">
        <v>16.79</v>
      </c>
      <c r="W39" s="34" t="n">
        <v>3.21</v>
      </c>
      <c r="X39" s="34" t="n">
        <v>5.47</v>
      </c>
      <c r="Y39" s="34" t="n">
        <v>5.06</v>
      </c>
      <c r="Z39" s="34" t="n">
        <v>0.41</v>
      </c>
      <c r="AA39" s="34" t="n">
        <v>8.73</v>
      </c>
      <c r="AB39" s="34" t="n">
        <v>8.199999999999999</v>
      </c>
      <c r="AC39" s="34" t="n">
        <v>0.53</v>
      </c>
      <c r="AD39" s="34">
        <f>IF(OR(Q39="",BM39="",BM39=0),"",Q39/BM39)</f>
        <v/>
      </c>
      <c r="AE39" s="34">
        <f>IF(OR(T39="",BM39="",BM39=0),"",T39/BM39)</f>
        <v/>
      </c>
      <c r="AF39" s="34">
        <f>IF(OR(W39="",BM39="",BM39=0),"",W39/BM39)</f>
        <v/>
      </c>
      <c r="AG39" s="34">
        <f>IF(OR(Z39="",BM39="",BM39=0),"",Z39/BM39)</f>
        <v/>
      </c>
      <c r="AH39" s="34">
        <f>IF(OR(AC39="",BM39="",BM39=0),"",AC39/BM39)</f>
        <v/>
      </c>
      <c r="AI39" s="33" t="n">
        <v>0.8</v>
      </c>
      <c r="AJ39" s="33" t="n">
        <v>86.59999999999999</v>
      </c>
      <c r="AK39" s="33" t="n"/>
      <c r="AL39" s="33" t="n">
        <v>12.6</v>
      </c>
      <c r="AM39" s="33" t="n"/>
      <c r="AN39" s="33" t="n"/>
      <c r="AO39" s="33" t="n">
        <v>7.6</v>
      </c>
      <c r="AP39" s="33" t="n">
        <v>31.2</v>
      </c>
      <c r="AQ39" s="33" t="n">
        <v>28.1</v>
      </c>
      <c r="AR39" s="33" t="n">
        <v>5.4</v>
      </c>
      <c r="AS39" s="33" t="n"/>
      <c r="AT39" s="33" t="n"/>
      <c r="AU39" s="33" t="n">
        <v>14.3</v>
      </c>
      <c r="AV39" s="33" t="n"/>
      <c r="AW39" s="33" t="n"/>
      <c r="AX39" s="33" t="n"/>
      <c r="AY39" s="33" t="n"/>
      <c r="AZ39" s="33" t="n"/>
      <c r="BA39" s="33" t="n">
        <v>28.8</v>
      </c>
      <c r="BB39" s="33" t="n">
        <v>36.2</v>
      </c>
      <c r="BC39" s="33" t="n">
        <v>3</v>
      </c>
      <c r="BD39" s="33" t="n">
        <v>14.5</v>
      </c>
      <c r="BE39" s="33" t="n">
        <v>4.9</v>
      </c>
      <c r="BF39" s="33" t="n"/>
      <c r="BG39" s="33" t="n"/>
      <c r="BH39" s="33" t="n"/>
      <c r="BI39" s="33" t="n"/>
      <c r="BJ39" s="33" t="n"/>
      <c r="BK39" s="33" t="n"/>
      <c r="BL39" s="30" t="inlineStr">
        <is>
          <t>Taiwan Semiconductor Manufacturing Company Limited | Samsung Electronics Company Limited | HD Hyundai Electric Company Limited | Elite Material Company Limited | SK Hynix Incorporated</t>
        </is>
      </c>
      <c r="BM39" s="33" t="n">
        <v>16.5</v>
      </c>
      <c r="BN39" s="29" t="inlineStr">
        <is>
          <t>Very High</t>
        </is>
      </c>
      <c r="BO39" s="30" t="inlineStr">
        <is>
          <t>Equity Asia Pacific Asia</t>
        </is>
      </c>
      <c r="BP39" s="30" t="inlineStr">
        <is>
          <t>2016 1.50 30.06.16 6.0 ThebenchmarkforPBAEFisacompositeof20%KualaLumpurCompositeIndex (priorto6July2009), 20%FTSE BursaMalaysiaKLCI(w.e.f.6July2009),20% 2017 1.50 30.06.17 4.9 TokyoStockPriceIndex(priorto30April2013),20%TOPIXCore30Index(w.e.f. 2018 1.50 29.06.18 5.3 30April 2013),20% KoreaCompositeStock PriceIndex(priorto30 April 2013), 20%KOSPI50Index(30April2013to29April2017),20%MSCIKoreaLargeCap 2019 1.00 28.06.19 3.7 Index (30 April 2017 to 29 April 2021), 20% S&amp;P Korea LargeCap Index (w.e.f. 2020 1.75 30.06.20 6.0 30April2021)and40%MSCIGoldenDragonIndex(priorto30April2021),40% 2021 1.75 30.06.21 5.1 S&amp;P Greater China LargeMidCap Index (30 April 2021 to 1 January2025), 40% S&amp;P Greater China LargeMidCap 8% Capped Index (w.e.f. 2 January 2025). Note: Distribution yield simply measures the level of distributions and is not a measure of fund performance. UnderlyingindexdataaresourcedfromS&amp;PDowJonesIndices,LLCandLipper and expressed in Ringgit terms.</t>
        </is>
      </c>
      <c r="BQ39" s="35" t="n">
        <v>0.5019</v>
      </c>
      <c r="BR39" s="29" t="inlineStr">
        <is>
          <t>2026-06-04</t>
        </is>
      </c>
      <c r="BS39" s="35" t="n">
        <v>0.4929</v>
      </c>
      <c r="BT39" s="34" t="n">
        <v>-1.79</v>
      </c>
      <c r="BU39" s="31" t="n">
        <v>11</v>
      </c>
    </row>
    <row r="40" ht="16" customHeight="1">
      <c r="A40" s="22" t="inlineStr">
        <is>
          <t>PB ASIA-30 EQUITY FUND</t>
        </is>
      </c>
      <c r="B40" s="22" t="inlineStr">
        <is>
          <t>PBA30EF</t>
        </is>
      </c>
      <c r="C40" s="22" t="inlineStr">
        <is>
          <t>Conventional</t>
        </is>
      </c>
      <c r="D40" s="22" t="inlineStr">
        <is>
          <t>Equity</t>
        </is>
      </c>
      <c r="E40" s="23" t="inlineStr">
        <is>
          <t>Capital Growth</t>
        </is>
      </c>
      <c r="F40" s="24" t="n">
        <v>5</v>
      </c>
      <c r="G40" s="23" t="inlineStr">
        <is>
          <t>Incidental</t>
        </is>
      </c>
      <c r="H40" s="25" t="n">
        <v>337.92</v>
      </c>
      <c r="I40" s="22" t="inlineStr">
        <is>
          <t>26.07.2018</t>
        </is>
      </c>
      <c r="J40" s="22" t="inlineStr">
        <is>
          <t>Qualified</t>
        </is>
      </c>
      <c r="K40" s="26" t="n">
        <v>75</v>
      </c>
      <c r="L40" s="22" t="inlineStr">
        <is>
          <t>3/4</t>
        </is>
      </c>
      <c r="M40" s="23" t="inlineStr">
        <is>
          <t>Qualified (WA: +3.95%) — YTD✔ 1Y✔ 3Y✔ 5Y✘</t>
        </is>
      </c>
      <c r="N40" s="27" t="n">
        <v>3.95</v>
      </c>
      <c r="O40" s="27" t="n">
        <v>26.03</v>
      </c>
      <c r="P40" s="27" t="n">
        <v>12.92</v>
      </c>
      <c r="Q40" s="27" t="n">
        <v>13.11</v>
      </c>
      <c r="R40" s="27" t="n">
        <v>55.74</v>
      </c>
      <c r="S40" s="27" t="n">
        <v>39.58</v>
      </c>
      <c r="T40" s="27" t="n">
        <v>16.16</v>
      </c>
      <c r="U40" s="27" t="n">
        <v>19.43</v>
      </c>
      <c r="V40" s="27" t="n">
        <v>17.82</v>
      </c>
      <c r="W40" s="27" t="n">
        <v>1.61</v>
      </c>
      <c r="X40" s="27" t="n">
        <v>2.06</v>
      </c>
      <c r="Y40" s="27" t="n">
        <v>3.52</v>
      </c>
      <c r="Z40" s="27" t="n">
        <v>-1.46</v>
      </c>
      <c r="AA40" s="27" t="n"/>
      <c r="AB40" s="27" t="n"/>
      <c r="AC40" s="27" t="n"/>
      <c r="AD40" s="27">
        <f>IF(OR(Q40="",BM40="",BM40=0),"",Q40/BM40)</f>
        <v/>
      </c>
      <c r="AE40" s="27">
        <f>IF(OR(T40="",BM40="",BM40=0),"",T40/BM40)</f>
        <v/>
      </c>
      <c r="AF40" s="27">
        <f>IF(OR(W40="",BM40="",BM40=0),"",W40/BM40)</f>
        <v/>
      </c>
      <c r="AG40" s="27">
        <f>IF(OR(Z40="",BM40="",BM40=0),"",Z40/BM40)</f>
        <v/>
      </c>
      <c r="AH40" s="27">
        <f>IF(OR(AC40="",BM40="",BM40=0),"",AC40/BM40)</f>
        <v/>
      </c>
      <c r="AI40" s="26" t="n"/>
      <c r="AJ40" s="26" t="n">
        <v>95.40000000000001</v>
      </c>
      <c r="AK40" s="26" t="n"/>
      <c r="AL40" s="26" t="n">
        <v>4.6</v>
      </c>
      <c r="AM40" s="26" t="n"/>
      <c r="AN40" s="26" t="n"/>
      <c r="AO40" s="26" t="n">
        <v>2.4</v>
      </c>
      <c r="AP40" s="26" t="n">
        <v>48</v>
      </c>
      <c r="AQ40" s="26" t="n">
        <v>30.2</v>
      </c>
      <c r="AR40" s="26" t="n">
        <v>0.7</v>
      </c>
      <c r="AS40" s="26" t="n"/>
      <c r="AT40" s="26" t="n"/>
      <c r="AU40" s="26" t="n">
        <v>14.1</v>
      </c>
      <c r="AV40" s="26" t="n"/>
      <c r="AW40" s="26" t="n"/>
      <c r="AX40" s="26" t="n"/>
      <c r="AY40" s="26" t="n"/>
      <c r="AZ40" s="26" t="n"/>
      <c r="BA40" s="26" t="n">
        <v>24.1</v>
      </c>
      <c r="BB40" s="26" t="n">
        <v>50.4</v>
      </c>
      <c r="BC40" s="26" t="n"/>
      <c r="BD40" s="26" t="n">
        <v>18.5</v>
      </c>
      <c r="BE40" s="26" t="n">
        <v>2.4</v>
      </c>
      <c r="BF40" s="26" t="n"/>
      <c r="BG40" s="26" t="n"/>
      <c r="BH40" s="26" t="n"/>
      <c r="BI40" s="26" t="n"/>
      <c r="BJ40" s="26" t="n"/>
      <c r="BK40" s="26" t="n"/>
      <c r="BL40" s="23" t="inlineStr">
        <is>
          <t>SK Hynix Incorporated | Taiwan Semiconductor Manufacturing Company Limited | Samsung Electronics Company Limited | Alibaba Group Holding Limited - W | Delta Electronics Incorporated</t>
        </is>
      </c>
      <c r="BM40" s="26" t="n">
        <v>20.3</v>
      </c>
      <c r="BN40" s="22" t="inlineStr">
        <is>
          <t>Very High</t>
        </is>
      </c>
      <c r="BO40" s="23" t="inlineStr">
        <is>
          <t>Equity Asia Pacific Asia</t>
        </is>
      </c>
      <c r="BP40" s="23" t="n"/>
      <c r="BQ40" s="28" t="n">
        <v>0.4564</v>
      </c>
      <c r="BR40" s="22" t="inlineStr">
        <is>
          <t>2026-06-04</t>
        </is>
      </c>
      <c r="BS40" s="28" t="n">
        <v>0.4345</v>
      </c>
      <c r="BT40" s="27" t="n">
        <v>-4.8</v>
      </c>
      <c r="BU40" s="24" t="n">
        <v>11</v>
      </c>
    </row>
    <row r="41" ht="16" customHeight="1">
      <c r="A41" s="29" t="inlineStr">
        <is>
          <t>PUBLIC ADVANTAGE GROWTH EQUITY FUND</t>
        </is>
      </c>
      <c r="B41" s="29" t="inlineStr">
        <is>
          <t>PAVGEF</t>
        </is>
      </c>
      <c r="C41" s="29" t="inlineStr">
        <is>
          <t>Conventional</t>
        </is>
      </c>
      <c r="D41" s="29" t="inlineStr">
        <is>
          <t>Equity</t>
        </is>
      </c>
      <c r="E41" s="30" t="inlineStr">
        <is>
          <t>Capital Growth</t>
        </is>
      </c>
      <c r="F41" s="31" t="n">
        <v>5</v>
      </c>
      <c r="G41" s="30" t="inlineStr">
        <is>
          <t>Incidental</t>
        </is>
      </c>
      <c r="H41" s="32" t="n">
        <v>19.06</v>
      </c>
      <c r="I41" s="29" t="inlineStr">
        <is>
          <t>08.09.2015</t>
        </is>
      </c>
      <c r="J41" s="29" t="inlineStr">
        <is>
          <t>Qualified</t>
        </is>
      </c>
      <c r="K41" s="33" t="n">
        <v>100</v>
      </c>
      <c r="L41" s="29" t="inlineStr">
        <is>
          <t>5/5</t>
        </is>
      </c>
      <c r="M41" s="30" t="inlineStr">
        <is>
          <t>Qualified (WA: +3.60%) — YTD✔ 1Y✔ 3Y✔ 5Y✔ 10Y✔</t>
        </is>
      </c>
      <c r="N41" s="34" t="n">
        <v>3.6</v>
      </c>
      <c r="O41" s="34" t="n">
        <v>5.13</v>
      </c>
      <c r="P41" s="34" t="n">
        <v>2.49</v>
      </c>
      <c r="Q41" s="34" t="n">
        <v>2.64</v>
      </c>
      <c r="R41" s="34" t="n">
        <v>22.34</v>
      </c>
      <c r="S41" s="34" t="n">
        <v>11.8</v>
      </c>
      <c r="T41" s="34" t="n">
        <v>10.54</v>
      </c>
      <c r="U41" s="34" t="n">
        <v>9.09</v>
      </c>
      <c r="V41" s="34" t="n">
        <v>6.72</v>
      </c>
      <c r="W41" s="34" t="n">
        <v>2.37</v>
      </c>
      <c r="X41" s="34" t="n">
        <v>2.6</v>
      </c>
      <c r="Y41" s="34" t="n">
        <v>1.46</v>
      </c>
      <c r="Z41" s="34" t="n">
        <v>1.14</v>
      </c>
      <c r="AA41" s="34" t="n">
        <v>4.66</v>
      </c>
      <c r="AB41" s="34" t="n">
        <v>0.29</v>
      </c>
      <c r="AC41" s="34" t="n">
        <v>4.37</v>
      </c>
      <c r="AD41" s="34">
        <f>IF(OR(Q41="",BM41="",BM41=0),"",Q41/BM41)</f>
        <v/>
      </c>
      <c r="AE41" s="34">
        <f>IF(OR(T41="",BM41="",BM41=0),"",T41/BM41)</f>
        <v/>
      </c>
      <c r="AF41" s="34">
        <f>IF(OR(W41="",BM41="",BM41=0),"",W41/BM41)</f>
        <v/>
      </c>
      <c r="AG41" s="34">
        <f>IF(OR(Z41="",BM41="",BM41=0),"",Z41/BM41)</f>
        <v/>
      </c>
      <c r="AH41" s="34">
        <f>IF(OR(AC41="",BM41="",BM41=0),"",AC41/BM41)</f>
        <v/>
      </c>
      <c r="AI41" s="33" t="n">
        <v>75</v>
      </c>
      <c r="AJ41" s="33" t="n">
        <v>22.5</v>
      </c>
      <c r="AK41" s="33" t="n"/>
      <c r="AL41" s="33" t="n">
        <v>2.5</v>
      </c>
      <c r="AM41" s="33" t="n"/>
      <c r="AN41" s="33" t="n"/>
      <c r="AO41" s="33" t="n">
        <v>9.9</v>
      </c>
      <c r="AP41" s="33" t="n">
        <v>3.9</v>
      </c>
      <c r="AQ41" s="33" t="n"/>
      <c r="AR41" s="33" t="n"/>
      <c r="AS41" s="33" t="n"/>
      <c r="AT41" s="33" t="n"/>
      <c r="AU41" s="33" t="n">
        <v>6.4</v>
      </c>
      <c r="AV41" s="33" t="n"/>
      <c r="AW41" s="33" t="n"/>
      <c r="AX41" s="33" t="n"/>
      <c r="AY41" s="33" t="n"/>
      <c r="AZ41" s="33" t="n"/>
      <c r="BA41" s="33" t="n">
        <v>15.9</v>
      </c>
      <c r="BB41" s="33" t="n">
        <v>10.2</v>
      </c>
      <c r="BC41" s="33" t="n">
        <v>26.9</v>
      </c>
      <c r="BD41" s="33" t="n">
        <v>20.2</v>
      </c>
      <c r="BE41" s="33" t="n"/>
      <c r="BF41" s="33" t="n"/>
      <c r="BG41" s="33" t="n">
        <v>9.300000000000001</v>
      </c>
      <c r="BH41" s="33" t="n"/>
      <c r="BI41" s="33" t="n"/>
      <c r="BJ41" s="33" t="n"/>
      <c r="BK41" s="33" t="n"/>
      <c r="BL41" s="30" t="inlineStr">
        <is>
          <t>Tenaga Nasional Berhad | Malayan Banking Berhad | Telekom Malaysia Berhad | Hong Leong Industries Berhad | Alphabet Incorporated - Class A</t>
        </is>
      </c>
      <c r="BM41" s="33" t="n">
        <v>11.1</v>
      </c>
      <c r="BN41" s="29" t="inlineStr">
        <is>
          <t>High</t>
        </is>
      </c>
      <c r="BO41" s="30" t="inlineStr">
        <is>
          <t>Equity Malaysia Domestic 25% of the fund’s NAV</t>
        </is>
      </c>
      <c r="BP41" s="30" t="inlineStr">
        <is>
          <t>Index data are sourced from Lipper.</t>
        </is>
      </c>
      <c r="BQ41" s="35" t="n">
        <v>0.364</v>
      </c>
      <c r="BR41" s="29" t="inlineStr">
        <is>
          <t>2026-06-03</t>
        </is>
      </c>
      <c r="BS41" s="35" t="n">
        <v>0.3563</v>
      </c>
      <c r="BT41" s="34" t="n">
        <v>-2.12</v>
      </c>
      <c r="BU41" s="31" t="n">
        <v>12</v>
      </c>
    </row>
    <row r="42" ht="16" customHeight="1">
      <c r="A42" s="22" t="inlineStr">
        <is>
          <t>PUBLIC ASIA PACIFIC ALPHA-40 FUND</t>
        </is>
      </c>
      <c r="B42" s="22" t="inlineStr">
        <is>
          <t>PAPA40F</t>
        </is>
      </c>
      <c r="C42" s="22" t="inlineStr">
        <is>
          <t>Conventional</t>
        </is>
      </c>
      <c r="D42" s="22" t="inlineStr">
        <is>
          <t>Equity</t>
        </is>
      </c>
      <c r="E42" s="23" t="inlineStr">
        <is>
          <t>Capital Growth</t>
        </is>
      </c>
      <c r="F42" s="24" t="n">
        <v>5</v>
      </c>
      <c r="G42" s="23" t="inlineStr">
        <is>
          <t>Incidental</t>
        </is>
      </c>
      <c r="H42" s="25" t="n">
        <v>53.33</v>
      </c>
      <c r="I42" s="22" t="inlineStr">
        <is>
          <t>10.12.2021</t>
        </is>
      </c>
      <c r="J42" s="22" t="inlineStr">
        <is>
          <t>Qualified</t>
        </is>
      </c>
      <c r="K42" s="26" t="n">
        <v>100</v>
      </c>
      <c r="L42" s="22" t="inlineStr">
        <is>
          <t>3/3</t>
        </is>
      </c>
      <c r="M42" s="23" t="inlineStr">
        <is>
          <t>Qualified (WA: +3.47%) — YTD✔ 1Y✔ 3Y✔</t>
        </is>
      </c>
      <c r="N42" s="27" t="n">
        <v>3.47</v>
      </c>
      <c r="O42" s="27" t="n">
        <v>16.97</v>
      </c>
      <c r="P42" s="27" t="n">
        <v>12.92</v>
      </c>
      <c r="Q42" s="27" t="n">
        <v>4.05</v>
      </c>
      <c r="R42" s="27" t="n">
        <v>49.67</v>
      </c>
      <c r="S42" s="27" t="n">
        <v>39.58</v>
      </c>
      <c r="T42" s="27" t="n">
        <v>10.09</v>
      </c>
      <c r="U42" s="27" t="n">
        <v>18.73</v>
      </c>
      <c r="V42" s="27" t="n">
        <v>17.82</v>
      </c>
      <c r="W42" s="27" t="n">
        <v>0.91</v>
      </c>
      <c r="X42" s="27" t="n"/>
      <c r="Y42" s="27" t="n"/>
      <c r="Z42" s="27" t="n"/>
      <c r="AA42" s="27" t="n"/>
      <c r="AB42" s="27" t="n"/>
      <c r="AC42" s="27" t="n"/>
      <c r="AD42" s="27">
        <f>IF(OR(Q42="",BM42="",BM42=0),"",Q42/BM42)</f>
        <v/>
      </c>
      <c r="AE42" s="27">
        <f>IF(OR(T42="",BM42="",BM42=0),"",T42/BM42)</f>
        <v/>
      </c>
      <c r="AF42" s="27">
        <f>IF(OR(W42="",BM42="",BM42=0),"",W42/BM42)</f>
        <v/>
      </c>
      <c r="AG42" s="27">
        <f>IF(OR(Z42="",BM42="",BM42=0),"",Z42/BM42)</f>
        <v/>
      </c>
      <c r="AH42" s="27">
        <f>IF(OR(AC42="",BM42="",BM42=0),"",AC42/BM42)</f>
        <v/>
      </c>
      <c r="AI42" s="26" t="n">
        <v>0.8</v>
      </c>
      <c r="AJ42" s="26" t="n">
        <v>89.3</v>
      </c>
      <c r="AK42" s="26" t="n"/>
      <c r="AL42" s="26" t="n">
        <v>9.9</v>
      </c>
      <c r="AM42" s="26" t="n"/>
      <c r="AN42" s="26" t="n"/>
      <c r="AO42" s="26" t="n">
        <v>8.6</v>
      </c>
      <c r="AP42" s="26" t="n">
        <v>21.6</v>
      </c>
      <c r="AQ42" s="26" t="n">
        <v>26.5</v>
      </c>
      <c r="AR42" s="26" t="n">
        <v>3.9</v>
      </c>
      <c r="AS42" s="26" t="n"/>
      <c r="AT42" s="26" t="n"/>
      <c r="AU42" s="26" t="n">
        <v>23.4</v>
      </c>
      <c r="AV42" s="26" t="n"/>
      <c r="AW42" s="26" t="n"/>
      <c r="AX42" s="26" t="n"/>
      <c r="AY42" s="26" t="n"/>
      <c r="AZ42" s="26" t="n"/>
      <c r="BA42" s="26" t="n">
        <v>16.8</v>
      </c>
      <c r="BB42" s="26" t="n">
        <v>42.5</v>
      </c>
      <c r="BC42" s="26" t="n">
        <v>8.5</v>
      </c>
      <c r="BD42" s="26" t="n">
        <v>17</v>
      </c>
      <c r="BE42" s="26" t="n">
        <v>5.3</v>
      </c>
      <c r="BF42" s="26" t="n"/>
      <c r="BG42" s="26" t="n"/>
      <c r="BH42" s="26" t="n"/>
      <c r="BI42" s="26" t="n"/>
      <c r="BJ42" s="26" t="n"/>
      <c r="BK42" s="26" t="n"/>
      <c r="BL42" s="23" t="inlineStr">
        <is>
          <t>SK Hynix Incorporated | Samsung Electronics Company Limited | Taiwan Semiconductor Manufacturing Company Limited | Alibaba Group Holding Limited - W | Tencent Holdings Limited</t>
        </is>
      </c>
      <c r="BM42" s="26" t="n">
        <v>17.2</v>
      </c>
      <c r="BN42" s="22" t="inlineStr">
        <is>
          <t>Very High</t>
        </is>
      </c>
      <c r="BO42" s="23" t="inlineStr">
        <is>
          <t>Equity Asia Pacific Asia</t>
        </is>
      </c>
      <c r="BP42" s="23" t="inlineStr">
        <is>
          <t>ThebenchmarkforPAPA40Fisacompositeof80%customisedindexbyS&amp;PDow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Q42" s="28" t="n">
        <v>0.4402</v>
      </c>
      <c r="BR42" s="22" t="inlineStr">
        <is>
          <t>2026-06-04</t>
        </is>
      </c>
      <c r="BS42" s="28" t="n">
        <v>0.4263</v>
      </c>
      <c r="BT42" s="27" t="n">
        <v>-3.16</v>
      </c>
      <c r="BU42" s="24" t="n">
        <v>11</v>
      </c>
    </row>
    <row r="43" ht="16" customHeight="1">
      <c r="A43" s="37" t="inlineStr">
        <is>
          <t>PUBLIC ISLAMIC U.S. SUSTAINABLE EQUITY FUND</t>
        </is>
      </c>
      <c r="B43" s="37" t="inlineStr">
        <is>
          <t>PIUSSEQF</t>
        </is>
      </c>
      <c r="C43" s="37" t="inlineStr">
        <is>
          <t>Shariah</t>
        </is>
      </c>
      <c r="D43" s="37" t="inlineStr">
        <is>
          <t>Equity</t>
        </is>
      </c>
      <c r="E43" s="30" t="inlineStr">
        <is>
          <t>Capital Growth</t>
        </is>
      </c>
      <c r="F43" s="31" t="n">
        <v>5</v>
      </c>
      <c r="G43" s="30" t="inlineStr">
        <is>
          <t>Incidental</t>
        </is>
      </c>
      <c r="H43" s="32" t="n">
        <v>517.48</v>
      </c>
      <c r="I43" s="29" t="inlineStr">
        <is>
          <t>10.04.2019</t>
        </is>
      </c>
      <c r="J43" s="29" t="inlineStr">
        <is>
          <t>Qualified</t>
        </is>
      </c>
      <c r="K43" s="33" t="n">
        <v>100</v>
      </c>
      <c r="L43" s="29" t="inlineStr">
        <is>
          <t>4/4</t>
        </is>
      </c>
      <c r="M43" s="30" t="inlineStr">
        <is>
          <t>Qualified (WA: +3.45%) — YTD✔ 1Y✔ 3Y✔ 5Y✔</t>
        </is>
      </c>
      <c r="N43" s="34" t="n">
        <v>3.45</v>
      </c>
      <c r="O43" s="34" t="n">
        <v>2.01</v>
      </c>
      <c r="P43" s="34" t="n">
        <v>0.33</v>
      </c>
      <c r="Q43" s="34" t="n">
        <v>1.68</v>
      </c>
      <c r="R43" s="34" t="n">
        <v>26.09</v>
      </c>
      <c r="S43" s="34" t="n">
        <v>16.81</v>
      </c>
      <c r="T43" s="34" t="n">
        <v>9.279999999999999</v>
      </c>
      <c r="U43" s="34" t="n">
        <v>17.83</v>
      </c>
      <c r="V43" s="34" t="n">
        <v>15.21</v>
      </c>
      <c r="W43" s="34" t="n">
        <v>2.62</v>
      </c>
      <c r="X43" s="34" t="n">
        <v>12.62</v>
      </c>
      <c r="Y43" s="34" t="n">
        <v>11</v>
      </c>
      <c r="Z43" s="34" t="n">
        <v>1.62</v>
      </c>
      <c r="AA43" s="34" t="n"/>
      <c r="AB43" s="34" t="n"/>
      <c r="AC43" s="34" t="n"/>
      <c r="AD43" s="34">
        <f>IF(OR(Q43="",BM43="",BM43=0),"",Q43/BM43)</f>
        <v/>
      </c>
      <c r="AE43" s="34">
        <f>IF(OR(T43="",BM43="",BM43=0),"",T43/BM43)</f>
        <v/>
      </c>
      <c r="AF43" s="34">
        <f>IF(OR(W43="",BM43="",BM43=0),"",W43/BM43)</f>
        <v/>
      </c>
      <c r="AG43" s="34">
        <f>IF(OR(Z43="",BM43="",BM43=0),"",Z43/BM43)</f>
        <v/>
      </c>
      <c r="AH43" s="34">
        <f>IF(OR(AC43="",BM43="",BM43=0),"",AC43/BM43)</f>
        <v/>
      </c>
      <c r="AI43" s="33" t="n"/>
      <c r="AJ43" s="33" t="n">
        <v>97.3</v>
      </c>
      <c r="AK43" s="33" t="n"/>
      <c r="AL43" s="33" t="n">
        <v>2.7</v>
      </c>
      <c r="AM43" s="33" t="n"/>
      <c r="AN43" s="33" t="n"/>
      <c r="AO43" s="33" t="n">
        <v>81.3</v>
      </c>
      <c r="AP43" s="33" t="n"/>
      <c r="AQ43" s="33" t="n"/>
      <c r="AR43" s="33" t="n">
        <v>2.2</v>
      </c>
      <c r="AS43" s="33" t="n">
        <v>1.5</v>
      </c>
      <c r="AT43" s="33" t="n"/>
      <c r="AU43" s="33" t="n">
        <v>4.7</v>
      </c>
      <c r="AV43" s="33" t="n"/>
      <c r="AW43" s="33" t="n">
        <v>7</v>
      </c>
      <c r="AX43" s="33" t="n"/>
      <c r="AY43" s="33" t="n"/>
      <c r="AZ43" s="33" t="n"/>
      <c r="BA43" s="33" t="n"/>
      <c r="BB43" s="33" t="n">
        <v>47.4</v>
      </c>
      <c r="BC43" s="33" t="n">
        <v>4.7</v>
      </c>
      <c r="BD43" s="33" t="n">
        <v>30.6</v>
      </c>
      <c r="BE43" s="33" t="n">
        <v>6</v>
      </c>
      <c r="BF43" s="33" t="n">
        <v>6.5</v>
      </c>
      <c r="BG43" s="33" t="n"/>
      <c r="BH43" s="33" t="n"/>
      <c r="BI43" s="33" t="n"/>
      <c r="BJ43" s="33" t="n"/>
      <c r="BK43" s="33" t="n"/>
      <c r="BL43" s="30" t="inlineStr">
        <is>
          <t>Alphabet Incorporated - Class A | Microsoft Corporation | Meta Platforms Incorporated | Apple Incorporated | Advanced Micro Devices Incorporated</t>
        </is>
      </c>
      <c r="BM43" s="33" t="n">
        <v>14.7</v>
      </c>
      <c r="BN43" s="29" t="inlineStr">
        <is>
          <t>Very High</t>
        </is>
      </c>
      <c r="BO43" s="30" t="inlineStr">
        <is>
          <t>Equity U.S. Global</t>
        </is>
      </c>
      <c r="BP43" s="30" t="inlineStr">
        <is>
          <t>The benchmark for PIUSSEQF is a composite of 90% S&amp;P United States LargeCapShariahIndex(priorto26February2025),90%S&amp;PGlobal1200U.S. LargeCapESGShariah8%CappedIndex(w.e.f.26February2025)and10%3- Month Islamic Interbank Money Market (IIMM) rate. UnderlyingindexdataaresourcedfromS&amp;PDowJonesIndices,LLCandBank Negara Malaysia and expressed in Ringgit terms.</t>
        </is>
      </c>
      <c r="BQ43" s="35" t="n">
        <v>0.7124</v>
      </c>
      <c r="BR43" s="29" t="inlineStr">
        <is>
          <t>2026-06-04</t>
        </is>
      </c>
      <c r="BS43" s="35" t="n">
        <v>0.6908</v>
      </c>
      <c r="BT43" s="34" t="n">
        <v>-3.03</v>
      </c>
      <c r="BU43" s="31" t="n">
        <v>11</v>
      </c>
    </row>
    <row r="44" ht="16" customHeight="1">
      <c r="A44" s="22" t="inlineStr">
        <is>
          <t>PB GROWTH FUND</t>
        </is>
      </c>
      <c r="B44" s="22" t="inlineStr">
        <is>
          <t>PBGF</t>
        </is>
      </c>
      <c r="C44" s="22" t="inlineStr">
        <is>
          <t>Conventional</t>
        </is>
      </c>
      <c r="D44" s="22" t="inlineStr">
        <is>
          <t>Equity</t>
        </is>
      </c>
      <c r="E44" s="23" t="inlineStr">
        <is>
          <t>Capital Growth</t>
        </is>
      </c>
      <c r="F44" s="24" t="n">
        <v>4</v>
      </c>
      <c r="G44" s="23" t="inlineStr">
        <is>
          <t>Incidental</t>
        </is>
      </c>
      <c r="H44" s="25" t="n">
        <v>599.45</v>
      </c>
      <c r="I44" s="22" t="inlineStr">
        <is>
          <t>03.10.2002</t>
        </is>
      </c>
      <c r="J44" s="22" t="inlineStr">
        <is>
          <t>Qualified</t>
        </is>
      </c>
      <c r="K44" s="26" t="n">
        <v>80</v>
      </c>
      <c r="L44" s="22" t="inlineStr">
        <is>
          <t>4/5</t>
        </is>
      </c>
      <c r="M44" s="23" t="inlineStr">
        <is>
          <t>Qualified (WA: +3.35%) — YTD✔ 1Y✘ 3Y✔ 5Y✔ 10Y✔</t>
        </is>
      </c>
      <c r="N44" s="27" t="n">
        <v>3.35</v>
      </c>
      <c r="O44" s="27" t="n">
        <v>2.74</v>
      </c>
      <c r="P44" s="27" t="n">
        <v>2.49</v>
      </c>
      <c r="Q44" s="27" t="n">
        <v>0.25</v>
      </c>
      <c r="R44" s="27" t="n">
        <v>10.64</v>
      </c>
      <c r="S44" s="27" t="n">
        <v>11.8</v>
      </c>
      <c r="T44" s="27" t="n">
        <v>-1.16</v>
      </c>
      <c r="U44" s="27" t="n">
        <v>12.7</v>
      </c>
      <c r="V44" s="27" t="n">
        <v>6.72</v>
      </c>
      <c r="W44" s="27" t="n">
        <v>5.98</v>
      </c>
      <c r="X44" s="27" t="n">
        <v>3.35</v>
      </c>
      <c r="Y44" s="27" t="n">
        <v>1.46</v>
      </c>
      <c r="Z44" s="27" t="n">
        <v>1.89</v>
      </c>
      <c r="AA44" s="27" t="n">
        <v>4.63</v>
      </c>
      <c r="AB44" s="27" t="n">
        <v>0.29</v>
      </c>
      <c r="AC44" s="27" t="n">
        <v>4.34</v>
      </c>
      <c r="AD44" s="27">
        <f>IF(OR(Q44="",BM44="",BM44=0),"",Q44/BM44)</f>
        <v/>
      </c>
      <c r="AE44" s="27">
        <f>IF(OR(T44="",BM44="",BM44=0),"",T44/BM44)</f>
        <v/>
      </c>
      <c r="AF44" s="27">
        <f>IF(OR(W44="",BM44="",BM44=0),"",W44/BM44)</f>
        <v/>
      </c>
      <c r="AG44" s="27">
        <f>IF(OR(Z44="",BM44="",BM44=0),"",Z44/BM44)</f>
        <v/>
      </c>
      <c r="AH44" s="27">
        <f>IF(OR(AC44="",BM44="",BM44=0),"",AC44/BM44)</f>
        <v/>
      </c>
      <c r="AI44" s="26" t="n">
        <v>75.59999999999999</v>
      </c>
      <c r="AJ44" s="26" t="n">
        <v>20.7</v>
      </c>
      <c r="AK44" s="26" t="n"/>
      <c r="AL44" s="26" t="n">
        <v>3.7</v>
      </c>
      <c r="AM44" s="26" t="n"/>
      <c r="AN44" s="26" t="n"/>
      <c r="AO44" s="26" t="n">
        <v>8.6</v>
      </c>
      <c r="AP44" s="26" t="n">
        <v>5.8</v>
      </c>
      <c r="AQ44" s="26" t="n">
        <v>4.8</v>
      </c>
      <c r="AR44" s="26" t="n"/>
      <c r="AS44" s="26" t="n"/>
      <c r="AT44" s="26" t="n"/>
      <c r="AU44" s="26" t="n">
        <v>1.5</v>
      </c>
      <c r="AV44" s="26" t="n"/>
      <c r="AW44" s="26" t="n"/>
      <c r="AX44" s="26" t="n"/>
      <c r="AY44" s="26" t="n"/>
      <c r="AZ44" s="26" t="n"/>
      <c r="BA44" s="26" t="n"/>
      <c r="BB44" s="26" t="n">
        <v>15.3</v>
      </c>
      <c r="BC44" s="26" t="n">
        <v>27</v>
      </c>
      <c r="BD44" s="26" t="n">
        <v>19.9</v>
      </c>
      <c r="BE44" s="26" t="n"/>
      <c r="BF44" s="26" t="n">
        <v>12.3</v>
      </c>
      <c r="BG44" s="26" t="n"/>
      <c r="BH44" s="26" t="n"/>
      <c r="BI44" s="26" t="n">
        <v>8.699999999999999</v>
      </c>
      <c r="BJ44" s="26" t="n"/>
      <c r="BK44" s="26" t="n"/>
      <c r="BL44" s="23" t="inlineStr">
        <is>
          <t>Public Bank Berhad | Malayan Banking Berhad | Press Metal Aluminium Holdings Berhad | Tenaga Nasional Berhad | TIME dotCom Berhad</t>
        </is>
      </c>
      <c r="BM44" s="26" t="n">
        <v>9.5</v>
      </c>
      <c r="BN44" s="22" t="inlineStr">
        <is>
          <t>Moderate</t>
        </is>
      </c>
      <c r="BO44" s="23" t="inlineStr">
        <is>
          <t>Equity Malaysia</t>
        </is>
      </c>
      <c r="BP44" s="23" t="n"/>
      <c r="BQ44" s="28" t="n">
        <v>1.1461</v>
      </c>
      <c r="BR44" s="22" t="inlineStr">
        <is>
          <t>2007-12-31</t>
        </is>
      </c>
      <c r="BS44" s="28" t="n">
        <v>1.0041</v>
      </c>
      <c r="BT44" s="27" t="n">
        <v>-12.39</v>
      </c>
      <c r="BU44" s="24" t="n">
        <v>6741</v>
      </c>
    </row>
    <row r="45" ht="16" customHeight="1">
      <c r="A45" s="29" t="inlineStr">
        <is>
          <t>PUBLIC WORLDWIDE EQUITY FUND</t>
        </is>
      </c>
      <c r="B45" s="29" t="inlineStr">
        <is>
          <t>PWEF</t>
        </is>
      </c>
      <c r="C45" s="29" t="inlineStr">
        <is>
          <t>Conventional</t>
        </is>
      </c>
      <c r="D45" s="29" t="inlineStr">
        <is>
          <t>Equity</t>
        </is>
      </c>
      <c r="E45" s="30" t="inlineStr">
        <is>
          <t>Capital Growth</t>
        </is>
      </c>
      <c r="F45" s="31" t="n">
        <v>5</v>
      </c>
      <c r="G45" s="30" t="inlineStr">
        <is>
          <t>Incidental</t>
        </is>
      </c>
      <c r="H45" s="32" t="n">
        <v>134.46</v>
      </c>
      <c r="I45" s="29" t="inlineStr">
        <is>
          <t>30.06.2009</t>
        </is>
      </c>
      <c r="J45" s="29" t="inlineStr">
        <is>
          <t>Qualified</t>
        </is>
      </c>
      <c r="K45" s="33" t="n">
        <v>60</v>
      </c>
      <c r="L45" s="29" t="inlineStr">
        <is>
          <t>3/5</t>
        </is>
      </c>
      <c r="M45" s="30" t="inlineStr">
        <is>
          <t>Qualified (WA: +3.30%) — YTD✔ 1Y✔ 3Y✔ 5Y✘ 10Y✘</t>
        </is>
      </c>
      <c r="N45" s="34" t="n">
        <v>3.3</v>
      </c>
      <c r="O45" s="34" t="n">
        <v>3.56</v>
      </c>
      <c r="P45" s="34" t="n">
        <v>1.72</v>
      </c>
      <c r="Q45" s="34" t="n">
        <v>1.84</v>
      </c>
      <c r="R45" s="34" t="n">
        <v>25.27</v>
      </c>
      <c r="S45" s="34" t="n">
        <v>11.24</v>
      </c>
      <c r="T45" s="34" t="n">
        <v>14.03</v>
      </c>
      <c r="U45" s="34" t="n">
        <v>14.31</v>
      </c>
      <c r="V45" s="34" t="n">
        <v>8.56</v>
      </c>
      <c r="W45" s="34" t="n">
        <v>5.75</v>
      </c>
      <c r="X45" s="34" t="n">
        <v>3.96</v>
      </c>
      <c r="Y45" s="34" t="n">
        <v>7.51</v>
      </c>
      <c r="Z45" s="34" t="n">
        <v>-3.55</v>
      </c>
      <c r="AA45" s="34" t="n">
        <v>7.01</v>
      </c>
      <c r="AB45" s="34" t="n">
        <v>9.08</v>
      </c>
      <c r="AC45" s="34" t="n">
        <v>-2.07</v>
      </c>
      <c r="AD45" s="34">
        <f>IF(OR(Q45="",BM45="",BM45=0),"",Q45/BM45)</f>
        <v/>
      </c>
      <c r="AE45" s="34">
        <f>IF(OR(T45="",BM45="",BM45=0),"",T45/BM45)</f>
        <v/>
      </c>
      <c r="AF45" s="34">
        <f>IF(OR(W45="",BM45="",BM45=0),"",W45/BM45)</f>
        <v/>
      </c>
      <c r="AG45" s="34">
        <f>IF(OR(Z45="",BM45="",BM45=0),"",Z45/BM45)</f>
        <v/>
      </c>
      <c r="AH45" s="34">
        <f>IF(OR(AC45="",BM45="",BM45=0),"",AC45/BM45)</f>
        <v/>
      </c>
      <c r="AI45" s="33" t="n">
        <v>0.7</v>
      </c>
      <c r="AJ45" s="33" t="n">
        <v>93.40000000000001</v>
      </c>
      <c r="AK45" s="33" t="n"/>
      <c r="AL45" s="33" t="n">
        <v>5.9</v>
      </c>
      <c r="AM45" s="33" t="n"/>
      <c r="AN45" s="33" t="n"/>
      <c r="AO45" s="33" t="n">
        <v>48.1</v>
      </c>
      <c r="AP45" s="33" t="n">
        <v>16.4</v>
      </c>
      <c r="AQ45" s="33" t="n">
        <v>4.8</v>
      </c>
      <c r="AR45" s="33" t="n"/>
      <c r="AS45" s="33" t="n"/>
      <c r="AT45" s="33" t="n"/>
      <c r="AU45" s="33" t="n">
        <v>6.5</v>
      </c>
      <c r="AV45" s="33" t="n"/>
      <c r="AW45" s="33" t="n"/>
      <c r="AX45" s="33" t="n"/>
      <c r="AY45" s="33" t="n"/>
      <c r="AZ45" s="33" t="n"/>
      <c r="BA45" s="33" t="n"/>
      <c r="BB45" s="33" t="n">
        <v>48.3</v>
      </c>
      <c r="BC45" s="33" t="n">
        <v>5.5</v>
      </c>
      <c r="BD45" s="33" t="n">
        <v>25.3</v>
      </c>
      <c r="BE45" s="33" t="n">
        <v>10.3</v>
      </c>
      <c r="BF45" s="33" t="n">
        <v>2.9</v>
      </c>
      <c r="BG45" s="33" t="n"/>
      <c r="BH45" s="33" t="n"/>
      <c r="BI45" s="33" t="n"/>
      <c r="BJ45" s="33" t="n"/>
      <c r="BK45" s="33" t="n"/>
      <c r="BL45" s="30" t="inlineStr">
        <is>
          <t>Taiwan Semiconductor Manufacturing Company Limited | Tesla Incorporated | Advanced Micro Devices Incorporated | Alibaba Group Holding Limited - W | Alphabet Incorporated - Class A</t>
        </is>
      </c>
      <c r="BM45" s="33" t="n">
        <v>16.7</v>
      </c>
      <c r="BN45" s="29" t="inlineStr">
        <is>
          <t>Very High</t>
        </is>
      </c>
      <c r="BO45" s="30" t="inlineStr">
        <is>
          <t>Equity Global Global</t>
        </is>
      </c>
      <c r="BP45" s="30" t="n"/>
      <c r="BQ45" s="35" t="n">
        <v>0.4418</v>
      </c>
      <c r="BR45" s="29" t="inlineStr">
        <is>
          <t>2026-06-03</t>
        </is>
      </c>
      <c r="BS45" s="35" t="n">
        <v>0.4249</v>
      </c>
      <c r="BT45" s="34" t="n">
        <v>-3.83</v>
      </c>
      <c r="BU45" s="31" t="n">
        <v>12</v>
      </c>
    </row>
    <row r="46" ht="16" customHeight="1">
      <c r="A46" s="22" t="inlineStr">
        <is>
          <t>PUBLIC HEALTHCARE-GLOBAL EQUITY FUND</t>
        </is>
      </c>
      <c r="B46" s="22" t="inlineStr">
        <is>
          <t>PHGEF</t>
        </is>
      </c>
      <c r="C46" s="22" t="inlineStr">
        <is>
          <t>Conventional</t>
        </is>
      </c>
      <c r="D46" s="22" t="inlineStr">
        <is>
          <t>Equity</t>
        </is>
      </c>
      <c r="E46" s="23" t="inlineStr">
        <is>
          <t>Capital Growth</t>
        </is>
      </c>
      <c r="F46" s="24" t="n">
        <v>5</v>
      </c>
      <c r="G46" s="23" t="inlineStr">
        <is>
          <t>Incidental</t>
        </is>
      </c>
      <c r="H46" s="25" t="n">
        <v>417.19</v>
      </c>
      <c r="I46" s="22" t="inlineStr">
        <is>
          <t>20.10.2020</t>
        </is>
      </c>
      <c r="J46" s="22" t="inlineStr">
        <is>
          <t>Qualified</t>
        </is>
      </c>
      <c r="K46" s="26" t="n">
        <v>50</v>
      </c>
      <c r="L46" s="22" t="inlineStr">
        <is>
          <t>2/4</t>
        </is>
      </c>
      <c r="M46" s="23" t="inlineStr">
        <is>
          <t>Qualified (WA: +3.21%) — YTD✘ 1Y✔ 3Y✔ 5Y✘</t>
        </is>
      </c>
      <c r="N46" s="27" t="n">
        <v>3.21</v>
      </c>
      <c r="O46" s="27" t="n">
        <v>-3.9</v>
      </c>
      <c r="P46" s="27" t="n">
        <v>1.25</v>
      </c>
      <c r="Q46" s="27" t="n">
        <v>-5.15</v>
      </c>
      <c r="R46" s="27" t="n">
        <v>15.05</v>
      </c>
      <c r="S46" s="27" t="n">
        <v>12.8</v>
      </c>
      <c r="T46" s="27" t="n">
        <v>2.25</v>
      </c>
      <c r="U46" s="27" t="n">
        <v>14.29</v>
      </c>
      <c r="V46" s="27" t="n">
        <v>7.34</v>
      </c>
      <c r="W46" s="27" t="n">
        <v>6.95</v>
      </c>
      <c r="X46" s="27" t="n">
        <v>4.05</v>
      </c>
      <c r="Y46" s="27" t="n">
        <v>4.57</v>
      </c>
      <c r="Z46" s="27" t="n">
        <v>-0.52</v>
      </c>
      <c r="AA46" s="27" t="n"/>
      <c r="AB46" s="27" t="n"/>
      <c r="AC46" s="27" t="n"/>
      <c r="AD46" s="27">
        <f>IF(OR(Q46="",BM46="",BM46=0),"",Q46/BM46)</f>
        <v/>
      </c>
      <c r="AE46" s="27">
        <f>IF(OR(T46="",BM46="",BM46=0),"",T46/BM46)</f>
        <v/>
      </c>
      <c r="AF46" s="27">
        <f>IF(OR(W46="",BM46="",BM46=0),"",W46/BM46)</f>
        <v/>
      </c>
      <c r="AG46" s="27">
        <f>IF(OR(Z46="",BM46="",BM46=0),"",Z46/BM46)</f>
        <v/>
      </c>
      <c r="AH46" s="27">
        <f>IF(OR(AC46="",BM46="",BM46=0),"",AC46/BM46)</f>
        <v/>
      </c>
      <c r="AI46" s="26" t="n"/>
      <c r="AJ46" s="26" t="n">
        <v>96.7</v>
      </c>
      <c r="AK46" s="26" t="n"/>
      <c r="AL46" s="26" t="n">
        <v>3.3</v>
      </c>
      <c r="AM46" s="26" t="n"/>
      <c r="AN46" s="26" t="n"/>
      <c r="AO46" s="26" t="n">
        <v>70.8</v>
      </c>
      <c r="AP46" s="26" t="n">
        <v>13</v>
      </c>
      <c r="AQ46" s="26" t="n">
        <v>5.2</v>
      </c>
      <c r="AR46" s="26" t="n"/>
      <c r="AS46" s="26" t="n"/>
      <c r="AT46" s="26" t="n"/>
      <c r="AU46" s="26" t="n">
        <v>5.4</v>
      </c>
      <c r="AV46" s="26" t="n"/>
      <c r="AW46" s="26" t="n">
        <v>1.2</v>
      </c>
      <c r="AX46" s="26" t="n"/>
      <c r="AY46" s="26" t="n"/>
      <c r="AZ46" s="26" t="n"/>
      <c r="BA46" s="26" t="n"/>
      <c r="BB46" s="26" t="n">
        <v>20.9</v>
      </c>
      <c r="BC46" s="26" t="n"/>
      <c r="BD46" s="26" t="n">
        <v>26.7</v>
      </c>
      <c r="BE46" s="26" t="n">
        <v>9.300000000000001</v>
      </c>
      <c r="BF46" s="26" t="n">
        <v>4</v>
      </c>
      <c r="BG46" s="26" t="n"/>
      <c r="BH46" s="26" t="n"/>
      <c r="BI46" s="26" t="n"/>
      <c r="BJ46" s="26" t="n"/>
      <c r="BK46" s="26" t="n">
        <v>32.8</v>
      </c>
      <c r="BL46" s="23" t="inlineStr">
        <is>
          <t>Taiwan Semiconductor Manufacturing Company Limited | Tesla Incorporated | Alphabet Incorporated - Class A | iShares Global Healthcare ETF | iShares U.S. Medical Devices ETF</t>
        </is>
      </c>
      <c r="BM46" s="26" t="n">
        <v>11.8</v>
      </c>
      <c r="BN46" s="22" t="inlineStr">
        <is>
          <t>High</t>
        </is>
      </c>
      <c r="BO46" s="23" t="inlineStr">
        <is>
          <t>Equity Global Global</t>
        </is>
      </c>
      <c r="BP46" s="23" t="n"/>
      <c r="BQ46" s="28" t="n">
        <v>0.3575</v>
      </c>
      <c r="BR46" s="22" t="inlineStr">
        <is>
          <t>2025-10-27</t>
        </is>
      </c>
      <c r="BS46" s="28" t="n">
        <v>0.3425</v>
      </c>
      <c r="BT46" s="27" t="n">
        <v>-4.2</v>
      </c>
      <c r="BU46" s="24" t="n">
        <v>231</v>
      </c>
    </row>
    <row r="47" ht="16" customHeight="1">
      <c r="A47" s="29" t="inlineStr">
        <is>
          <t>PUBLIC CHINA ACCESS EQUITY FUND</t>
        </is>
      </c>
      <c r="B47" s="29" t="inlineStr">
        <is>
          <t>PCASEF</t>
        </is>
      </c>
      <c r="C47" s="29" t="inlineStr">
        <is>
          <t>Conventional</t>
        </is>
      </c>
      <c r="D47" s="29" t="inlineStr">
        <is>
          <t>Equity</t>
        </is>
      </c>
      <c r="E47" s="30" t="inlineStr">
        <is>
          <t>Capital Growth</t>
        </is>
      </c>
      <c r="F47" s="31" t="n">
        <v>5</v>
      </c>
      <c r="G47" s="30" t="inlineStr">
        <is>
          <t>Incidental</t>
        </is>
      </c>
      <c r="H47" s="32" t="n">
        <v>1036.27</v>
      </c>
      <c r="I47" s="29" t="inlineStr">
        <is>
          <t>18.04.2013</t>
        </is>
      </c>
      <c r="J47" s="29" t="inlineStr">
        <is>
          <t>Qualified</t>
        </is>
      </c>
      <c r="K47" s="33" t="n">
        <v>80</v>
      </c>
      <c r="L47" s="29" t="inlineStr">
        <is>
          <t>4/5</t>
        </is>
      </c>
      <c r="M47" s="30" t="inlineStr">
        <is>
          <t>Qualified (WA: +3.12%) — YTD✘ 1Y✔ 3Y✔ 5Y✔ 10Y✔</t>
        </is>
      </c>
      <c r="N47" s="34" t="n">
        <v>3.12</v>
      </c>
      <c r="O47" s="34" t="n">
        <v>1.56</v>
      </c>
      <c r="P47" s="34" t="n">
        <v>2.39</v>
      </c>
      <c r="Q47" s="34" t="n">
        <v>-0.83</v>
      </c>
      <c r="R47" s="34" t="n">
        <v>29.3</v>
      </c>
      <c r="S47" s="34" t="n">
        <v>14.62</v>
      </c>
      <c r="T47" s="34" t="n">
        <v>14.68</v>
      </c>
      <c r="U47" s="34" t="n">
        <v>4.9</v>
      </c>
      <c r="V47" s="34" t="n">
        <v>2.67</v>
      </c>
      <c r="W47" s="34" t="n">
        <v>2.23</v>
      </c>
      <c r="X47" s="34" t="n">
        <v>-2.41</v>
      </c>
      <c r="Y47" s="34" t="n">
        <v>-2.65</v>
      </c>
      <c r="Z47" s="34" t="n">
        <v>0.24</v>
      </c>
      <c r="AA47" s="34" t="n">
        <v>5.71</v>
      </c>
      <c r="AB47" s="34" t="n">
        <v>5.63</v>
      </c>
      <c r="AC47" s="34" t="n">
        <v>0.08</v>
      </c>
      <c r="AD47" s="34">
        <f>IF(OR(Q47="",BM47="",BM47=0),"",Q47/BM47)</f>
        <v/>
      </c>
      <c r="AE47" s="34">
        <f>IF(OR(T47="",BM47="",BM47=0),"",T47/BM47)</f>
        <v/>
      </c>
      <c r="AF47" s="34">
        <f>IF(OR(W47="",BM47="",BM47=0),"",W47/BM47)</f>
        <v/>
      </c>
      <c r="AG47" s="34">
        <f>IF(OR(Z47="",BM47="",BM47=0),"",Z47/BM47)</f>
        <v/>
      </c>
      <c r="AH47" s="34">
        <f>IF(OR(AC47="",BM47="",BM47=0),"",AC47/BM47)</f>
        <v/>
      </c>
      <c r="AI47" s="33" t="n"/>
      <c r="AJ47" s="33" t="n">
        <v>91.3</v>
      </c>
      <c r="AK47" s="33" t="n"/>
      <c r="AL47" s="33" t="n">
        <v>8.699999999999999</v>
      </c>
      <c r="AM47" s="33" t="n"/>
      <c r="AN47" s="33" t="n"/>
      <c r="AO47" s="33" t="n"/>
      <c r="AP47" s="33" t="n"/>
      <c r="AQ47" s="33" t="n"/>
      <c r="AR47" s="33" t="n"/>
      <c r="AS47" s="33" t="n"/>
      <c r="AT47" s="33" t="n"/>
      <c r="AU47" s="33" t="n">
        <v>91.3</v>
      </c>
      <c r="AV47" s="33" t="n"/>
      <c r="AW47" s="33" t="n"/>
      <c r="AX47" s="33" t="n"/>
      <c r="AY47" s="33" t="n"/>
      <c r="AZ47" s="33" t="n"/>
      <c r="BA47" s="33" t="n">
        <v>10.9</v>
      </c>
      <c r="BB47" s="33" t="n">
        <v>15.1</v>
      </c>
      <c r="BC47" s="33" t="n">
        <v>17.7</v>
      </c>
      <c r="BD47" s="33" t="n">
        <v>15.3</v>
      </c>
      <c r="BE47" s="33" t="n">
        <v>18.7</v>
      </c>
      <c r="BF47" s="33" t="n"/>
      <c r="BG47" s="33" t="n"/>
      <c r="BH47" s="33" t="n"/>
      <c r="BI47" s="33" t="n"/>
      <c r="BJ47" s="33" t="n"/>
      <c r="BK47" s="33" t="n"/>
      <c r="BL47" s="30" t="inlineStr">
        <is>
          <t>Zhongji Innolight Company Limited - A Shares | Contemporary Amperex Technology Company Limited - A Shares | NAURA Technology Group Company Limited - A Shares | Ping An Insurance (Group) Company of China Limited - A Shares | Hygon Information Technology Company Limited - A Shares</t>
        </is>
      </c>
      <c r="BM47" s="33" t="n">
        <v>14.8</v>
      </c>
      <c r="BN47" s="29" t="inlineStr">
        <is>
          <t>Very High</t>
        </is>
      </c>
      <c r="BO47" s="30" t="inlineStr">
        <is>
          <t>Equity China Greater China</t>
        </is>
      </c>
      <c r="BP47" s="30" t="inlineStr">
        <is>
          <t>Thebenchmark forPCASEF isacompositeof90% S&amp;P ChinaA 50Indexand 10% 3-Month Kuala Lumpur Interbank Offered Rate (KLIBOR). Underlying index data are sourced from Lipper and Bank Negara Malaysia and expressed in Ringgit terms.</t>
        </is>
      </c>
      <c r="BQ47" s="35" t="n">
        <v>2.2029</v>
      </c>
      <c r="BR47" s="29" t="inlineStr">
        <is>
          <t>2015-06-08</t>
        </is>
      </c>
      <c r="BS47" s="35" t="n">
        <v>1.3214</v>
      </c>
      <c r="BT47" s="34" t="n">
        <v>-40.02</v>
      </c>
      <c r="BU47" s="31" t="n">
        <v>4025</v>
      </c>
    </row>
    <row r="48" ht="16" customHeight="1">
      <c r="A48" s="36" t="inlineStr">
        <is>
          <t>PUBLIC ISLAMIC SELECT ENTERPRISES FUND</t>
        </is>
      </c>
      <c r="B48" s="36" t="inlineStr">
        <is>
          <t>PISEF</t>
        </is>
      </c>
      <c r="C48" s="36" t="inlineStr">
        <is>
          <t>Shariah</t>
        </is>
      </c>
      <c r="D48" s="36" t="inlineStr">
        <is>
          <t>Equity</t>
        </is>
      </c>
      <c r="E48" s="23" t="inlineStr">
        <is>
          <t>Capital Growth</t>
        </is>
      </c>
      <c r="F48" s="24" t="n">
        <v>4</v>
      </c>
      <c r="G48" s="23" t="inlineStr">
        <is>
          <t>Incidental</t>
        </is>
      </c>
      <c r="H48" s="25" t="n">
        <v>936.11</v>
      </c>
      <c r="I48" s="22" t="inlineStr">
        <is>
          <t>14.08.2008</t>
        </is>
      </c>
      <c r="J48" s="22" t="inlineStr">
        <is>
          <t>Qualified</t>
        </is>
      </c>
      <c r="K48" s="26" t="n">
        <v>80</v>
      </c>
      <c r="L48" s="22" t="inlineStr">
        <is>
          <t>4/5</t>
        </is>
      </c>
      <c r="M48" s="23" t="inlineStr">
        <is>
          <t>Qualified (WA: +3.11%) — YTD✘ 1Y✔ 3Y✔ 5Y✔ 10Y✔</t>
        </is>
      </c>
      <c r="N48" s="27" t="n">
        <v>3.11</v>
      </c>
      <c r="O48" s="27" t="n">
        <v>0.44</v>
      </c>
      <c r="P48" s="27" t="n">
        <v>5.14</v>
      </c>
      <c r="Q48" s="27" t="n">
        <v>-4.7</v>
      </c>
      <c r="R48" s="27" t="n">
        <v>17.37</v>
      </c>
      <c r="S48" s="27" t="n">
        <v>12.81</v>
      </c>
      <c r="T48" s="27" t="n">
        <v>4.56</v>
      </c>
      <c r="U48" s="27" t="n">
        <v>9.119999999999999</v>
      </c>
      <c r="V48" s="27" t="n">
        <v>5.79</v>
      </c>
      <c r="W48" s="27" t="n">
        <v>3.33</v>
      </c>
      <c r="X48" s="27" t="n">
        <v>2.92</v>
      </c>
      <c r="Y48" s="27" t="n">
        <v>-0.85</v>
      </c>
      <c r="Z48" s="27" t="n">
        <v>3.77</v>
      </c>
      <c r="AA48" s="27" t="n">
        <v>2.98</v>
      </c>
      <c r="AB48" s="27" t="n">
        <v>0.41</v>
      </c>
      <c r="AC48" s="27" t="n">
        <v>2.57</v>
      </c>
      <c r="AD48" s="27">
        <f>IF(OR(Q48="",BM48="",BM48=0),"",Q48/BM48)</f>
        <v/>
      </c>
      <c r="AE48" s="27">
        <f>IF(OR(T48="",BM48="",BM48=0),"",T48/BM48)</f>
        <v/>
      </c>
      <c r="AF48" s="27">
        <f>IF(OR(W48="",BM48="",BM48=0),"",W48/BM48)</f>
        <v/>
      </c>
      <c r="AG48" s="27">
        <f>IF(OR(Z48="",BM48="",BM48=0),"",Z48/BM48)</f>
        <v/>
      </c>
      <c r="AH48" s="27">
        <f>IF(OR(AC48="",BM48="",BM48=0),"",AC48/BM48)</f>
        <v/>
      </c>
      <c r="AI48" s="26" t="n">
        <v>78.2</v>
      </c>
      <c r="AJ48" s="26" t="n">
        <v>18.6</v>
      </c>
      <c r="AK48" s="26" t="n"/>
      <c r="AL48" s="26" t="n">
        <v>3.2</v>
      </c>
      <c r="AM48" s="26" t="n"/>
      <c r="AN48" s="26" t="n"/>
      <c r="AO48" s="26" t="n">
        <v>13.3</v>
      </c>
      <c r="AP48" s="26" t="n"/>
      <c r="AQ48" s="26" t="n"/>
      <c r="AR48" s="26" t="n"/>
      <c r="AS48" s="26" t="n">
        <v>1.7</v>
      </c>
      <c r="AT48" s="26" t="n"/>
      <c r="AU48" s="26" t="n">
        <v>3.6</v>
      </c>
      <c r="AV48" s="26" t="n"/>
      <c r="AW48" s="26" t="n"/>
      <c r="AX48" s="26" t="n"/>
      <c r="AY48" s="26" t="n"/>
      <c r="AZ48" s="26" t="n"/>
      <c r="BA48" s="26" t="n">
        <v>11.8</v>
      </c>
      <c r="BB48" s="26" t="n"/>
      <c r="BC48" s="26" t="n">
        <v>9.5</v>
      </c>
      <c r="BD48" s="26" t="n">
        <v>17.5</v>
      </c>
      <c r="BE48" s="26" t="n"/>
      <c r="BF48" s="26" t="n">
        <v>18.9</v>
      </c>
      <c r="BG48" s="26" t="n">
        <v>10</v>
      </c>
      <c r="BH48" s="26" t="n"/>
      <c r="BI48" s="26" t="n"/>
      <c r="BJ48" s="26" t="n"/>
      <c r="BK48" s="26" t="n"/>
      <c r="BL48" s="23" t="inlineStr">
        <is>
          <t>Telekom Malaysia Berhad | Tenaga Nasional Berhad | NVIDIA Corporation | Gamuda Berhad | Press Metal Aluminium Holdings Berhad</t>
        </is>
      </c>
      <c r="BM48" s="26" t="n">
        <v>8.699999999999999</v>
      </c>
      <c r="BN48" s="22" t="inlineStr">
        <is>
          <t>Moderate</t>
        </is>
      </c>
      <c r="BO48" s="23" t="inlineStr">
        <is>
          <t>Equity Malaysia Domestic</t>
        </is>
      </c>
      <c r="BP48" s="23" t="n"/>
      <c r="BQ48" s="28" t="n">
        <v>0.4479</v>
      </c>
      <c r="BR48" s="22" t="inlineStr">
        <is>
          <t>2014-07-07</t>
        </is>
      </c>
      <c r="BS48" s="28" t="n">
        <v>0.4274</v>
      </c>
      <c r="BT48" s="27" t="n">
        <v>-4.58</v>
      </c>
      <c r="BU48" s="24" t="n">
        <v>4361</v>
      </c>
    </row>
    <row r="49" ht="16" customHeight="1">
      <c r="A49" s="29" t="inlineStr">
        <is>
          <t>PUBLIC SECTOR SELECT FUND</t>
        </is>
      </c>
      <c r="B49" s="29" t="inlineStr">
        <is>
          <t>PSSF</t>
        </is>
      </c>
      <c r="C49" s="29" t="inlineStr">
        <is>
          <t>Conventional</t>
        </is>
      </c>
      <c r="D49" s="29" t="inlineStr">
        <is>
          <t>Equity</t>
        </is>
      </c>
      <c r="E49" s="30" t="inlineStr">
        <is>
          <t>Capital Growth</t>
        </is>
      </c>
      <c r="F49" s="31" t="n">
        <v>4</v>
      </c>
      <c r="G49" s="30" t="inlineStr">
        <is>
          <t>Incidental</t>
        </is>
      </c>
      <c r="H49" s="32" t="n">
        <v>371.6</v>
      </c>
      <c r="I49" s="29" t="inlineStr">
        <is>
          <t>13.11.2007</t>
        </is>
      </c>
      <c r="J49" s="29" t="inlineStr">
        <is>
          <t>Qualified</t>
        </is>
      </c>
      <c r="K49" s="33" t="n">
        <v>80</v>
      </c>
      <c r="L49" s="29" t="inlineStr">
        <is>
          <t>4/5</t>
        </is>
      </c>
      <c r="M49" s="30" t="inlineStr">
        <is>
          <t>Qualified (WA: +3.08%) — YTD✘ 1Y✔ 3Y✔ 5Y✔ 10Y✔</t>
        </is>
      </c>
      <c r="N49" s="34" t="n">
        <v>3.08</v>
      </c>
      <c r="O49" s="34" t="n">
        <v>1.76</v>
      </c>
      <c r="P49" s="34" t="n">
        <v>3.75</v>
      </c>
      <c r="Q49" s="34" t="n">
        <v>-1.99</v>
      </c>
      <c r="R49" s="34" t="n">
        <v>13.59</v>
      </c>
      <c r="S49" s="34" t="n">
        <v>12.31</v>
      </c>
      <c r="T49" s="34" t="n">
        <v>1.28</v>
      </c>
      <c r="U49" s="34" t="n">
        <v>11</v>
      </c>
      <c r="V49" s="34" t="n">
        <v>7.59</v>
      </c>
      <c r="W49" s="34" t="n">
        <v>3.41</v>
      </c>
      <c r="X49" s="34" t="n">
        <v>5.85</v>
      </c>
      <c r="Y49" s="34" t="n">
        <v>1.87</v>
      </c>
      <c r="Z49" s="34" t="n">
        <v>3.98</v>
      </c>
      <c r="AA49" s="34" t="n">
        <v>5.22</v>
      </c>
      <c r="AB49" s="34" t="n">
        <v>1.03</v>
      </c>
      <c r="AC49" s="34" t="n">
        <v>4.19</v>
      </c>
      <c r="AD49" s="34">
        <f>IF(OR(Q49="",BM49="",BM49=0),"",Q49/BM49)</f>
        <v/>
      </c>
      <c r="AE49" s="34">
        <f>IF(OR(T49="",BM49="",BM49=0),"",T49/BM49)</f>
        <v/>
      </c>
      <c r="AF49" s="34">
        <f>IF(OR(W49="",BM49="",BM49=0),"",W49/BM49)</f>
        <v/>
      </c>
      <c r="AG49" s="34">
        <f>IF(OR(Z49="",BM49="",BM49=0),"",Z49/BM49)</f>
        <v/>
      </c>
      <c r="AH49" s="34">
        <f>IF(OR(AC49="",BM49="",BM49=0),"",AC49/BM49)</f>
        <v/>
      </c>
      <c r="AI49" s="33" t="n">
        <v>76.7</v>
      </c>
      <c r="AJ49" s="33" t="n">
        <v>20.1</v>
      </c>
      <c r="AK49" s="33" t="n"/>
      <c r="AL49" s="33" t="n">
        <v>3.2</v>
      </c>
      <c r="AM49" s="33" t="n"/>
      <c r="AN49" s="33" t="n"/>
      <c r="AO49" s="33" t="n">
        <v>15.4</v>
      </c>
      <c r="AP49" s="33" t="n"/>
      <c r="AQ49" s="33" t="n"/>
      <c r="AR49" s="33" t="n"/>
      <c r="AS49" s="33" t="n">
        <v>2.6</v>
      </c>
      <c r="AT49" s="33" t="n"/>
      <c r="AU49" s="33" t="n">
        <v>2.1</v>
      </c>
      <c r="AV49" s="33" t="n"/>
      <c r="AW49" s="33" t="n"/>
      <c r="AX49" s="33" t="n"/>
      <c r="AY49" s="33" t="n"/>
      <c r="AZ49" s="33" t="n"/>
      <c r="BA49" s="33" t="n">
        <v>7.2</v>
      </c>
      <c r="BB49" s="33" t="n">
        <v>8.199999999999999</v>
      </c>
      <c r="BC49" s="33" t="n">
        <v>40</v>
      </c>
      <c r="BD49" s="33" t="n">
        <v>17.3</v>
      </c>
      <c r="BE49" s="33" t="n"/>
      <c r="BF49" s="33" t="n">
        <v>8.9</v>
      </c>
      <c r="BG49" s="33" t="n"/>
      <c r="BH49" s="33" t="n"/>
      <c r="BI49" s="33" t="n"/>
      <c r="BJ49" s="33" t="n"/>
      <c r="BK49" s="33" t="n"/>
      <c r="BL49" s="30" t="inlineStr">
        <is>
          <t>Public Bank Berhad | Malayan Banking Berhad | NVIDIA Corporation | Telekom Malaysia Berhad | Meta Platforms Incorporated</t>
        </is>
      </c>
      <c r="BM49" s="33" t="n">
        <v>6.8</v>
      </c>
      <c r="BN49" s="29" t="inlineStr">
        <is>
          <t>Low</t>
        </is>
      </c>
      <c r="BO49" s="30" t="inlineStr">
        <is>
          <t>Equity Malaysia Domestic 25% of the fund’s NAV</t>
        </is>
      </c>
      <c r="BP49" s="30" t="n"/>
      <c r="BQ49" s="35" t="n">
        <v>0.3973</v>
      </c>
      <c r="BR49" s="29" t="inlineStr">
        <is>
          <t>2026-02-11</t>
        </is>
      </c>
      <c r="BS49" s="35" t="n">
        <v>0.3839</v>
      </c>
      <c r="BT49" s="34" t="n">
        <v>-3.37</v>
      </c>
      <c r="BU49" s="31" t="n">
        <v>124</v>
      </c>
    </row>
    <row r="50" ht="16" customHeight="1">
      <c r="A50" s="22" t="inlineStr">
        <is>
          <t>PUBLIC CHINA TITANS FUND</t>
        </is>
      </c>
      <c r="B50" s="22" t="inlineStr">
        <is>
          <t>PCTF</t>
        </is>
      </c>
      <c r="C50" s="22" t="inlineStr">
        <is>
          <t>Conventional</t>
        </is>
      </c>
      <c r="D50" s="22" t="inlineStr">
        <is>
          <t>Equity</t>
        </is>
      </c>
      <c r="E50" s="23" t="inlineStr">
        <is>
          <t>Capital Growth</t>
        </is>
      </c>
      <c r="F50" s="24" t="n">
        <v>5</v>
      </c>
      <c r="G50" s="23" t="inlineStr">
        <is>
          <t>Incidental</t>
        </is>
      </c>
      <c r="H50" s="25" t="n">
        <v>947.6900000000001</v>
      </c>
      <c r="I50" s="22" t="inlineStr">
        <is>
          <t>01.04.2008</t>
        </is>
      </c>
      <c r="J50" s="22" t="inlineStr">
        <is>
          <t>Qualified</t>
        </is>
      </c>
      <c r="K50" s="26" t="n">
        <v>100</v>
      </c>
      <c r="L50" s="22" t="inlineStr">
        <is>
          <t>5/5</t>
        </is>
      </c>
      <c r="M50" s="23" t="inlineStr">
        <is>
          <t>Qualified (WA: +3.07%) — YTD✔ 1Y✔ 3Y✔ 5Y✔ 10Y✔</t>
        </is>
      </c>
      <c r="N50" s="27" t="n">
        <v>3.07</v>
      </c>
      <c r="O50" s="27" t="n">
        <v>6.35</v>
      </c>
      <c r="P50" s="27" t="n">
        <v>6.09</v>
      </c>
      <c r="Q50" s="27" t="n">
        <v>0.26</v>
      </c>
      <c r="R50" s="27" t="n">
        <v>28.71</v>
      </c>
      <c r="S50" s="27" t="n">
        <v>23.92</v>
      </c>
      <c r="T50" s="27" t="n">
        <v>4.79</v>
      </c>
      <c r="U50" s="27" t="n">
        <v>19.07</v>
      </c>
      <c r="V50" s="27" t="n">
        <v>14.84</v>
      </c>
      <c r="W50" s="27" t="n">
        <v>4.23</v>
      </c>
      <c r="X50" s="27" t="n">
        <v>3.62</v>
      </c>
      <c r="Y50" s="27" t="n">
        <v>2.37</v>
      </c>
      <c r="Z50" s="27" t="n">
        <v>1.25</v>
      </c>
      <c r="AA50" s="27" t="n">
        <v>9.07</v>
      </c>
      <c r="AB50" s="27" t="n">
        <v>6.83</v>
      </c>
      <c r="AC50" s="27" t="n">
        <v>2.24</v>
      </c>
      <c r="AD50" s="27">
        <f>IF(OR(Q50="",BM50="",BM50=0),"",Q50/BM50)</f>
        <v/>
      </c>
      <c r="AE50" s="27">
        <f>IF(OR(T50="",BM50="",BM50=0),"",T50/BM50)</f>
        <v/>
      </c>
      <c r="AF50" s="27">
        <f>IF(OR(W50="",BM50="",BM50=0),"",W50/BM50)</f>
        <v/>
      </c>
      <c r="AG50" s="27">
        <f>IF(OR(Z50="",BM50="",BM50=0),"",Z50/BM50)</f>
        <v/>
      </c>
      <c r="AH50" s="27">
        <f>IF(OR(AC50="",BM50="",BM50=0),"",AC50/BM50)</f>
        <v/>
      </c>
      <c r="AI50" s="26" t="n"/>
      <c r="AJ50" s="26" t="n">
        <v>88.2</v>
      </c>
      <c r="AK50" s="26" t="n"/>
      <c r="AL50" s="26" t="n">
        <v>11.8</v>
      </c>
      <c r="AM50" s="26" t="n"/>
      <c r="AN50" s="26" t="n"/>
      <c r="AO50" s="26" t="n">
        <v>12.3</v>
      </c>
      <c r="AP50" s="26" t="n">
        <v>35.1</v>
      </c>
      <c r="AQ50" s="26" t="n"/>
      <c r="AR50" s="26" t="n"/>
      <c r="AS50" s="26" t="n"/>
      <c r="AT50" s="26" t="n"/>
      <c r="AU50" s="26" t="n">
        <v>6</v>
      </c>
      <c r="AV50" s="26" t="n"/>
      <c r="AW50" s="26" t="n"/>
      <c r="AX50" s="26" t="n"/>
      <c r="AY50" s="26" t="n"/>
      <c r="AZ50" s="26" t="n"/>
      <c r="BA50" s="26" t="n">
        <v>10</v>
      </c>
      <c r="BB50" s="26" t="n">
        <v>31.7</v>
      </c>
      <c r="BC50" s="26" t="n">
        <v>16.7</v>
      </c>
      <c r="BD50" s="26" t="n">
        <v>23.7</v>
      </c>
      <c r="BE50" s="26" t="n">
        <v>4.7</v>
      </c>
      <c r="BF50" s="26" t="n"/>
      <c r="BG50" s="26" t="n"/>
      <c r="BH50" s="26" t="n"/>
      <c r="BI50" s="26" t="n"/>
      <c r="BJ50" s="26" t="n"/>
      <c r="BK50" s="26" t="n"/>
      <c r="BL50" s="23" t="inlineStr">
        <is>
          <t>Taiwan Semiconductor Manufacturing Company Limited | Delta Electronics Incorporated | China Construction Bank Corporation - H Shares | Alibaba Group Holding Limited - W | Tencent Holdings Limited</t>
        </is>
      </c>
      <c r="BM50" s="26" t="n">
        <v>16.2</v>
      </c>
      <c r="BN50" s="22" t="inlineStr">
        <is>
          <t>Very High</t>
        </is>
      </c>
      <c r="BO50" s="23" t="inlineStr">
        <is>
          <t>Equity Greater China Greater China</t>
        </is>
      </c>
      <c r="BP50" s="23" t="inlineStr">
        <is>
          <t>2020 0.50 29.5.20 1.6 The benchmark for PCTF is a composite of 40% Hang Seng China Enterprises 2021 0.75 31.5.21 2.0 Index (HSCEI), 30% Hang Seng Index (HSI) and 30% FTSE TWSE Taiwan 50 Index(priorto30April2016),30%MSCITaiwanLargeCapIndex(30April2016to 2022 0.50 31.5.22 1.7 29 April 2021), 30% S&amp;P Taiwan LargeCap Index (w.e.f. 30 April 2021). Note: Distribution yield simply measures the level of distributions and is UnderlyingindexdataaresourcedfromLipperandS&amp;PDowJonesIndices,LLC not a measure of fund performance. and expressed in Ringgit terms.</t>
        </is>
      </c>
      <c r="BQ50" s="28" t="n">
        <v>0.4952</v>
      </c>
      <c r="BR50" s="22" t="inlineStr">
        <is>
          <t>2026-06-03</t>
        </is>
      </c>
      <c r="BS50" s="28" t="n">
        <v>0.4745</v>
      </c>
      <c r="BT50" s="27" t="n">
        <v>-4.18</v>
      </c>
      <c r="BU50" s="24" t="n">
        <v>12</v>
      </c>
    </row>
    <row r="51" ht="16" customHeight="1">
      <c r="A51" s="37" t="inlineStr">
        <is>
          <t>PUBLIC ISLAMIC SUSTAINABLE GROWTH FUND</t>
        </is>
      </c>
      <c r="B51" s="37" t="inlineStr">
        <is>
          <t>PISGRTF</t>
        </is>
      </c>
      <c r="C51" s="37" t="inlineStr">
        <is>
          <t>Shariah</t>
        </is>
      </c>
      <c r="D51" s="37" t="inlineStr">
        <is>
          <t>Equity</t>
        </is>
      </c>
      <c r="E51" s="30" t="inlineStr">
        <is>
          <t>Capital Growth</t>
        </is>
      </c>
      <c r="F51" s="31" t="n">
        <v>4</v>
      </c>
      <c r="G51" s="30" t="inlineStr">
        <is>
          <t>Incidental</t>
        </is>
      </c>
      <c r="H51" s="32" t="n">
        <v>118.8</v>
      </c>
      <c r="I51" s="29" t="inlineStr">
        <is>
          <t>04.06.2024</t>
        </is>
      </c>
      <c r="J51" s="29" t="inlineStr">
        <is>
          <t>Qualified</t>
        </is>
      </c>
      <c r="K51" s="33" t="n">
        <v>50</v>
      </c>
      <c r="L51" s="29" t="inlineStr">
        <is>
          <t>1/2</t>
        </is>
      </c>
      <c r="M51" s="30" t="inlineStr">
        <is>
          <t>Qualified (WA: +3.04%) — YTD✘ 1Y✔</t>
        </is>
      </c>
      <c r="N51" s="34" t="n">
        <v>3.04</v>
      </c>
      <c r="O51" s="34" t="n">
        <v>3.13</v>
      </c>
      <c r="P51" s="34" t="n">
        <v>5.79</v>
      </c>
      <c r="Q51" s="34" t="n">
        <v>-2.66</v>
      </c>
      <c r="R51" s="34" t="n">
        <v>18.05</v>
      </c>
      <c r="S51" s="34" t="n">
        <v>13.11</v>
      </c>
      <c r="T51" s="34" t="n">
        <v>4.94</v>
      </c>
      <c r="U51" s="34" t="n"/>
      <c r="V51" s="34" t="n"/>
      <c r="W51" s="34" t="n"/>
      <c r="X51" s="34" t="n"/>
      <c r="Y51" s="34" t="n"/>
      <c r="Z51" s="34" t="n"/>
      <c r="AA51" s="34" t="n"/>
      <c r="AB51" s="34" t="n"/>
      <c r="AC51" s="34" t="n"/>
      <c r="AD51" s="34">
        <f>IF(OR(Q51="",BM51="",BM51=0),"",Q51/BM51)</f>
        <v/>
      </c>
      <c r="AE51" s="34">
        <f>IF(OR(T51="",BM51="",BM51=0),"",T51/BM51)</f>
        <v/>
      </c>
      <c r="AF51" s="34">
        <f>IF(OR(W51="",BM51="",BM51=0),"",W51/BM51)</f>
        <v/>
      </c>
      <c r="AG51" s="34">
        <f>IF(OR(Z51="",BM51="",BM51=0),"",Z51/BM51)</f>
        <v/>
      </c>
      <c r="AH51" s="34">
        <f>IF(OR(AC51="",BM51="",BM51=0),"",AC51/BM51)</f>
        <v/>
      </c>
      <c r="AI51" s="33" t="n">
        <v>76.7</v>
      </c>
      <c r="AJ51" s="33" t="n">
        <v>21.4</v>
      </c>
      <c r="AK51" s="33" t="n"/>
      <c r="AL51" s="33" t="n">
        <v>1.9</v>
      </c>
      <c r="AM51" s="33" t="n"/>
      <c r="AN51" s="33" t="n"/>
      <c r="AO51" s="33" t="n">
        <v>12.1</v>
      </c>
      <c r="AP51" s="33" t="n">
        <v>6.3</v>
      </c>
      <c r="AQ51" s="33" t="n"/>
      <c r="AR51" s="33" t="n"/>
      <c r="AS51" s="33" t="n"/>
      <c r="AT51" s="33" t="n"/>
      <c r="AU51" s="33" t="n">
        <v>3</v>
      </c>
      <c r="AV51" s="33" t="n"/>
      <c r="AW51" s="33" t="n"/>
      <c r="AX51" s="33" t="n"/>
      <c r="AY51" s="33" t="n"/>
      <c r="AZ51" s="33" t="n"/>
      <c r="BA51" s="33" t="n">
        <v>21.3</v>
      </c>
      <c r="BB51" s="33" t="n"/>
      <c r="BC51" s="33" t="n">
        <v>22</v>
      </c>
      <c r="BD51" s="33" t="n">
        <v>29.4</v>
      </c>
      <c r="BE51" s="33" t="n"/>
      <c r="BF51" s="33" t="n">
        <v>6.9</v>
      </c>
      <c r="BG51" s="33" t="n">
        <v>10</v>
      </c>
      <c r="BH51" s="33" t="n"/>
      <c r="BI51" s="33" t="n"/>
      <c r="BJ51" s="33" t="n"/>
      <c r="BK51" s="33" t="n"/>
      <c r="BL51" s="30" t="inlineStr">
        <is>
          <t>Tenaga Nasional Berhad | Telekom Malaysia Berhad | TIME dotCom Berhad | Sunway Berhad | QL Resources Berhad</t>
        </is>
      </c>
      <c r="BM51" s="33" t="n"/>
      <c r="BN51" s="29" t="n"/>
      <c r="BO51" s="30" t="n"/>
      <c r="BP51" s="30" t="inlineStr">
        <is>
          <t>Index data are sourced from Lipper.</t>
        </is>
      </c>
      <c r="BQ51" s="35" t="n">
        <v>0.2809</v>
      </c>
      <c r="BR51" s="29" t="inlineStr">
        <is>
          <t>2026-05-14</t>
        </is>
      </c>
      <c r="BS51" s="35" t="n">
        <v>0.2749</v>
      </c>
      <c r="BT51" s="34" t="n">
        <v>-2.14</v>
      </c>
      <c r="BU51" s="31" t="n">
        <v>32</v>
      </c>
    </row>
    <row r="52" ht="16" customHeight="1">
      <c r="A52" s="36" t="inlineStr">
        <is>
          <t>PUBLIC e-ISLAMIC SUSTAINABLE MILLENNIAL FUND</t>
        </is>
      </c>
      <c r="B52" s="36" t="inlineStr">
        <is>
          <t>PeISMF</t>
        </is>
      </c>
      <c r="C52" s="36" t="inlineStr">
        <is>
          <t>Shariah</t>
        </is>
      </c>
      <c r="D52" s="36" t="inlineStr">
        <is>
          <t>Equity</t>
        </is>
      </c>
      <c r="E52" s="23" t="inlineStr">
        <is>
          <t>Capital Growth</t>
        </is>
      </c>
      <c r="F52" s="24" t="n">
        <v>5</v>
      </c>
      <c r="G52" s="23" t="inlineStr">
        <is>
          <t>Incidental</t>
        </is>
      </c>
      <c r="H52" s="25" t="n">
        <v>468.08</v>
      </c>
      <c r="I52" s="22" t="inlineStr">
        <is>
          <t>05.11.2019</t>
        </is>
      </c>
      <c r="J52" s="22" t="inlineStr">
        <is>
          <t>Qualified</t>
        </is>
      </c>
      <c r="K52" s="26" t="n">
        <v>75</v>
      </c>
      <c r="L52" s="22" t="inlineStr">
        <is>
          <t>3/4</t>
        </is>
      </c>
      <c r="M52" s="23" t="inlineStr">
        <is>
          <t>Qualified (WA: +3.03%) — YTD✘ 1Y✔ 3Y✔ 5Y✔</t>
        </is>
      </c>
      <c r="N52" s="27" t="n">
        <v>3.03</v>
      </c>
      <c r="O52" s="27" t="n">
        <v>2.74</v>
      </c>
      <c r="P52" s="27" t="n">
        <v>3.84</v>
      </c>
      <c r="Q52" s="27" t="n">
        <v>-1.1</v>
      </c>
      <c r="R52" s="27" t="n">
        <v>29.45</v>
      </c>
      <c r="S52" s="27" t="n">
        <v>22.43</v>
      </c>
      <c r="T52" s="27" t="n">
        <v>7.02</v>
      </c>
      <c r="U52" s="27" t="n">
        <v>17.15</v>
      </c>
      <c r="V52" s="27" t="n">
        <v>13.76</v>
      </c>
      <c r="W52" s="27" t="n">
        <v>3.39</v>
      </c>
      <c r="X52" s="27" t="n">
        <v>10.85</v>
      </c>
      <c r="Y52" s="27" t="n">
        <v>9.960000000000001</v>
      </c>
      <c r="Z52" s="27" t="n">
        <v>0.89</v>
      </c>
      <c r="AA52" s="27" t="n"/>
      <c r="AB52" s="27" t="n"/>
      <c r="AC52" s="27" t="n"/>
      <c r="AD52" s="27">
        <f>IF(OR(Q52="",BM52="",BM52=0),"",Q52/BM52)</f>
        <v/>
      </c>
      <c r="AE52" s="27">
        <f>IF(OR(T52="",BM52="",BM52=0),"",T52/BM52)</f>
        <v/>
      </c>
      <c r="AF52" s="27">
        <f>IF(OR(W52="",BM52="",BM52=0),"",W52/BM52)</f>
        <v/>
      </c>
      <c r="AG52" s="27">
        <f>IF(OR(Z52="",BM52="",BM52=0),"",Z52/BM52)</f>
        <v/>
      </c>
      <c r="AH52" s="27">
        <f>IF(OR(AC52="",BM52="",BM52=0),"",AC52/BM52)</f>
        <v/>
      </c>
      <c r="AI52" s="26" t="n"/>
      <c r="AJ52" s="26" t="n">
        <v>97.3</v>
      </c>
      <c r="AK52" s="26" t="n"/>
      <c r="AL52" s="26" t="n">
        <v>2.7</v>
      </c>
      <c r="AM52" s="26" t="n"/>
      <c r="AN52" s="26" t="n"/>
      <c r="AO52" s="26" t="n">
        <v>67.40000000000001</v>
      </c>
      <c r="AP52" s="26" t="n">
        <v>10.1</v>
      </c>
      <c r="AQ52" s="26" t="n"/>
      <c r="AR52" s="26" t="n">
        <v>3.8</v>
      </c>
      <c r="AS52" s="26" t="n"/>
      <c r="AT52" s="26" t="n"/>
      <c r="AU52" s="26" t="n">
        <v>8.9</v>
      </c>
      <c r="AV52" s="26" t="n"/>
      <c r="AW52" s="26" t="n">
        <v>3</v>
      </c>
      <c r="AX52" s="26" t="n"/>
      <c r="AY52" s="26" t="n"/>
      <c r="AZ52" s="26" t="n"/>
      <c r="BA52" s="26" t="n">
        <v>2.6</v>
      </c>
      <c r="BB52" s="26" t="n">
        <v>45.8</v>
      </c>
      <c r="BC52" s="26" t="n"/>
      <c r="BD52" s="26" t="n">
        <v>32.9</v>
      </c>
      <c r="BE52" s="26" t="n">
        <v>12.1</v>
      </c>
      <c r="BF52" s="26" t="n">
        <v>2.8</v>
      </c>
      <c r="BG52" s="26" t="n"/>
      <c r="BH52" s="26" t="n"/>
      <c r="BI52" s="26" t="n"/>
      <c r="BJ52" s="26" t="n"/>
      <c r="BK52" s="26" t="n"/>
      <c r="BL52" s="23" t="inlineStr">
        <is>
          <t>Advanced Micro Devices Incorporated | Alphabet Incorporated - Class A | Taiwan Semiconductor Manufacturing Company Limited | Alibaba Group Holding Limited - W | Meta Platforms Incorporated</t>
        </is>
      </c>
      <c r="BM52" s="26" t="n">
        <v>15.2</v>
      </c>
      <c r="BN52" s="22" t="inlineStr">
        <is>
          <t>Very High</t>
        </is>
      </c>
      <c r="BO52" s="23" t="inlineStr">
        <is>
          <t>Equity Global</t>
        </is>
      </c>
      <c r="BP52" s="23" t="inlineStr">
        <is>
          <t>ThebenchmarkforPeISMFisacompositeof90%S&amp;PGlobal1200ESGShariah Index and 10% 3-Month Islamic Interbank Money Market (IIMM) rate. Underlying indexdata are sourced from S&amp;P Dow Jones Indices, LLC and Bank Negara Malaysia and expressed in Ringgit terms.</t>
        </is>
      </c>
      <c r="BQ52" s="28" t="n">
        <v>0.5869</v>
      </c>
      <c r="BR52" s="22" t="inlineStr">
        <is>
          <t>2026-06-03</t>
        </is>
      </c>
      <c r="BS52" s="28" t="n">
        <v>0.5633</v>
      </c>
      <c r="BT52" s="27" t="n">
        <v>-4.02</v>
      </c>
      <c r="BU52" s="24" t="n">
        <v>12</v>
      </c>
    </row>
    <row r="53" ht="16" customHeight="1">
      <c r="A53" s="37" t="inlineStr">
        <is>
          <t>PUBLIC INDONESIA SELECT FUND</t>
        </is>
      </c>
      <c r="B53" s="37" t="inlineStr">
        <is>
          <t>PINDOSF</t>
        </is>
      </c>
      <c r="C53" s="37" t="inlineStr">
        <is>
          <t>Shariah</t>
        </is>
      </c>
      <c r="D53" s="37" t="inlineStr">
        <is>
          <t>Equity</t>
        </is>
      </c>
      <c r="E53" s="30" t="inlineStr">
        <is>
          <t>Capital Growth</t>
        </is>
      </c>
      <c r="F53" s="31" t="n">
        <v>5</v>
      </c>
      <c r="G53" s="30" t="inlineStr">
        <is>
          <t>Incidental</t>
        </is>
      </c>
      <c r="H53" s="32" t="n">
        <v>487.36</v>
      </c>
      <c r="I53" s="29" t="inlineStr">
        <is>
          <t>01.09.2010</t>
        </is>
      </c>
      <c r="J53" s="29" t="inlineStr">
        <is>
          <t>Qualified</t>
        </is>
      </c>
      <c r="K53" s="33" t="n">
        <v>100</v>
      </c>
      <c r="L53" s="29" t="inlineStr">
        <is>
          <t>5/5</t>
        </is>
      </c>
      <c r="M53" s="30" t="inlineStr">
        <is>
          <t>Qualified (WA: +2.98%) — YTD✔ 1Y✔ 3Y✔ 5Y✔ 10Y✔</t>
        </is>
      </c>
      <c r="N53" s="34" t="n">
        <v>2.98</v>
      </c>
      <c r="O53" s="34" t="n">
        <v>-14.54</v>
      </c>
      <c r="P53" s="34" t="n">
        <v>-28.04</v>
      </c>
      <c r="Q53" s="34" t="n">
        <v>13.5</v>
      </c>
      <c r="R53" s="34" t="n">
        <v>-19.54</v>
      </c>
      <c r="S53" s="34" t="n">
        <v>-21.17</v>
      </c>
      <c r="T53" s="34" t="n">
        <v>1.63</v>
      </c>
      <c r="U53" s="34" t="n">
        <v>-14.13</v>
      </c>
      <c r="V53" s="34" t="n">
        <v>-16.75</v>
      </c>
      <c r="W53" s="34" t="n">
        <v>2.62</v>
      </c>
      <c r="X53" s="34" t="n">
        <v>-4.81</v>
      </c>
      <c r="Y53" s="34" t="n">
        <v>-7.84</v>
      </c>
      <c r="Z53" s="34" t="n">
        <v>3.03</v>
      </c>
      <c r="AA53" s="34" t="n">
        <v>-2.01</v>
      </c>
      <c r="AB53" s="34" t="n">
        <v>-3.74</v>
      </c>
      <c r="AC53" s="34" t="n">
        <v>1.73</v>
      </c>
      <c r="AD53" s="34">
        <f>IF(OR(Q53="",BM53="",BM53=0),"",Q53/BM53)</f>
        <v/>
      </c>
      <c r="AE53" s="34">
        <f>IF(OR(T53="",BM53="",BM53=0),"",T53/BM53)</f>
        <v/>
      </c>
      <c r="AF53" s="34">
        <f>IF(OR(W53="",BM53="",BM53=0),"",W53/BM53)</f>
        <v/>
      </c>
      <c r="AG53" s="34">
        <f>IF(OR(Z53="",BM53="",BM53=0),"",Z53/BM53)</f>
        <v/>
      </c>
      <c r="AH53" s="34">
        <f>IF(OR(AC53="",BM53="",BM53=0),"",AC53/BM53)</f>
        <v/>
      </c>
      <c r="AI53" s="33" t="n"/>
      <c r="AJ53" s="33" t="n">
        <v>93.09999999999999</v>
      </c>
      <c r="AK53" s="33" t="n"/>
      <c r="AL53" s="33" t="n">
        <v>6.9</v>
      </c>
      <c r="AM53" s="33" t="n"/>
      <c r="AN53" s="33" t="n"/>
      <c r="AO53" s="33" t="n">
        <v>12.9</v>
      </c>
      <c r="AP53" s="33" t="n"/>
      <c r="AQ53" s="33" t="n"/>
      <c r="AR53" s="33" t="n"/>
      <c r="AS53" s="33" t="n"/>
      <c r="AT53" s="33" t="n"/>
      <c r="AU53" s="33" t="n">
        <v>3.4</v>
      </c>
      <c r="AV53" s="33" t="n">
        <v>3.9</v>
      </c>
      <c r="AW53" s="33" t="n"/>
      <c r="AX53" s="33" t="n">
        <v>72.90000000000001</v>
      </c>
      <c r="AY53" s="33" t="n"/>
      <c r="AZ53" s="33" t="n"/>
      <c r="BA53" s="33" t="n"/>
      <c r="BB53" s="33" t="n">
        <v>6.8</v>
      </c>
      <c r="BC53" s="33" t="n">
        <v>32.4</v>
      </c>
      <c r="BD53" s="33" t="n">
        <v>18.5</v>
      </c>
      <c r="BE53" s="33" t="n">
        <v>17</v>
      </c>
      <c r="BF53" s="33" t="n">
        <v>11.7</v>
      </c>
      <c r="BG53" s="33" t="n"/>
      <c r="BH53" s="33" t="n"/>
      <c r="BI53" s="33" t="n"/>
      <c r="BJ53" s="33" t="n"/>
      <c r="BK53" s="33" t="n"/>
      <c r="BL53" s="30" t="inlineStr">
        <is>
          <t>PT Bank Mandiri (Persero) Tbk | Bank Central Asia Tbk | Bank Rakyat Indonesia (Persero) Tbk | NVIDIA Corporation | AKR Corporindo Tbk</t>
        </is>
      </c>
      <c r="BM53" s="33" t="n">
        <v>13.4</v>
      </c>
      <c r="BN53" s="29" t="inlineStr">
        <is>
          <t>High</t>
        </is>
      </c>
      <c r="BO53" s="30" t="inlineStr">
        <is>
          <t>Equity Indonesia ASEAN</t>
        </is>
      </c>
      <c r="BP53" s="30" t="n"/>
      <c r="BQ53" s="35" t="n">
        <v>0.3423</v>
      </c>
      <c r="BR53" s="29" t="inlineStr">
        <is>
          <t>2013-05-31</t>
        </is>
      </c>
      <c r="BS53" s="35" t="n">
        <v>0.1723</v>
      </c>
      <c r="BT53" s="34" t="n">
        <v>-49.66</v>
      </c>
      <c r="BU53" s="31" t="n">
        <v>4763</v>
      </c>
    </row>
    <row r="54" ht="16" customHeight="1">
      <c r="A54" s="22" t="inlineStr">
        <is>
          <t>PUBLIC FOCUS SELECT FUND</t>
        </is>
      </c>
      <c r="B54" s="22" t="inlineStr">
        <is>
          <t>PFSF</t>
        </is>
      </c>
      <c r="C54" s="22" t="inlineStr">
        <is>
          <t>Conventional</t>
        </is>
      </c>
      <c r="D54" s="22" t="inlineStr">
        <is>
          <t>Equity</t>
        </is>
      </c>
      <c r="E54" s="23" t="inlineStr">
        <is>
          <t>Capital Growth</t>
        </is>
      </c>
      <c r="F54" s="24" t="n">
        <v>5</v>
      </c>
      <c r="G54" s="23" t="inlineStr">
        <is>
          <t>Incidental</t>
        </is>
      </c>
      <c r="H54" s="25" t="n">
        <v>477.84</v>
      </c>
      <c r="I54" s="22" t="inlineStr">
        <is>
          <t>25.11.2004</t>
        </is>
      </c>
      <c r="J54" s="22" t="inlineStr">
        <is>
          <t>Qualified</t>
        </is>
      </c>
      <c r="K54" s="26" t="n">
        <v>80</v>
      </c>
      <c r="L54" s="22" t="inlineStr">
        <is>
          <t>4/5</t>
        </is>
      </c>
      <c r="M54" s="23" t="inlineStr">
        <is>
          <t>Qualified (WA: +2.73%) — YTD✘ 1Y✔ 3Y✔ 5Y✔ 10Y✔</t>
        </is>
      </c>
      <c r="N54" s="27" t="n">
        <v>2.73</v>
      </c>
      <c r="O54" s="27" t="n">
        <v>4.1</v>
      </c>
      <c r="P54" s="27" t="n">
        <v>7.63</v>
      </c>
      <c r="Q54" s="27" t="n">
        <v>-3.53</v>
      </c>
      <c r="R54" s="27" t="n">
        <v>19.84</v>
      </c>
      <c r="S54" s="27" t="n">
        <v>13.42</v>
      </c>
      <c r="T54" s="27" t="n">
        <v>6.42</v>
      </c>
      <c r="U54" s="27" t="n">
        <v>13.04</v>
      </c>
      <c r="V54" s="27" t="n">
        <v>10.15</v>
      </c>
      <c r="W54" s="27" t="n">
        <v>2.89</v>
      </c>
      <c r="X54" s="27" t="n">
        <v>5.05</v>
      </c>
      <c r="Y54" s="27" t="n">
        <v>3.03</v>
      </c>
      <c r="Z54" s="27" t="n">
        <v>2.02</v>
      </c>
      <c r="AA54" s="27" t="n">
        <v>5.26</v>
      </c>
      <c r="AB54" s="27" t="n">
        <v>3.38</v>
      </c>
      <c r="AC54" s="27" t="n">
        <v>1.88</v>
      </c>
      <c r="AD54" s="27">
        <f>IF(OR(Q54="",BM54="",BM54=0),"",Q54/BM54)</f>
        <v/>
      </c>
      <c r="AE54" s="27">
        <f>IF(OR(T54="",BM54="",BM54=0),"",T54/BM54)</f>
        <v/>
      </c>
      <c r="AF54" s="27">
        <f>IF(OR(W54="",BM54="",BM54=0),"",W54/BM54)</f>
        <v/>
      </c>
      <c r="AG54" s="27">
        <f>IF(OR(Z54="",BM54="",BM54=0),"",Z54/BM54)</f>
        <v/>
      </c>
      <c r="AH54" s="27">
        <f>IF(OR(AC54="",BM54="",BM54=0),"",AC54/BM54)</f>
        <v/>
      </c>
      <c r="AI54" s="26" t="n">
        <v>75.59999999999999</v>
      </c>
      <c r="AJ54" s="26" t="n">
        <v>22.4</v>
      </c>
      <c r="AK54" s="26" t="n"/>
      <c r="AL54" s="26" t="n">
        <v>2</v>
      </c>
      <c r="AM54" s="26" t="n"/>
      <c r="AN54" s="26" t="n"/>
      <c r="AO54" s="26" t="n">
        <v>4.8</v>
      </c>
      <c r="AP54" s="26" t="n">
        <v>16.1</v>
      </c>
      <c r="AQ54" s="26" t="n"/>
      <c r="AR54" s="26" t="n"/>
      <c r="AS54" s="26" t="n"/>
      <c r="AT54" s="26" t="n">
        <v>1.5</v>
      </c>
      <c r="AU54" s="26" t="n"/>
      <c r="AV54" s="26" t="n"/>
      <c r="AW54" s="26" t="n"/>
      <c r="AX54" s="26" t="n"/>
      <c r="AY54" s="26" t="n"/>
      <c r="AZ54" s="26" t="n"/>
      <c r="BA54" s="26" t="n">
        <v>31.7</v>
      </c>
      <c r="BB54" s="26" t="n">
        <v>8.5</v>
      </c>
      <c r="BC54" s="26" t="n">
        <v>32.2</v>
      </c>
      <c r="BD54" s="26" t="n">
        <v>5.9</v>
      </c>
      <c r="BE54" s="26" t="n"/>
      <c r="BF54" s="26" t="n">
        <v>14.4</v>
      </c>
      <c r="BG54" s="26" t="n"/>
      <c r="BH54" s="26" t="n"/>
      <c r="BI54" s="26" t="n"/>
      <c r="BJ54" s="26" t="n"/>
      <c r="BK54" s="26" t="n"/>
      <c r="BL54" s="23" t="inlineStr">
        <is>
          <t>Hon.Precision Incorporated | Kinik Company | QL Resources Berhad | TIME dotCom Berhad | LPI Capital Berhad</t>
        </is>
      </c>
      <c r="BM54" s="26" t="n">
        <v>9.199999999999999</v>
      </c>
      <c r="BN54" s="22" t="inlineStr">
        <is>
          <t>Moderate</t>
        </is>
      </c>
      <c r="BO54" s="23" t="inlineStr">
        <is>
          <t>Equity Malaysia Domestic 30% of the fund’s NAV</t>
        </is>
      </c>
      <c r="BP54" s="23" t="inlineStr">
        <is>
          <t>Kuala Lumpur Composite Index (prior to 30 April 2008). FTSE Bursa Malaysia Mid 70 Index (w.e.f. 30 April 2008). Underlying index data are sourced from Lipper.</t>
        </is>
      </c>
      <c r="BQ54" s="28" t="n">
        <v>0.4477</v>
      </c>
      <c r="BR54" s="22" t="inlineStr">
        <is>
          <t>2026-05-29</t>
        </is>
      </c>
      <c r="BS54" s="28" t="n">
        <v>0.4381</v>
      </c>
      <c r="BT54" s="27" t="n">
        <v>-2.14</v>
      </c>
      <c r="BU54" s="24" t="n">
        <v>17</v>
      </c>
    </row>
    <row r="55" ht="16" customHeight="1">
      <c r="A55" s="29" t="inlineStr">
        <is>
          <t>PB VIETNAM GLOBAL 40 FUND</t>
        </is>
      </c>
      <c r="B55" s="29" t="inlineStr">
        <is>
          <t>PBVG40F</t>
        </is>
      </c>
      <c r="C55" s="29" t="inlineStr">
        <is>
          <t>Conventional</t>
        </is>
      </c>
      <c r="D55" s="29" t="inlineStr">
        <is>
          <t>Equity</t>
        </is>
      </c>
      <c r="E55" s="30" t="inlineStr">
        <is>
          <t>Capital Growth</t>
        </is>
      </c>
      <c r="F55" s="31" t="n">
        <v>5</v>
      </c>
      <c r="G55" s="30" t="inlineStr">
        <is>
          <t>Incidental</t>
        </is>
      </c>
      <c r="H55" s="32" t="n">
        <v>68.15000000000001</v>
      </c>
      <c r="I55" s="29" t="inlineStr">
        <is>
          <t>18.09.2020</t>
        </is>
      </c>
      <c r="J55" s="29" t="inlineStr">
        <is>
          <t>Qualified</t>
        </is>
      </c>
      <c r="K55" s="33" t="n">
        <v>50</v>
      </c>
      <c r="L55" s="29" t="inlineStr">
        <is>
          <t>2/4</t>
        </is>
      </c>
      <c r="M55" s="30" t="inlineStr">
        <is>
          <t>Qualified (WA: +2.53%) — YTD✘ 1Y✔ 3Y✔ 5Y✘</t>
        </is>
      </c>
      <c r="N55" s="34" t="n">
        <v>2.53</v>
      </c>
      <c r="O55" s="34" t="n">
        <v>4.43</v>
      </c>
      <c r="P55" s="34" t="n">
        <v>4.83</v>
      </c>
      <c r="Q55" s="34" t="n">
        <v>-0.4</v>
      </c>
      <c r="R55" s="34" t="n">
        <v>33.38</v>
      </c>
      <c r="S55" s="34" t="n">
        <v>28.9</v>
      </c>
      <c r="T55" s="34" t="n">
        <v>4.48</v>
      </c>
      <c r="U55" s="34" t="n">
        <v>18.2</v>
      </c>
      <c r="V55" s="34" t="n">
        <v>14.2</v>
      </c>
      <c r="W55" s="34" t="n">
        <v>4</v>
      </c>
      <c r="X55" s="34" t="n">
        <v>5.56</v>
      </c>
      <c r="Y55" s="34" t="n">
        <v>5.96</v>
      </c>
      <c r="Z55" s="34" t="n">
        <v>-0.4</v>
      </c>
      <c r="AA55" s="34" t="n"/>
      <c r="AB55" s="34" t="n"/>
      <c r="AC55" s="34" t="n"/>
      <c r="AD55" s="34">
        <f>IF(OR(Q55="",BM55="",BM55=0),"",Q55/BM55)</f>
        <v/>
      </c>
      <c r="AE55" s="34">
        <f>IF(OR(T55="",BM55="",BM55=0),"",T55/BM55)</f>
        <v/>
      </c>
      <c r="AF55" s="34">
        <f>IF(OR(W55="",BM55="",BM55=0),"",W55/BM55)</f>
        <v/>
      </c>
      <c r="AG55" s="34">
        <f>IF(OR(Z55="",BM55="",BM55=0),"",Z55/BM55)</f>
        <v/>
      </c>
      <c r="AH55" s="34">
        <f>IF(OR(AC55="",BM55="",BM55=0),"",AC55/BM55)</f>
        <v/>
      </c>
      <c r="AI55" s="33" t="n"/>
      <c r="AJ55" s="33" t="n">
        <v>95.3</v>
      </c>
      <c r="AK55" s="33" t="n"/>
      <c r="AL55" s="33" t="n">
        <v>4.7</v>
      </c>
      <c r="AM55" s="33" t="n"/>
      <c r="AN55" s="33" t="n"/>
      <c r="AO55" s="33" t="n">
        <v>31.2</v>
      </c>
      <c r="AP55" s="33" t="n">
        <v>10.4</v>
      </c>
      <c r="AQ55" s="33" t="n">
        <v>15.7</v>
      </c>
      <c r="AR55" s="33" t="n"/>
      <c r="AS55" s="33" t="n"/>
      <c r="AT55" s="33" t="n"/>
      <c r="AU55" s="33" t="n">
        <v>11.1</v>
      </c>
      <c r="AV55" s="33" t="n"/>
      <c r="AW55" s="33" t="n"/>
      <c r="AX55" s="33" t="n"/>
      <c r="AY55" s="33" t="n"/>
      <c r="AZ55" s="33" t="n">
        <v>22</v>
      </c>
      <c r="BA55" s="33" t="n">
        <v>8.199999999999999</v>
      </c>
      <c r="BB55" s="33" t="n">
        <v>34</v>
      </c>
      <c r="BC55" s="33" t="n"/>
      <c r="BD55" s="33" t="n">
        <v>27.8</v>
      </c>
      <c r="BE55" s="33" t="n">
        <v>5.5</v>
      </c>
      <c r="BF55" s="33" t="n"/>
      <c r="BG55" s="33" t="n"/>
      <c r="BH55" s="33" t="n"/>
      <c r="BI55" s="33" t="n"/>
      <c r="BJ55" s="33" t="n"/>
      <c r="BK55" s="33" t="n">
        <v>14.3</v>
      </c>
      <c r="BL55" s="30" t="inlineStr">
        <is>
          <t>Taiwan Semiconductor Manufacturing Company Limited | Alphabet Incorporated - Class A | NVIDIA Corporation | Alibaba Group Holding Limited - W | Meta Platforms Incorporated</t>
        </is>
      </c>
      <c r="BM55" s="33" t="n">
        <v>15.3</v>
      </c>
      <c r="BN55" s="29" t="inlineStr">
        <is>
          <t>Very High</t>
        </is>
      </c>
      <c r="BO55" s="30" t="inlineStr">
        <is>
          <t>Equity Global Global</t>
        </is>
      </c>
      <c r="BP55" s="30" t="inlineStr">
        <is>
          <t>ThebenchmarkforPBVG40Fisacompositeof35%DowJonesIndustrialAverage, 35% customised index by S&amp;P Dow Jones Indices, LLC based on the top 30 constituents of the S&amp;P BMI Asia Ex-Japan Index, 20% VN30 Index and 10% 3-Month Kuala Lumpur Interbank Offered Rate (KLIBOR). UnderlyingindexdataaresourcedfromLipper,S&amp;PDowJonesIndices,LLCand Bank Negara Malaysia and expressed in Ringgit terms.</t>
        </is>
      </c>
      <c r="BQ55" s="35" t="n">
        <v>0.3715</v>
      </c>
      <c r="BR55" s="29" t="inlineStr">
        <is>
          <t>2026-06-04</t>
        </is>
      </c>
      <c r="BS55" s="35" t="n">
        <v>0.3605</v>
      </c>
      <c r="BT55" s="34" t="n">
        <v>-2.96</v>
      </c>
      <c r="BU55" s="31" t="n">
        <v>11</v>
      </c>
    </row>
    <row r="56" ht="16" customHeight="1">
      <c r="A56" s="22" t="inlineStr">
        <is>
          <t>PUBLIC FAR-EAST PROPERTY &amp; RESORTS FUND</t>
        </is>
      </c>
      <c r="B56" s="22" t="inlineStr">
        <is>
          <t>PFEPRF</t>
        </is>
      </c>
      <c r="C56" s="22" t="inlineStr">
        <is>
          <t>Conventional</t>
        </is>
      </c>
      <c r="D56" s="22" t="inlineStr">
        <is>
          <t>Equity</t>
        </is>
      </c>
      <c r="E56" s="23" t="inlineStr">
        <is>
          <t>Capital Growth</t>
        </is>
      </c>
      <c r="F56" s="24" t="n">
        <v>5</v>
      </c>
      <c r="G56" s="23" t="inlineStr">
        <is>
          <t>Annual</t>
        </is>
      </c>
      <c r="H56" s="25" t="n">
        <v>188.44</v>
      </c>
      <c r="I56" s="22" t="inlineStr">
        <is>
          <t>10.07.2007</t>
        </is>
      </c>
      <c r="J56" s="22" t="inlineStr">
        <is>
          <t>Qualified</t>
        </is>
      </c>
      <c r="K56" s="26" t="n">
        <v>100</v>
      </c>
      <c r="L56" s="22" t="inlineStr">
        <is>
          <t>5/5</t>
        </is>
      </c>
      <c r="M56" s="23" t="inlineStr">
        <is>
          <t>Qualified (WA: +2.50%) — YTD✔ 1Y✔ 3Y✔ 5Y✔ 10Y✔</t>
        </is>
      </c>
      <c r="N56" s="27" t="n">
        <v>2.5</v>
      </c>
      <c r="O56" s="27" t="n">
        <v>4.29</v>
      </c>
      <c r="P56" s="27" t="n">
        <v>4.05</v>
      </c>
      <c r="Q56" s="27" t="n">
        <v>0.24</v>
      </c>
      <c r="R56" s="27" t="n">
        <v>11.8</v>
      </c>
      <c r="S56" s="27" t="n">
        <v>10.19</v>
      </c>
      <c r="T56" s="27" t="n">
        <v>1.61</v>
      </c>
      <c r="U56" s="27" t="n">
        <v>7.32</v>
      </c>
      <c r="V56" s="27" t="n">
        <v>4.62</v>
      </c>
      <c r="W56" s="27" t="n">
        <v>2.7</v>
      </c>
      <c r="X56" s="27" t="n">
        <v>2.59</v>
      </c>
      <c r="Y56" s="27" t="n">
        <v>-0.72</v>
      </c>
      <c r="Z56" s="27" t="n">
        <v>3.31</v>
      </c>
      <c r="AA56" s="27" t="n">
        <v>2.82</v>
      </c>
      <c r="AB56" s="27" t="n">
        <v>0.54</v>
      </c>
      <c r="AC56" s="27" t="n">
        <v>2.28</v>
      </c>
      <c r="AD56" s="27">
        <f>IF(OR(Q56="",BM56="",BM56=0),"",Q56/BM56)</f>
        <v/>
      </c>
      <c r="AE56" s="27">
        <f>IF(OR(T56="",BM56="",BM56=0),"",T56/BM56)</f>
        <v/>
      </c>
      <c r="AF56" s="27">
        <f>IF(OR(W56="",BM56="",BM56=0),"",W56/BM56)</f>
        <v/>
      </c>
      <c r="AG56" s="27">
        <f>IF(OR(Z56="",BM56="",BM56=0),"",Z56/BM56)</f>
        <v/>
      </c>
      <c r="AH56" s="27">
        <f>IF(OR(AC56="",BM56="",BM56=0),"",AC56/BM56)</f>
        <v/>
      </c>
      <c r="AI56" s="26" t="n">
        <v>24.2</v>
      </c>
      <c r="AJ56" s="26" t="n">
        <v>59.6</v>
      </c>
      <c r="AK56" s="26" t="n"/>
      <c r="AL56" s="26" t="n">
        <v>16.2</v>
      </c>
      <c r="AM56" s="26" t="n"/>
      <c r="AN56" s="26" t="n"/>
      <c r="AO56" s="26" t="n"/>
      <c r="AP56" s="26" t="n"/>
      <c r="AQ56" s="26" t="n"/>
      <c r="AR56" s="26" t="n">
        <v>21.7</v>
      </c>
      <c r="AS56" s="26" t="n"/>
      <c r="AT56" s="26" t="n"/>
      <c r="AU56" s="26" t="n">
        <v>7.7</v>
      </c>
      <c r="AV56" s="26" t="n">
        <v>3.3</v>
      </c>
      <c r="AW56" s="26" t="n"/>
      <c r="AX56" s="26" t="n"/>
      <c r="AY56" s="26" t="n">
        <v>16.4</v>
      </c>
      <c r="AZ56" s="26" t="n"/>
      <c r="BA56" s="26" t="n"/>
      <c r="BB56" s="26" t="n"/>
      <c r="BC56" s="26" t="n"/>
      <c r="BD56" s="26" t="n"/>
      <c r="BE56" s="26" t="n"/>
      <c r="BF56" s="26" t="n"/>
      <c r="BG56" s="26" t="n"/>
      <c r="BH56" s="26" t="n"/>
      <c r="BI56" s="26" t="n"/>
      <c r="BJ56" s="26" t="n">
        <v>83.8</v>
      </c>
      <c r="BK56" s="26" t="n"/>
      <c r="BL56" s="23" t="inlineStr">
        <is>
          <t>Goodman Group | China Resources Land Limited | IGB Real Estate Investment Trust | Mitsui Fudosan Company Limited | Sun Hung Kai Properties Limited</t>
        </is>
      </c>
      <c r="BM56" s="26" t="n">
        <v>10.8</v>
      </c>
      <c r="BN56" s="22" t="inlineStr">
        <is>
          <t>High</t>
        </is>
      </c>
      <c r="BO56" s="23" t="inlineStr">
        <is>
          <t>Equity Sector Real Asia</t>
        </is>
      </c>
      <c r="BP56" s="23" t="n"/>
      <c r="BQ56" s="28" t="n">
        <v>0.3479</v>
      </c>
      <c r="BR56" s="22" t="inlineStr">
        <is>
          <t>2013-05-20</t>
        </is>
      </c>
      <c r="BS56" s="28" t="n">
        <v>0.2728</v>
      </c>
      <c r="BT56" s="27" t="n">
        <v>-21.59</v>
      </c>
      <c r="BU56" s="24" t="n">
        <v>4774</v>
      </c>
    </row>
    <row r="57" ht="16" customHeight="1">
      <c r="A57" s="29" t="inlineStr">
        <is>
          <t>PUBLIC DIVIDEND SELECT FUND</t>
        </is>
      </c>
      <c r="B57" s="29" t="inlineStr">
        <is>
          <t>PDSF</t>
        </is>
      </c>
      <c r="C57" s="29" t="inlineStr">
        <is>
          <t>Conventional</t>
        </is>
      </c>
      <c r="D57" s="29" t="inlineStr">
        <is>
          <t>Equity</t>
        </is>
      </c>
      <c r="E57" s="30" t="inlineStr">
        <is>
          <t>Income</t>
        </is>
      </c>
      <c r="F57" s="31" t="n">
        <v>4</v>
      </c>
      <c r="G57" s="30" t="inlineStr">
        <is>
          <t>Semi-Annual</t>
        </is>
      </c>
      <c r="H57" s="32" t="n">
        <v>854.71</v>
      </c>
      <c r="I57" s="29" t="inlineStr">
        <is>
          <t>03.05.2005</t>
        </is>
      </c>
      <c r="J57" s="29" t="inlineStr">
        <is>
          <t>Qualified</t>
        </is>
      </c>
      <c r="K57" s="33" t="n">
        <v>80</v>
      </c>
      <c r="L57" s="29" t="inlineStr">
        <is>
          <t>4/5</t>
        </is>
      </c>
      <c r="M57" s="30" t="inlineStr">
        <is>
          <t>Qualified (WA: +2.40%) — YTD✘ 1Y✔ 3Y✔ 5Y✔ 10Y✔</t>
        </is>
      </c>
      <c r="N57" s="34" t="n">
        <v>2.4</v>
      </c>
      <c r="O57" s="34" t="n">
        <v>3.3</v>
      </c>
      <c r="P57" s="34" t="n">
        <v>3.49</v>
      </c>
      <c r="Q57" s="34" t="n">
        <v>-0.19</v>
      </c>
      <c r="R57" s="34" t="n">
        <v>13.28</v>
      </c>
      <c r="S57" s="34" t="n">
        <v>11.41</v>
      </c>
      <c r="T57" s="34" t="n">
        <v>1.87</v>
      </c>
      <c r="U57" s="34" t="n">
        <v>10.25</v>
      </c>
      <c r="V57" s="34" t="n">
        <v>7.22</v>
      </c>
      <c r="W57" s="34" t="n">
        <v>3.03</v>
      </c>
      <c r="X57" s="34" t="n">
        <v>4.4</v>
      </c>
      <c r="Y57" s="34" t="n">
        <v>2.04</v>
      </c>
      <c r="Z57" s="34" t="n">
        <v>2.36</v>
      </c>
      <c r="AA57" s="34" t="n">
        <v>3.51</v>
      </c>
      <c r="AB57" s="34" t="n">
        <v>1.3</v>
      </c>
      <c r="AC57" s="34" t="n">
        <v>2.21</v>
      </c>
      <c r="AD57" s="34">
        <f>IF(OR(Q57="",BM57="",BM57=0),"",Q57/BM57)</f>
        <v/>
      </c>
      <c r="AE57" s="34">
        <f>IF(OR(T57="",BM57="",BM57=0),"",T57/BM57)</f>
        <v/>
      </c>
      <c r="AF57" s="34">
        <f>IF(OR(W57="",BM57="",BM57=0),"",W57/BM57)</f>
        <v/>
      </c>
      <c r="AG57" s="34">
        <f>IF(OR(Z57="",BM57="",BM57=0),"",Z57/BM57)</f>
        <v/>
      </c>
      <c r="AH57" s="34">
        <f>IF(OR(AC57="",BM57="",BM57=0),"",AC57/BM57)</f>
        <v/>
      </c>
      <c r="AI57" s="33" t="n">
        <v>76.59999999999999</v>
      </c>
      <c r="AJ57" s="33" t="n">
        <v>20.8</v>
      </c>
      <c r="AK57" s="33" t="n"/>
      <c r="AL57" s="33" t="n">
        <v>2.6</v>
      </c>
      <c r="AM57" s="33" t="n"/>
      <c r="AN57" s="33" t="n"/>
      <c r="AO57" s="33" t="n">
        <v>16.4</v>
      </c>
      <c r="AP57" s="33" t="n"/>
      <c r="AQ57" s="33" t="n"/>
      <c r="AR57" s="33" t="n"/>
      <c r="AS57" s="33" t="n">
        <v>4.4</v>
      </c>
      <c r="AT57" s="33" t="n"/>
      <c r="AU57" s="33" t="n"/>
      <c r="AV57" s="33" t="n"/>
      <c r="AW57" s="33" t="n"/>
      <c r="AX57" s="33" t="n"/>
      <c r="AY57" s="33" t="n"/>
      <c r="AZ57" s="33" t="n"/>
      <c r="BA57" s="33" t="n">
        <v>7.6</v>
      </c>
      <c r="BB57" s="33" t="n"/>
      <c r="BC57" s="33" t="n">
        <v>46.2</v>
      </c>
      <c r="BD57" s="33" t="n">
        <v>10.7</v>
      </c>
      <c r="BE57" s="33" t="n">
        <v>14.9</v>
      </c>
      <c r="BF57" s="33" t="n"/>
      <c r="BG57" s="33" t="n">
        <v>9.199999999999999</v>
      </c>
      <c r="BH57" s="33" t="n"/>
      <c r="BI57" s="33" t="n"/>
      <c r="BJ57" s="33" t="n"/>
      <c r="BK57" s="33" t="n"/>
      <c r="BL57" s="30" t="inlineStr">
        <is>
          <t>Public Bank Berhad | Malayan Banking Berhad | IGB Real Estate Investment Trust | CIMB Group Holdings Berhad | Tenaga Nasional Berhad</t>
        </is>
      </c>
      <c r="BM57" s="33" t="n">
        <v>6.9</v>
      </c>
      <c r="BN57" s="29" t="inlineStr">
        <is>
          <t>Low</t>
        </is>
      </c>
      <c r="BO57" s="30" t="inlineStr">
        <is>
          <t>Equity Malaysia Income Domestic 30% of the fund’s NAV</t>
        </is>
      </c>
      <c r="BP57" s="30" t="n"/>
      <c r="BQ57" s="35" t="n">
        <v>0.3542</v>
      </c>
      <c r="BR57" s="29" t="inlineStr">
        <is>
          <t>2007-10-31</t>
        </is>
      </c>
      <c r="BS57" s="35" t="n">
        <v>0.2945</v>
      </c>
      <c r="BT57" s="34" t="n">
        <v>-16.85</v>
      </c>
      <c r="BU57" s="31" t="n">
        <v>6802</v>
      </c>
    </row>
    <row r="58" ht="16" customHeight="1">
      <c r="A58" s="22" t="inlineStr">
        <is>
          <t>PUBLIC SINGAPORE EQUITY FUND</t>
        </is>
      </c>
      <c r="B58" s="22" t="inlineStr">
        <is>
          <t>PSGEF</t>
        </is>
      </c>
      <c r="C58" s="22" t="inlineStr">
        <is>
          <t>Conventional</t>
        </is>
      </c>
      <c r="D58" s="22" t="inlineStr">
        <is>
          <t>Equity</t>
        </is>
      </c>
      <c r="E58" s="23" t="inlineStr">
        <is>
          <t>Capital Growth</t>
        </is>
      </c>
      <c r="F58" s="24" t="n">
        <v>5</v>
      </c>
      <c r="G58" s="23" t="inlineStr">
        <is>
          <t>Incidental</t>
        </is>
      </c>
      <c r="H58" s="25" t="n">
        <v>608.4400000000001</v>
      </c>
      <c r="I58" s="22" t="inlineStr">
        <is>
          <t>07.06.2011</t>
        </is>
      </c>
      <c r="J58" s="22" t="inlineStr">
        <is>
          <t>Qualified</t>
        </is>
      </c>
      <c r="K58" s="26" t="n">
        <v>80</v>
      </c>
      <c r="L58" s="22" t="inlineStr">
        <is>
          <t>4/5</t>
        </is>
      </c>
      <c r="M58" s="23" t="inlineStr">
        <is>
          <t>Qualified (WA: +2.26%) — YTD✔ 1Y✔ 3Y✔ 5Y✘ 10Y✔</t>
        </is>
      </c>
      <c r="N58" s="27" t="n">
        <v>2.26</v>
      </c>
      <c r="O58" s="27" t="n">
        <v>4.11</v>
      </c>
      <c r="P58" s="27" t="n">
        <v>-0.76</v>
      </c>
      <c r="Q58" s="27" t="n">
        <v>4.87</v>
      </c>
      <c r="R58" s="27" t="n">
        <v>18.77</v>
      </c>
      <c r="S58" s="27" t="n">
        <v>8.17</v>
      </c>
      <c r="T58" s="27" t="n">
        <v>10.6</v>
      </c>
      <c r="U58" s="27" t="n">
        <v>11.64</v>
      </c>
      <c r="V58" s="27" t="n">
        <v>10.82</v>
      </c>
      <c r="W58" s="27" t="n">
        <v>0.82</v>
      </c>
      <c r="X58" s="27" t="n">
        <v>6.6</v>
      </c>
      <c r="Y58" s="27" t="n">
        <v>7.37</v>
      </c>
      <c r="Z58" s="27" t="n">
        <v>-0.77</v>
      </c>
      <c r="AA58" s="27" t="n">
        <v>7.47</v>
      </c>
      <c r="AB58" s="27" t="n">
        <v>5.55</v>
      </c>
      <c r="AC58" s="27" t="n">
        <v>1.92</v>
      </c>
      <c r="AD58" s="27">
        <f>IF(OR(Q58="",BM58="",BM58=0),"",Q58/BM58)</f>
        <v/>
      </c>
      <c r="AE58" s="27">
        <f>IF(OR(T58="",BM58="",BM58=0),"",T58/BM58)</f>
        <v/>
      </c>
      <c r="AF58" s="27">
        <f>IF(OR(W58="",BM58="",BM58=0),"",W58/BM58)</f>
        <v/>
      </c>
      <c r="AG58" s="27">
        <f>IF(OR(Z58="",BM58="",BM58=0),"",Z58/BM58)</f>
        <v/>
      </c>
      <c r="AH58" s="27">
        <f>IF(OR(AC58="",BM58="",BM58=0),"",AC58/BM58)</f>
        <v/>
      </c>
      <c r="AI58" s="26" t="n">
        <v>0.9</v>
      </c>
      <c r="AJ58" s="26" t="n">
        <v>95</v>
      </c>
      <c r="AK58" s="26" t="n"/>
      <c r="AL58" s="26" t="n">
        <v>4.1</v>
      </c>
      <c r="AM58" s="26" t="n"/>
      <c r="AN58" s="26" t="n"/>
      <c r="AO58" s="26" t="n">
        <v>10.8</v>
      </c>
      <c r="AP58" s="26" t="n">
        <v>8.6</v>
      </c>
      <c r="AQ58" s="26" t="n"/>
      <c r="AR58" s="26" t="n"/>
      <c r="AS58" s="26" t="n"/>
      <c r="AT58" s="26" t="n"/>
      <c r="AU58" s="26" t="n"/>
      <c r="AV58" s="26" t="n">
        <v>75.59999999999999</v>
      </c>
      <c r="AW58" s="26" t="n"/>
      <c r="AX58" s="26" t="n"/>
      <c r="AY58" s="26" t="n"/>
      <c r="AZ58" s="26" t="n"/>
      <c r="BA58" s="26" t="n">
        <v>23.1</v>
      </c>
      <c r="BB58" s="26" t="n">
        <v>16.1</v>
      </c>
      <c r="BC58" s="26" t="n">
        <v>36.8</v>
      </c>
      <c r="BD58" s="26" t="n">
        <v>16.7</v>
      </c>
      <c r="BE58" s="26" t="n">
        <v>3.2</v>
      </c>
      <c r="BF58" s="26" t="n"/>
      <c r="BG58" s="26" t="n"/>
      <c r="BH58" s="26" t="n"/>
      <c r="BI58" s="26" t="n"/>
      <c r="BJ58" s="26" t="n"/>
      <c r="BK58" s="26" t="n"/>
      <c r="BL58" s="23" t="inlineStr">
        <is>
          <t>DBS Group Holdings Limited | Oversea-Chinese Banking Corporation Limited | Taiwan Semiconductor Manufacturing Company Limited | CSE Global Limited | Singapore Technologies Engineering Limited</t>
        </is>
      </c>
      <c r="BM58" s="26" t="n">
        <v>9.4</v>
      </c>
      <c r="BN58" s="22" t="inlineStr">
        <is>
          <t>Moderate</t>
        </is>
      </c>
      <c r="BO58" s="23" t="inlineStr">
        <is>
          <t>Equity Singapore ASEAN</t>
        </is>
      </c>
      <c r="BP58" s="23" t="n"/>
      <c r="BQ58" s="28" t="n">
        <v>0.4408</v>
      </c>
      <c r="BR58" s="22" t="inlineStr">
        <is>
          <t>2026-06-03</t>
        </is>
      </c>
      <c r="BS58" s="28" t="n">
        <v>0.4229</v>
      </c>
      <c r="BT58" s="27" t="n">
        <v>-4.06</v>
      </c>
      <c r="BU58" s="24" t="n">
        <v>12</v>
      </c>
    </row>
    <row r="59" ht="16" customHeight="1">
      <c r="A59" s="29" t="inlineStr">
        <is>
          <t>PB EURO PACIFIC EQUITY FUND</t>
        </is>
      </c>
      <c r="B59" s="29" t="inlineStr">
        <is>
          <t>PBEPEF</t>
        </is>
      </c>
      <c r="C59" s="29" t="inlineStr">
        <is>
          <t>Conventional</t>
        </is>
      </c>
      <c r="D59" s="29" t="inlineStr">
        <is>
          <t>Equity</t>
        </is>
      </c>
      <c r="E59" s="30" t="inlineStr">
        <is>
          <t>Capital Growth</t>
        </is>
      </c>
      <c r="F59" s="31" t="n">
        <v>5</v>
      </c>
      <c r="G59" s="30" t="inlineStr">
        <is>
          <t>Incidental</t>
        </is>
      </c>
      <c r="H59" s="32" t="n">
        <v>64.44</v>
      </c>
      <c r="I59" s="29" t="inlineStr">
        <is>
          <t>08.06.2007</t>
        </is>
      </c>
      <c r="J59" s="29" t="inlineStr">
        <is>
          <t>Qualified</t>
        </is>
      </c>
      <c r="K59" s="33" t="n">
        <v>80</v>
      </c>
      <c r="L59" s="29" t="inlineStr">
        <is>
          <t>4/5</t>
        </is>
      </c>
      <c r="M59" s="30" t="inlineStr">
        <is>
          <t>Qualified (WA: +2.20%) — YTD✔ 1Y✘ 3Y✔ 5Y✔ 10Y✔</t>
        </is>
      </c>
      <c r="N59" s="34" t="n">
        <v>2.2</v>
      </c>
      <c r="O59" s="34" t="n">
        <v>8.539999999999999</v>
      </c>
      <c r="P59" s="34" t="n">
        <v>8.08</v>
      </c>
      <c r="Q59" s="34" t="n">
        <v>0.46</v>
      </c>
      <c r="R59" s="34" t="n">
        <v>25.81</v>
      </c>
      <c r="S59" s="34" t="n">
        <v>26</v>
      </c>
      <c r="T59" s="34" t="n">
        <v>-0.19</v>
      </c>
      <c r="U59" s="34" t="n">
        <v>15.72</v>
      </c>
      <c r="V59" s="34" t="n">
        <v>11.88</v>
      </c>
      <c r="W59" s="34" t="n">
        <v>3.84</v>
      </c>
      <c r="X59" s="34" t="n">
        <v>7.36</v>
      </c>
      <c r="Y59" s="34" t="n">
        <v>5.25</v>
      </c>
      <c r="Z59" s="34" t="n">
        <v>2.11</v>
      </c>
      <c r="AA59" s="34" t="n">
        <v>8.58</v>
      </c>
      <c r="AB59" s="34" t="n">
        <v>7.62</v>
      </c>
      <c r="AC59" s="34" t="n">
        <v>0.96</v>
      </c>
      <c r="AD59" s="34">
        <f>IF(OR(Q59="",BM59="",BM59=0),"",Q59/BM59)</f>
        <v/>
      </c>
      <c r="AE59" s="34">
        <f>IF(OR(T59="",BM59="",BM59=0),"",T59/BM59)</f>
        <v/>
      </c>
      <c r="AF59" s="34">
        <f>IF(OR(W59="",BM59="",BM59=0),"",W59/BM59)</f>
        <v/>
      </c>
      <c r="AG59" s="34">
        <f>IF(OR(Z59="",BM59="",BM59=0),"",Z59/BM59)</f>
        <v/>
      </c>
      <c r="AH59" s="34">
        <f>IF(OR(AC59="",BM59="",BM59=0),"",AC59/BM59)</f>
        <v/>
      </c>
      <c r="AI59" s="33" t="n">
        <v>1.1</v>
      </c>
      <c r="AJ59" s="33" t="n">
        <v>97.09999999999999</v>
      </c>
      <c r="AK59" s="33" t="n"/>
      <c r="AL59" s="33" t="n">
        <v>1.8</v>
      </c>
      <c r="AM59" s="33" t="n"/>
      <c r="AN59" s="33" t="n"/>
      <c r="AO59" s="33" t="n">
        <v>11.9</v>
      </c>
      <c r="AP59" s="33" t="n">
        <v>13.6</v>
      </c>
      <c r="AQ59" s="33" t="n">
        <v>28.5</v>
      </c>
      <c r="AR59" s="33" t="n"/>
      <c r="AS59" s="33" t="n">
        <v>7.5</v>
      </c>
      <c r="AT59" s="33" t="n"/>
      <c r="AU59" s="33" t="n">
        <v>19.8</v>
      </c>
      <c r="AV59" s="33" t="n"/>
      <c r="AW59" s="33" t="n"/>
      <c r="AX59" s="33" t="n"/>
      <c r="AY59" s="33" t="n"/>
      <c r="AZ59" s="33" t="n"/>
      <c r="BA59" s="33" t="n">
        <v>18.5</v>
      </c>
      <c r="BB59" s="33" t="n">
        <v>41.1</v>
      </c>
      <c r="BC59" s="33" t="n">
        <v>1.1</v>
      </c>
      <c r="BD59" s="33" t="n">
        <v>24.6</v>
      </c>
      <c r="BE59" s="33" t="n">
        <v>12.9</v>
      </c>
      <c r="BF59" s="33" t="n"/>
      <c r="BG59" s="33" t="n"/>
      <c r="BH59" s="33" t="n"/>
      <c r="BI59" s="33" t="n"/>
      <c r="BJ59" s="33" t="n"/>
      <c r="BK59" s="33" t="n"/>
      <c r="BL59" s="30" t="inlineStr">
        <is>
          <t>Taiwan Semiconductor Manufacturing Company Limited | Samsung Electronics Company Limited | Alibaba Group Holding Limited - W | Tencent Holdings Limited | HD Hyundai Electric Company Limited</t>
        </is>
      </c>
      <c r="BM59" s="33" t="n">
        <v>16.6</v>
      </c>
      <c r="BN59" s="29" t="inlineStr">
        <is>
          <t>Very High</t>
        </is>
      </c>
      <c r="BO59" s="30" t="inlineStr">
        <is>
          <t>Equity Global Asia</t>
        </is>
      </c>
      <c r="BP59" s="30" t="inlineStr">
        <is>
          <t>ThebenchmarkforPBEPEFisacompositeof50%MSCIACFar-EastEx-Japan Index(priorto30April2021),50%S&amp;PPanAsiaEx-Japan,Australia,NewZealand &amp;IndiaLargeCapIndex(30April2021to1January2025),50%S&amp;PPanAsiaEx- Japan, Australia, New Zealand &amp; India LargeCap 8% Capped Index (w.e.f. 2 January 2025), 40% STOXX Europe 50 Index and 10% Tokyo Stock Price Index. UnderlyingindexdataaresourcedfromS&amp;PDowJonesIndices,LLCandLipper and expressed in Ringgit terms.</t>
        </is>
      </c>
      <c r="BQ59" s="35" t="n">
        <v>0.4973</v>
      </c>
      <c r="BR59" s="29" t="inlineStr">
        <is>
          <t>2026-06-04</t>
        </is>
      </c>
      <c r="BS59" s="35" t="n">
        <v>0.4921</v>
      </c>
      <c r="BT59" s="34" t="n">
        <v>-1.05</v>
      </c>
      <c r="BU59" s="31" t="n">
        <v>11</v>
      </c>
    </row>
    <row r="60" ht="16" customHeight="1">
      <c r="A60" s="22" t="inlineStr">
        <is>
          <t>PUBLIC EQUITY FUND</t>
        </is>
      </c>
      <c r="B60" s="22" t="inlineStr">
        <is>
          <t>PEF</t>
        </is>
      </c>
      <c r="C60" s="22" t="inlineStr">
        <is>
          <t>Conventional</t>
        </is>
      </c>
      <c r="D60" s="22" t="inlineStr">
        <is>
          <t>Equity</t>
        </is>
      </c>
      <c r="E60" s="23" t="inlineStr">
        <is>
          <t>Capital Growth</t>
        </is>
      </c>
      <c r="F60" s="24" t="n">
        <v>4</v>
      </c>
      <c r="G60" s="23" t="inlineStr">
        <is>
          <t>Incidental</t>
        </is>
      </c>
      <c r="H60" s="25" t="n">
        <v>458.18</v>
      </c>
      <c r="I60" s="22" t="inlineStr">
        <is>
          <t>15.08.2001</t>
        </is>
      </c>
      <c r="J60" s="22" t="inlineStr">
        <is>
          <t>Qualified</t>
        </is>
      </c>
      <c r="K60" s="26" t="n">
        <v>80</v>
      </c>
      <c r="L60" s="22" t="inlineStr">
        <is>
          <t>4/5</t>
        </is>
      </c>
      <c r="M60" s="23" t="inlineStr">
        <is>
          <t>Qualified (WA: +1.87%) — YTD✘ 1Y✔ 3Y✔ 5Y✔ 10Y✔</t>
        </is>
      </c>
      <c r="N60" s="27" t="n">
        <v>1.87</v>
      </c>
      <c r="O60" s="27" t="n">
        <v>1.7</v>
      </c>
      <c r="P60" s="27" t="n">
        <v>2.49</v>
      </c>
      <c r="Q60" s="27" t="n">
        <v>-0.79</v>
      </c>
      <c r="R60" s="27" t="n">
        <v>12.54</v>
      </c>
      <c r="S60" s="27" t="n">
        <v>11.8</v>
      </c>
      <c r="T60" s="27" t="n">
        <v>0.74</v>
      </c>
      <c r="U60" s="27" t="n">
        <v>9.44</v>
      </c>
      <c r="V60" s="27" t="n">
        <v>6.72</v>
      </c>
      <c r="W60" s="27" t="n">
        <v>2.72</v>
      </c>
      <c r="X60" s="27" t="n">
        <v>3</v>
      </c>
      <c r="Y60" s="27" t="n">
        <v>1.46</v>
      </c>
      <c r="Z60" s="27" t="n">
        <v>1.54</v>
      </c>
      <c r="AA60" s="27" t="n">
        <v>2.48</v>
      </c>
      <c r="AB60" s="27" t="n">
        <v>0.29</v>
      </c>
      <c r="AC60" s="27" t="n">
        <v>2.19</v>
      </c>
      <c r="AD60" s="27">
        <f>IF(OR(Q60="",BM60="",BM60=0),"",Q60/BM60)</f>
        <v/>
      </c>
      <c r="AE60" s="27">
        <f>IF(OR(T60="",BM60="",BM60=0),"",T60/BM60)</f>
        <v/>
      </c>
      <c r="AF60" s="27">
        <f>IF(OR(W60="",BM60="",BM60=0),"",W60/BM60)</f>
        <v/>
      </c>
      <c r="AG60" s="27">
        <f>IF(OR(Z60="",BM60="",BM60=0),"",Z60/BM60)</f>
        <v/>
      </c>
      <c r="AH60" s="27">
        <f>IF(OR(AC60="",BM60="",BM60=0),"",AC60/BM60)</f>
        <v/>
      </c>
      <c r="AI60" s="26" t="n">
        <v>68.3</v>
      </c>
      <c r="AJ60" s="26" t="n">
        <v>26.8</v>
      </c>
      <c r="AK60" s="26" t="n"/>
      <c r="AL60" s="26" t="n">
        <v>4.9</v>
      </c>
      <c r="AM60" s="26" t="n"/>
      <c r="AN60" s="26" t="n"/>
      <c r="AO60" s="26" t="n">
        <v>21</v>
      </c>
      <c r="AP60" s="26" t="n"/>
      <c r="AQ60" s="26" t="n"/>
      <c r="AR60" s="26" t="n"/>
      <c r="AS60" s="26" t="n">
        <v>2.1</v>
      </c>
      <c r="AT60" s="26" t="n"/>
      <c r="AU60" s="26" t="n">
        <v>3.7</v>
      </c>
      <c r="AV60" s="26" t="n"/>
      <c r="AW60" s="26" t="n"/>
      <c r="AX60" s="26" t="n"/>
      <c r="AY60" s="26" t="n"/>
      <c r="AZ60" s="26" t="n"/>
      <c r="BA60" s="26" t="n"/>
      <c r="BB60" s="26" t="n">
        <v>8.4</v>
      </c>
      <c r="BC60" s="26" t="n">
        <v>35.9</v>
      </c>
      <c r="BD60" s="26" t="n">
        <v>25.7</v>
      </c>
      <c r="BE60" s="26" t="n"/>
      <c r="BF60" s="26" t="n"/>
      <c r="BG60" s="26" t="n">
        <v>10.1</v>
      </c>
      <c r="BH60" s="26" t="n"/>
      <c r="BI60" s="26" t="n">
        <v>5.1</v>
      </c>
      <c r="BJ60" s="26" t="n"/>
      <c r="BK60" s="26" t="n"/>
      <c r="BL60" s="23" t="inlineStr">
        <is>
          <t>Tenaga Nasional Berhad | Public Bank Berhad | Malayan Banking Berhad | LPI Capital Berhad | NVIDIA Corporation</t>
        </is>
      </c>
      <c r="BM60" s="26" t="n">
        <v>6.7</v>
      </c>
      <c r="BN60" s="22" t="inlineStr">
        <is>
          <t>Low</t>
        </is>
      </c>
      <c r="BO60" s="23" t="inlineStr">
        <is>
          <t>Equity Malaysia Domestic 30% of the fund’s NAV</t>
        </is>
      </c>
      <c r="BP60" s="23" t="inlineStr">
        <is>
          <t>Note: Distribution yield simply measures the level of distributions and is Kuala Lumpur Composite Index (prior to 6 July 2009). not a measure of fund performance. FTSE Bursa Malaysia KLCI (w.e.f. 6 July 2009).</t>
        </is>
      </c>
      <c r="BQ60" s="28" t="n">
        <v>0.4767</v>
      </c>
      <c r="BR60" s="22" t="inlineStr">
        <is>
          <t>2007-10-31</t>
        </is>
      </c>
      <c r="BS60" s="28" t="n">
        <v>0.2639</v>
      </c>
      <c r="BT60" s="27" t="n">
        <v>-44.64</v>
      </c>
      <c r="BU60" s="24" t="n">
        <v>6802</v>
      </c>
    </row>
    <row r="61" ht="16" customHeight="1">
      <c r="A61" s="29" t="inlineStr">
        <is>
          <t>PB ISLAMIC EQUITY FUND</t>
        </is>
      </c>
      <c r="B61" s="29" t="inlineStr">
        <is>
          <t>PBIEF</t>
        </is>
      </c>
      <c r="C61" s="29" t="inlineStr">
        <is>
          <t>Conventional</t>
        </is>
      </c>
      <c r="D61" s="29" t="inlineStr">
        <is>
          <t>Equity</t>
        </is>
      </c>
      <c r="E61" s="30" t="inlineStr">
        <is>
          <t>Capital Growth</t>
        </is>
      </c>
      <c r="F61" s="31" t="n">
        <v>4</v>
      </c>
      <c r="G61" s="30" t="inlineStr">
        <is>
          <t>Incidental</t>
        </is>
      </c>
      <c r="H61" s="32" t="n">
        <v>214.41</v>
      </c>
      <c r="I61" s="29" t="inlineStr">
        <is>
          <t>05.09.2005</t>
        </is>
      </c>
      <c r="J61" s="29" t="inlineStr">
        <is>
          <t>Qualified</t>
        </is>
      </c>
      <c r="K61" s="33" t="n">
        <v>100</v>
      </c>
      <c r="L61" s="29" t="inlineStr">
        <is>
          <t>5/5</t>
        </is>
      </c>
      <c r="M61" s="30" t="inlineStr">
        <is>
          <t>Qualified (WA: +1.74%) — YTD✔ 1Y✔ 3Y✔ 5Y✔ 10Y✔</t>
        </is>
      </c>
      <c r="N61" s="34" t="n">
        <v>1.74</v>
      </c>
      <c r="O61" s="34" t="n">
        <v>5.41</v>
      </c>
      <c r="P61" s="34" t="n">
        <v>5.14</v>
      </c>
      <c r="Q61" s="34" t="n">
        <v>0.27</v>
      </c>
      <c r="R61" s="34" t="n">
        <v>14.25</v>
      </c>
      <c r="S61" s="34" t="n">
        <v>12.81</v>
      </c>
      <c r="T61" s="34" t="n">
        <v>1.44</v>
      </c>
      <c r="U61" s="34" t="n">
        <v>6.91</v>
      </c>
      <c r="V61" s="34" t="n">
        <v>5.79</v>
      </c>
      <c r="W61" s="34" t="n">
        <v>1.12</v>
      </c>
      <c r="X61" s="34" t="n">
        <v>1.8</v>
      </c>
      <c r="Y61" s="34" t="n">
        <v>-0.85</v>
      </c>
      <c r="Z61" s="34" t="n">
        <v>2.65</v>
      </c>
      <c r="AA61" s="34" t="n">
        <v>3.07</v>
      </c>
      <c r="AB61" s="34" t="n">
        <v>0.41</v>
      </c>
      <c r="AC61" s="34" t="n">
        <v>2.66</v>
      </c>
      <c r="AD61" s="34">
        <f>IF(OR(Q61="",BM61="",BM61=0),"",Q61/BM61)</f>
        <v/>
      </c>
      <c r="AE61" s="34">
        <f>IF(OR(T61="",BM61="",BM61=0),"",T61/BM61)</f>
        <v/>
      </c>
      <c r="AF61" s="34">
        <f>IF(OR(W61="",BM61="",BM61=0),"",W61/BM61)</f>
        <v/>
      </c>
      <c r="AG61" s="34">
        <f>IF(OR(Z61="",BM61="",BM61=0),"",Z61/BM61)</f>
        <v/>
      </c>
      <c r="AH61" s="34">
        <f>IF(OR(AC61="",BM61="",BM61=0),"",AC61/BM61)</f>
        <v/>
      </c>
      <c r="AI61" s="33" t="n">
        <v>70</v>
      </c>
      <c r="AJ61" s="33" t="n">
        <v>23.3</v>
      </c>
      <c r="AK61" s="33" t="n"/>
      <c r="AL61" s="33" t="n">
        <v>6.7</v>
      </c>
      <c r="AM61" s="33" t="n"/>
      <c r="AN61" s="33" t="n"/>
      <c r="AO61" s="33" t="n">
        <v>11.4</v>
      </c>
      <c r="AP61" s="33" t="n">
        <v>7.7</v>
      </c>
      <c r="AQ61" s="33" t="n"/>
      <c r="AR61" s="33" t="n"/>
      <c r="AS61" s="33" t="n"/>
      <c r="AT61" s="33" t="n"/>
      <c r="AU61" s="33" t="n">
        <v>4.2</v>
      </c>
      <c r="AV61" s="33" t="n"/>
      <c r="AW61" s="33" t="n"/>
      <c r="AX61" s="33" t="n"/>
      <c r="AY61" s="33" t="n"/>
      <c r="AZ61" s="33" t="n"/>
      <c r="BA61" s="33" t="n">
        <v>19.8</v>
      </c>
      <c r="BB61" s="33" t="n">
        <v>13.4</v>
      </c>
      <c r="BC61" s="33" t="n"/>
      <c r="BD61" s="33" t="n">
        <v>15.2</v>
      </c>
      <c r="BE61" s="33" t="n"/>
      <c r="BF61" s="33" t="n">
        <v>13.8</v>
      </c>
      <c r="BG61" s="33" t="n">
        <v>9.5</v>
      </c>
      <c r="BH61" s="33" t="n"/>
      <c r="BI61" s="33" t="n"/>
      <c r="BJ61" s="33" t="n"/>
      <c r="BK61" s="33" t="n"/>
      <c r="BL61" s="30" t="inlineStr">
        <is>
          <t>Tenaga Nasional Berhad | Press Metal Aluminium Holdings Berhad | Taiwan Semiconductor Manufacturing Company Limited | HEICO Corporation | Broadcom Incorporated</t>
        </is>
      </c>
      <c r="BM61" s="33" t="n">
        <v>8.199999999999999</v>
      </c>
      <c r="BN61" s="29" t="inlineStr">
        <is>
          <t>Moderate</t>
        </is>
      </c>
      <c r="BO61" s="30" t="inlineStr">
        <is>
          <t>Equity Malaysia</t>
        </is>
      </c>
      <c r="BP61" s="30" t="n"/>
      <c r="BQ61" s="35" t="n">
        <v>0.393</v>
      </c>
      <c r="BR61" s="29" t="inlineStr">
        <is>
          <t>2007-07-24</t>
        </is>
      </c>
      <c r="BS61" s="35" t="n">
        <v>0.316</v>
      </c>
      <c r="BT61" s="34" t="n">
        <v>-19.59</v>
      </c>
      <c r="BU61" s="31" t="n">
        <v>6901</v>
      </c>
    </row>
    <row r="62" ht="16" customHeight="1">
      <c r="A62" s="22" t="inlineStr">
        <is>
          <t>PUBLIC REGULARSAVINGS FUND</t>
        </is>
      </c>
      <c r="B62" s="22" t="inlineStr">
        <is>
          <t>PRSF</t>
        </is>
      </c>
      <c r="C62" s="22" t="inlineStr">
        <is>
          <t>Conventional</t>
        </is>
      </c>
      <c r="D62" s="22" t="inlineStr">
        <is>
          <t>Equity</t>
        </is>
      </c>
      <c r="E62" s="23" t="inlineStr">
        <is>
          <t>Capital Growth + Income</t>
        </is>
      </c>
      <c r="F62" s="24" t="n">
        <v>4</v>
      </c>
      <c r="G62" s="23" t="inlineStr">
        <is>
          <t>Annual</t>
        </is>
      </c>
      <c r="H62" s="25" t="n">
        <v>3570.49</v>
      </c>
      <c r="I62" s="22" t="inlineStr">
        <is>
          <t>25.04.1994</t>
        </is>
      </c>
      <c r="J62" s="22" t="inlineStr">
        <is>
          <t>Qualified</t>
        </is>
      </c>
      <c r="K62" s="26" t="n">
        <v>60</v>
      </c>
      <c r="L62" s="22" t="inlineStr">
        <is>
          <t>3/5</t>
        </is>
      </c>
      <c r="M62" s="23" t="inlineStr">
        <is>
          <t>Qualified (WA: +1.73%) — YTD✘ 1Y✘ 3Y✔ 5Y✔ 10Y✔</t>
        </is>
      </c>
      <c r="N62" s="27" t="n">
        <v>1.73</v>
      </c>
      <c r="O62" s="27" t="n">
        <v>1.89</v>
      </c>
      <c r="P62" s="27" t="n">
        <v>3.49</v>
      </c>
      <c r="Q62" s="27" t="n">
        <v>-1.6</v>
      </c>
      <c r="R62" s="27" t="n">
        <v>8.48</v>
      </c>
      <c r="S62" s="27" t="n">
        <v>11.41</v>
      </c>
      <c r="T62" s="27" t="n">
        <v>-2.93</v>
      </c>
      <c r="U62" s="27" t="n">
        <v>10.01</v>
      </c>
      <c r="V62" s="27" t="n">
        <v>7.22</v>
      </c>
      <c r="W62" s="27" t="n">
        <v>2.79</v>
      </c>
      <c r="X62" s="27" t="n">
        <v>4.66</v>
      </c>
      <c r="Y62" s="27" t="n">
        <v>2.04</v>
      </c>
      <c r="Z62" s="27" t="n">
        <v>2.62</v>
      </c>
      <c r="AA62" s="27" t="n">
        <v>4.51</v>
      </c>
      <c r="AB62" s="27" t="n">
        <v>1.3</v>
      </c>
      <c r="AC62" s="27" t="n">
        <v>3.21</v>
      </c>
      <c r="AD62" s="27">
        <f>IF(OR(Q62="",BM62="",BM62=0),"",Q62/BM62)</f>
        <v/>
      </c>
      <c r="AE62" s="27">
        <f>IF(OR(T62="",BM62="",BM62=0),"",T62/BM62)</f>
        <v/>
      </c>
      <c r="AF62" s="27">
        <f>IF(OR(W62="",BM62="",BM62=0),"",W62/BM62)</f>
        <v/>
      </c>
      <c r="AG62" s="27">
        <f>IF(OR(Z62="",BM62="",BM62=0),"",Z62/BM62)</f>
        <v/>
      </c>
      <c r="AH62" s="27">
        <f>IF(OR(AC62="",BM62="",BM62=0),"",AC62/BM62)</f>
        <v/>
      </c>
      <c r="AI62" s="26" t="n">
        <v>75.8</v>
      </c>
      <c r="AJ62" s="26" t="n">
        <v>21.2</v>
      </c>
      <c r="AK62" s="26" t="n"/>
      <c r="AL62" s="26" t="n">
        <v>3</v>
      </c>
      <c r="AM62" s="26" t="n"/>
      <c r="AN62" s="26" t="n"/>
      <c r="AO62" s="26" t="n">
        <v>16.4</v>
      </c>
      <c r="AP62" s="26" t="n"/>
      <c r="AQ62" s="26" t="n"/>
      <c r="AR62" s="26" t="n"/>
      <c r="AS62" s="26" t="n">
        <v>4.8</v>
      </c>
      <c r="AT62" s="26" t="n"/>
      <c r="AU62" s="26" t="n"/>
      <c r="AV62" s="26" t="n"/>
      <c r="AW62" s="26" t="n"/>
      <c r="AX62" s="26" t="n"/>
      <c r="AY62" s="26" t="n"/>
      <c r="AZ62" s="26" t="n"/>
      <c r="BA62" s="26" t="n"/>
      <c r="BB62" s="26" t="n"/>
      <c r="BC62" s="26" t="n">
        <v>41</v>
      </c>
      <c r="BD62" s="26" t="n">
        <v>11.5</v>
      </c>
      <c r="BE62" s="26" t="n">
        <v>15.3</v>
      </c>
      <c r="BF62" s="26" t="n">
        <v>7.1</v>
      </c>
      <c r="BG62" s="26" t="n">
        <v>10.1</v>
      </c>
      <c r="BH62" s="26" t="n"/>
      <c r="BI62" s="26" t="n"/>
      <c r="BJ62" s="26" t="n"/>
      <c r="BK62" s="26" t="n"/>
      <c r="BL62" s="23" t="inlineStr">
        <is>
          <t>Public Bank Berhad | Malayan Banking Berhad | Tenaga Nasional Berhad | CIMB Group Holdings Berhad | Gamuda Berhad</t>
        </is>
      </c>
      <c r="BM62" s="26" t="n">
        <v>6.1</v>
      </c>
      <c r="BN62" s="22" t="inlineStr">
        <is>
          <t>Low</t>
        </is>
      </c>
      <c r="BO62" s="23" t="inlineStr">
        <is>
          <t>Equity Malaysia Domestic 25% of the fund’s NAV</t>
        </is>
      </c>
      <c r="BP62" s="23" t="inlineStr">
        <is>
          <t>2026 1.82 31.3.26 2.8 Kuala Lumpur Composite Index (prior to 6 July 2009). Note: Distribution yield simply measures the level of distributions and is FTSE BursaMalaysiaTop100Index(6July2009to29April2015),90%FTSE not a measure of fund performance. BursaMalaysiaTop100Indexand10%3-MonthKualaLumpurInterbankOffered Rate (KLIBOR) (w.e.f. 30 April 2015). Underlying index data are sourced from Lipper and Bank Negara Malaysia.</t>
        </is>
      </c>
      <c r="BQ62" s="28" t="n">
        <v>1.09</v>
      </c>
      <c r="BR62" s="22" t="inlineStr">
        <is>
          <t>2000-02-17</t>
        </is>
      </c>
      <c r="BS62" s="28" t="n">
        <v>0.65</v>
      </c>
      <c r="BT62" s="27" t="n">
        <v>-40.37</v>
      </c>
      <c r="BU62" s="24" t="n">
        <v>9615</v>
      </c>
    </row>
    <row r="63" ht="16" customHeight="1">
      <c r="A63" s="29" t="inlineStr">
        <is>
          <t>PB SUSTAINABLE GROWTH FUND</t>
        </is>
      </c>
      <c r="B63" s="29" t="inlineStr">
        <is>
          <t>PBSTGRF</t>
        </is>
      </c>
      <c r="C63" s="29" t="inlineStr">
        <is>
          <t>Conventional</t>
        </is>
      </c>
      <c r="D63" s="29" t="inlineStr">
        <is>
          <t>Equity</t>
        </is>
      </c>
      <c r="E63" s="30" t="inlineStr">
        <is>
          <t>Capital Growth</t>
        </is>
      </c>
      <c r="F63" s="31" t="n">
        <v>4</v>
      </c>
      <c r="G63" s="30" t="inlineStr">
        <is>
          <t>Incidental</t>
        </is>
      </c>
      <c r="H63" s="32" t="n">
        <v>278.08</v>
      </c>
      <c r="I63" s="29" t="inlineStr">
        <is>
          <t>05.09.2023</t>
        </is>
      </c>
      <c r="J63" s="29" t="inlineStr">
        <is>
          <t>Qualified</t>
        </is>
      </c>
      <c r="K63" s="33" t="n">
        <v>100</v>
      </c>
      <c r="L63" s="29" t="inlineStr">
        <is>
          <t>2/2</t>
        </is>
      </c>
      <c r="M63" s="30" t="inlineStr">
        <is>
          <t>Qualified (WA: +1.72%) — YTD✔ 1Y✔</t>
        </is>
      </c>
      <c r="N63" s="34" t="n">
        <v>1.72</v>
      </c>
      <c r="O63" s="34" t="n">
        <v>4.02</v>
      </c>
      <c r="P63" s="34" t="n">
        <v>3.73</v>
      </c>
      <c r="Q63" s="34" t="n">
        <v>0.29</v>
      </c>
      <c r="R63" s="34" t="n">
        <v>13.81</v>
      </c>
      <c r="S63" s="34" t="n">
        <v>11.62</v>
      </c>
      <c r="T63" s="34" t="n">
        <v>2.19</v>
      </c>
      <c r="U63" s="34" t="n"/>
      <c r="V63" s="34" t="n"/>
      <c r="W63" s="34" t="n"/>
      <c r="X63" s="34" t="n"/>
      <c r="Y63" s="34" t="n"/>
      <c r="Z63" s="34" t="n"/>
      <c r="AA63" s="34" t="n"/>
      <c r="AB63" s="34" t="n"/>
      <c r="AC63" s="34" t="n"/>
      <c r="AD63" s="34">
        <f>IF(OR(Q63="",BM63="",BM63=0),"",Q63/BM63)</f>
        <v/>
      </c>
      <c r="AE63" s="34">
        <f>IF(OR(T63="",BM63="",BM63=0),"",T63/BM63)</f>
        <v/>
      </c>
      <c r="AF63" s="34">
        <f>IF(OR(W63="",BM63="",BM63=0),"",W63/BM63)</f>
        <v/>
      </c>
      <c r="AG63" s="34">
        <f>IF(OR(Z63="",BM63="",BM63=0),"",Z63/BM63)</f>
        <v/>
      </c>
      <c r="AH63" s="34">
        <f>IF(OR(AC63="",BM63="",BM63=0),"",AC63/BM63)</f>
        <v/>
      </c>
      <c r="AI63" s="33" t="n">
        <v>67.40000000000001</v>
      </c>
      <c r="AJ63" s="33" t="n">
        <v>29.8</v>
      </c>
      <c r="AK63" s="33" t="n"/>
      <c r="AL63" s="33" t="n">
        <v>2.8</v>
      </c>
      <c r="AM63" s="33" t="n"/>
      <c r="AN63" s="33" t="n"/>
      <c r="AO63" s="33" t="n">
        <v>15.7</v>
      </c>
      <c r="AP63" s="33" t="n">
        <v>11.2</v>
      </c>
      <c r="AQ63" s="33" t="n"/>
      <c r="AR63" s="33" t="n"/>
      <c r="AS63" s="33" t="n"/>
      <c r="AT63" s="33" t="n"/>
      <c r="AU63" s="33" t="n">
        <v>2.9</v>
      </c>
      <c r="AV63" s="33" t="n"/>
      <c r="AW63" s="33" t="n"/>
      <c r="AX63" s="33" t="n"/>
      <c r="AY63" s="33" t="n"/>
      <c r="AZ63" s="33" t="n"/>
      <c r="BA63" s="33" t="n"/>
      <c r="BB63" s="33" t="n">
        <v>15</v>
      </c>
      <c r="BC63" s="33" t="n">
        <v>30.7</v>
      </c>
      <c r="BD63" s="33" t="n">
        <v>20</v>
      </c>
      <c r="BE63" s="33" t="n"/>
      <c r="BF63" s="33" t="n">
        <v>8.699999999999999</v>
      </c>
      <c r="BG63" s="33" t="n">
        <v>10.1</v>
      </c>
      <c r="BH63" s="33" t="n"/>
      <c r="BI63" s="33" t="n"/>
      <c r="BJ63" s="33" t="n"/>
      <c r="BK63" s="33" t="n"/>
      <c r="BL63" s="30" t="inlineStr">
        <is>
          <t>Taiwan Semiconductor Manufacturing Company Limited | Malayan Banking Berhad | Tenaga Nasional Berhad | Public Bank Berhad | Sunway Berhad</t>
        </is>
      </c>
      <c r="BM63" s="33" t="n"/>
      <c r="BN63" s="29" t="n"/>
      <c r="BO63" s="30" t="inlineStr">
        <is>
          <t>Equity Malaysia</t>
        </is>
      </c>
      <c r="BP63" s="30" t="inlineStr">
        <is>
          <t>Index data are sourced from Lipper.</t>
        </is>
      </c>
      <c r="BQ63" s="35" t="n">
        <v>0.3135</v>
      </c>
      <c r="BR63" s="29" t="inlineStr">
        <is>
          <t>2026-05-14</t>
        </is>
      </c>
      <c r="BS63" s="35" t="n">
        <v>0.3056</v>
      </c>
      <c r="BT63" s="34" t="n">
        <v>-2.52</v>
      </c>
      <c r="BU63" s="31" t="n">
        <v>32</v>
      </c>
    </row>
    <row r="64" ht="16" customHeight="1">
      <c r="A64" s="22" t="inlineStr">
        <is>
          <t>PB SINGAPORE ADVANTAGE-30 EQUITY FUND</t>
        </is>
      </c>
      <c r="B64" s="22" t="inlineStr">
        <is>
          <t>PBSGA30EF</t>
        </is>
      </c>
      <c r="C64" s="22" t="inlineStr">
        <is>
          <t>Conventional</t>
        </is>
      </c>
      <c r="D64" s="22" t="inlineStr">
        <is>
          <t>Equity</t>
        </is>
      </c>
      <c r="E64" s="23" t="inlineStr">
        <is>
          <t>Capital Growth</t>
        </is>
      </c>
      <c r="F64" s="24" t="n">
        <v>5</v>
      </c>
      <c r="G64" s="23" t="inlineStr">
        <is>
          <t>Incidental</t>
        </is>
      </c>
      <c r="H64" s="25" t="n">
        <v>132.69</v>
      </c>
      <c r="I64" s="22" t="inlineStr">
        <is>
          <t>11.05.2010</t>
        </is>
      </c>
      <c r="J64" s="22" t="inlineStr">
        <is>
          <t>Qualified</t>
        </is>
      </c>
      <c r="K64" s="26" t="n">
        <v>60</v>
      </c>
      <c r="L64" s="22" t="inlineStr">
        <is>
          <t>3/5</t>
        </is>
      </c>
      <c r="M64" s="23" t="inlineStr">
        <is>
          <t>Qualified (WA: +1.69%) — YTD✔ 1Y✔ 3Y✘ 5Y✘ 10Y✔</t>
        </is>
      </c>
      <c r="N64" s="27" t="n">
        <v>1.69</v>
      </c>
      <c r="O64" s="27" t="n">
        <v>5.71</v>
      </c>
      <c r="P64" s="27" t="n">
        <v>-0.76</v>
      </c>
      <c r="Q64" s="27" t="n">
        <v>6.47</v>
      </c>
      <c r="R64" s="27" t="n">
        <v>21.1</v>
      </c>
      <c r="S64" s="27" t="n">
        <v>8.17</v>
      </c>
      <c r="T64" s="27" t="n">
        <v>12.93</v>
      </c>
      <c r="U64" s="27" t="n">
        <v>9.32</v>
      </c>
      <c r="V64" s="27" t="n">
        <v>10.82</v>
      </c>
      <c r="W64" s="27" t="n">
        <v>-1.5</v>
      </c>
      <c r="X64" s="27" t="n">
        <v>7.1</v>
      </c>
      <c r="Y64" s="27" t="n">
        <v>7.37</v>
      </c>
      <c r="Z64" s="27" t="n">
        <v>-0.27</v>
      </c>
      <c r="AA64" s="27" t="n">
        <v>6.2</v>
      </c>
      <c r="AB64" s="27" t="n">
        <v>5.55</v>
      </c>
      <c r="AC64" s="27" t="n">
        <v>0.65</v>
      </c>
      <c r="AD64" s="27">
        <f>IF(OR(Q64="",BM64="",BM64=0),"",Q64/BM64)</f>
        <v/>
      </c>
      <c r="AE64" s="27">
        <f>IF(OR(T64="",BM64="",BM64=0),"",T64/BM64)</f>
        <v/>
      </c>
      <c r="AF64" s="27">
        <f>IF(OR(W64="",BM64="",BM64=0),"",W64/BM64)</f>
        <v/>
      </c>
      <c r="AG64" s="27">
        <f>IF(OR(Z64="",BM64="",BM64=0),"",Z64/BM64)</f>
        <v/>
      </c>
      <c r="AH64" s="27">
        <f>IF(OR(AC64="",BM64="",BM64=0),"",AC64/BM64)</f>
        <v/>
      </c>
      <c r="AI64" s="26" t="n"/>
      <c r="AJ64" s="26" t="n">
        <v>94.59999999999999</v>
      </c>
      <c r="AK64" s="26" t="n"/>
      <c r="AL64" s="26" t="n">
        <v>5.4</v>
      </c>
      <c r="AM64" s="26" t="n"/>
      <c r="AN64" s="26" t="n"/>
      <c r="AO64" s="26" t="n">
        <v>12.7</v>
      </c>
      <c r="AP64" s="26" t="n">
        <v>4.4</v>
      </c>
      <c r="AQ64" s="26" t="n"/>
      <c r="AR64" s="26" t="n"/>
      <c r="AS64" s="26" t="n"/>
      <c r="AT64" s="26" t="n"/>
      <c r="AU64" s="26" t="n">
        <v>2.9</v>
      </c>
      <c r="AV64" s="26" t="n">
        <v>74.59999999999999</v>
      </c>
      <c r="AW64" s="26" t="n"/>
      <c r="AX64" s="26" t="n"/>
      <c r="AY64" s="26" t="n"/>
      <c r="AZ64" s="26" t="n"/>
      <c r="BA64" s="26" t="n">
        <v>22.5</v>
      </c>
      <c r="BB64" s="26" t="n">
        <v>17.2</v>
      </c>
      <c r="BC64" s="26" t="n">
        <v>36.1</v>
      </c>
      <c r="BD64" s="26" t="n">
        <v>17</v>
      </c>
      <c r="BE64" s="26" t="n">
        <v>1.8</v>
      </c>
      <c r="BF64" s="26" t="n"/>
      <c r="BG64" s="26" t="n"/>
      <c r="BH64" s="26" t="n"/>
      <c r="BI64" s="26" t="n"/>
      <c r="BJ64" s="26" t="n"/>
      <c r="BK64" s="26" t="n"/>
      <c r="BL64" s="23" t="inlineStr">
        <is>
          <t>DBS Group Holdings Limited | Oversea-Chinese Banking Corporation Limited | United Overseas Bank Limited | Broadcom Incorporated | Flex Limited</t>
        </is>
      </c>
      <c r="BM64" s="26" t="n">
        <v>9.300000000000001</v>
      </c>
      <c r="BN64" s="22" t="inlineStr">
        <is>
          <t>Moderate</t>
        </is>
      </c>
      <c r="BO64" s="23" t="inlineStr">
        <is>
          <t>Equity Singapore ASEAN</t>
        </is>
      </c>
      <c r="BP64" s="23" t="inlineStr">
        <is>
          <t>2020 1.25 30.06.20 5.4 ThebenchmarkforPBSGA30EFistheStraitsTimesIndex(priorto30April2016), MSCI Singapore Index (30 April 2016 to 29 April 2021), S&amp;P Singapore 2021 1.50 30.06.21 6.0 LargeMidCap 10% Capped Index (w.e.f. 30 April 2021). 2022 0.80 30.06.22 3.4 UnderlyingindexdataaresourcedfromS&amp;PDowJonesIndices,LLCandLipper 2023 1.00 30.06.23 4.0 and expressed in Ringgit terms. Note: Distribution yield simply measures the level of distributions and is not a</t>
        </is>
      </c>
      <c r="BQ64" s="28" t="n">
        <v>0.3721</v>
      </c>
      <c r="BR64" s="22" t="inlineStr">
        <is>
          <t>2026-06-03</t>
        </is>
      </c>
      <c r="BS64" s="28" t="n">
        <v>0.3542</v>
      </c>
      <c r="BT64" s="27" t="n">
        <v>-4.81</v>
      </c>
      <c r="BU64" s="24" t="n">
        <v>12</v>
      </c>
    </row>
    <row r="65" ht="16" customHeight="1">
      <c r="A65" s="29" t="inlineStr">
        <is>
          <t>PUBLIC OPTIMAL GROWTH FUND</t>
        </is>
      </c>
      <c r="B65" s="29" t="inlineStr">
        <is>
          <t>POGF</t>
        </is>
      </c>
      <c r="C65" s="29" t="inlineStr">
        <is>
          <t>Conventional</t>
        </is>
      </c>
      <c r="D65" s="29" t="inlineStr">
        <is>
          <t>Equity</t>
        </is>
      </c>
      <c r="E65" s="30" t="inlineStr">
        <is>
          <t>Capital Growth + Income</t>
        </is>
      </c>
      <c r="F65" s="31" t="n">
        <v>4</v>
      </c>
      <c r="G65" s="30" t="inlineStr">
        <is>
          <t>Annual</t>
        </is>
      </c>
      <c r="H65" s="32" t="n">
        <v>211.85</v>
      </c>
      <c r="I65" s="29" t="inlineStr">
        <is>
          <t>08.06.2010</t>
        </is>
      </c>
      <c r="J65" s="29" t="inlineStr">
        <is>
          <t>Qualified</t>
        </is>
      </c>
      <c r="K65" s="33" t="n">
        <v>60</v>
      </c>
      <c r="L65" s="29" t="inlineStr">
        <is>
          <t>3/5</t>
        </is>
      </c>
      <c r="M65" s="30" t="inlineStr">
        <is>
          <t>Qualified (WA: +1.55%) — YTD✘ 1Y✘ 3Y✔ 5Y✔ 10Y✔</t>
        </is>
      </c>
      <c r="N65" s="34" t="n">
        <v>1.55</v>
      </c>
      <c r="O65" s="34" t="n">
        <v>2.1</v>
      </c>
      <c r="P65" s="34" t="n">
        <v>3.75</v>
      </c>
      <c r="Q65" s="34" t="n">
        <v>-1.65</v>
      </c>
      <c r="R65" s="34" t="n">
        <v>12.23</v>
      </c>
      <c r="S65" s="34" t="n">
        <v>12.31</v>
      </c>
      <c r="T65" s="34" t="n">
        <v>-0.08</v>
      </c>
      <c r="U65" s="34" t="n">
        <v>9.380000000000001</v>
      </c>
      <c r="V65" s="34" t="n">
        <v>7.59</v>
      </c>
      <c r="W65" s="34" t="n">
        <v>1.79</v>
      </c>
      <c r="X65" s="34" t="n">
        <v>3.85</v>
      </c>
      <c r="Y65" s="34" t="n">
        <v>1.87</v>
      </c>
      <c r="Z65" s="34" t="n">
        <v>1.98</v>
      </c>
      <c r="AA65" s="34" t="n">
        <v>3.89</v>
      </c>
      <c r="AB65" s="34" t="n">
        <v>1.03</v>
      </c>
      <c r="AC65" s="34" t="n">
        <v>2.86</v>
      </c>
      <c r="AD65" s="34">
        <f>IF(OR(Q65="",BM65="",BM65=0),"",Q65/BM65)</f>
        <v/>
      </c>
      <c r="AE65" s="34">
        <f>IF(OR(T65="",BM65="",BM65=0),"",T65/BM65)</f>
        <v/>
      </c>
      <c r="AF65" s="34">
        <f>IF(OR(W65="",BM65="",BM65=0),"",W65/BM65)</f>
        <v/>
      </c>
      <c r="AG65" s="34">
        <f>IF(OR(Z65="",BM65="",BM65=0),"",Z65/BM65)</f>
        <v/>
      </c>
      <c r="AH65" s="34">
        <f>IF(OR(AC65="",BM65="",BM65=0),"",AC65/BM65)</f>
        <v/>
      </c>
      <c r="AI65" s="33" t="n">
        <v>76.09999999999999</v>
      </c>
      <c r="AJ65" s="33" t="n">
        <v>21.3</v>
      </c>
      <c r="AK65" s="33" t="n"/>
      <c r="AL65" s="33" t="n">
        <v>2.6</v>
      </c>
      <c r="AM65" s="33" t="n"/>
      <c r="AN65" s="33" t="n"/>
      <c r="AO65" s="33" t="n">
        <v>11.1</v>
      </c>
      <c r="AP65" s="33" t="n">
        <v>3.4</v>
      </c>
      <c r="AQ65" s="33" t="n"/>
      <c r="AR65" s="33" t="n"/>
      <c r="AS65" s="33" t="n"/>
      <c r="AT65" s="33" t="n">
        <v>4.3</v>
      </c>
      <c r="AU65" s="33" t="n">
        <v>2.5</v>
      </c>
      <c r="AV65" s="33" t="n"/>
      <c r="AW65" s="33" t="n"/>
      <c r="AX65" s="33" t="n"/>
      <c r="AY65" s="33" t="n"/>
      <c r="AZ65" s="33" t="n"/>
      <c r="BA65" s="33" t="n">
        <v>14.6</v>
      </c>
      <c r="BB65" s="33" t="n">
        <v>8.1</v>
      </c>
      <c r="BC65" s="33" t="n">
        <v>37.8</v>
      </c>
      <c r="BD65" s="33" t="n">
        <v>18.9</v>
      </c>
      <c r="BE65" s="33" t="n"/>
      <c r="BF65" s="33" t="n">
        <v>8.1</v>
      </c>
      <c r="BG65" s="33" t="n"/>
      <c r="BH65" s="33" t="n"/>
      <c r="BI65" s="33" t="n"/>
      <c r="BJ65" s="33" t="n"/>
      <c r="BK65" s="33" t="n"/>
      <c r="BL65" s="30" t="inlineStr">
        <is>
          <t>Public Bank Berhad | Malayan Banking Berhad | Tenaga Nasional Berhad | IGB Real Estate Investment Trust | Sunway Berhad</t>
        </is>
      </c>
      <c r="BM65" s="33" t="n">
        <v>9.6</v>
      </c>
      <c r="BN65" s="29" t="inlineStr">
        <is>
          <t>Moderate</t>
        </is>
      </c>
      <c r="BO65" s="30" t="inlineStr">
        <is>
          <t>Equity Malaysia Income Domestic 25% of the fund’s NAV</t>
        </is>
      </c>
      <c r="BP65" s="30" t="n"/>
      <c r="BQ65" s="35" t="n">
        <v>0.3813</v>
      </c>
      <c r="BR65" s="29" t="inlineStr">
        <is>
          <t>2024-07-11</t>
        </is>
      </c>
      <c r="BS65" s="35" t="n">
        <v>0.3646</v>
      </c>
      <c r="BT65" s="34" t="n">
        <v>-4.38</v>
      </c>
      <c r="BU65" s="31" t="n">
        <v>704</v>
      </c>
    </row>
    <row r="66" ht="16" customHeight="1">
      <c r="A66" s="36" t="inlineStr">
        <is>
          <t>PUBLIC INDEX FUND</t>
        </is>
      </c>
      <c r="B66" s="36" t="inlineStr">
        <is>
          <t>PIX</t>
        </is>
      </c>
      <c r="C66" s="36" t="inlineStr">
        <is>
          <t>Shariah</t>
        </is>
      </c>
      <c r="D66" s="36" t="inlineStr">
        <is>
          <t>Equity</t>
        </is>
      </c>
      <c r="E66" s="23" t="inlineStr">
        <is>
          <t>Capital Growth</t>
        </is>
      </c>
      <c r="F66" s="24" t="n">
        <v>4</v>
      </c>
      <c r="G66" s="23" t="inlineStr">
        <is>
          <t>Incidental</t>
        </is>
      </c>
      <c r="H66" s="25" t="n">
        <v>488.48</v>
      </c>
      <c r="I66" s="22" t="inlineStr">
        <is>
          <t>02.03.1992</t>
        </is>
      </c>
      <c r="J66" s="22" t="inlineStr">
        <is>
          <t>Qualified</t>
        </is>
      </c>
      <c r="K66" s="26" t="n">
        <v>80</v>
      </c>
      <c r="L66" s="22" t="inlineStr">
        <is>
          <t>4/5</t>
        </is>
      </c>
      <c r="M66" s="23" t="inlineStr">
        <is>
          <t>Qualified (WA: +1.55%) — YTD✘ 1Y✔ 3Y✔ 5Y✔ 10Y✔</t>
        </is>
      </c>
      <c r="N66" s="27" t="n">
        <v>1.55</v>
      </c>
      <c r="O66" s="27" t="n">
        <v>1.92</v>
      </c>
      <c r="P66" s="27" t="n">
        <v>3.75</v>
      </c>
      <c r="Q66" s="27" t="n">
        <v>-1.83</v>
      </c>
      <c r="R66" s="27" t="n">
        <v>14.48</v>
      </c>
      <c r="S66" s="27" t="n">
        <v>12.31</v>
      </c>
      <c r="T66" s="27" t="n">
        <v>2.17</v>
      </c>
      <c r="U66" s="27" t="n">
        <v>8.970000000000001</v>
      </c>
      <c r="V66" s="27" t="n">
        <v>7.59</v>
      </c>
      <c r="W66" s="27" t="n">
        <v>1.38</v>
      </c>
      <c r="X66" s="27" t="n">
        <v>3.85</v>
      </c>
      <c r="Y66" s="27" t="n">
        <v>1.87</v>
      </c>
      <c r="Z66" s="27" t="n">
        <v>1.98</v>
      </c>
      <c r="AA66" s="27" t="n">
        <v>2.8</v>
      </c>
      <c r="AB66" s="27" t="n">
        <v>1.03</v>
      </c>
      <c r="AC66" s="27" t="n">
        <v>1.77</v>
      </c>
      <c r="AD66" s="27">
        <f>IF(OR(Q66="",BM66="",BM66=0),"",Q66/BM66)</f>
        <v/>
      </c>
      <c r="AE66" s="27">
        <f>IF(OR(T66="",BM66="",BM66=0),"",T66/BM66)</f>
        <v/>
      </c>
      <c r="AF66" s="27">
        <f>IF(OR(W66="",BM66="",BM66=0),"",W66/BM66)</f>
        <v/>
      </c>
      <c r="AG66" s="27">
        <f>IF(OR(Z66="",BM66="",BM66=0),"",Z66/BM66)</f>
        <v/>
      </c>
      <c r="AH66" s="27">
        <f>IF(OR(AC66="",BM66="",BM66=0),"",AC66/BM66)</f>
        <v/>
      </c>
      <c r="AI66" s="26" t="n">
        <v>96.5</v>
      </c>
      <c r="AJ66" s="26" t="n"/>
      <c r="AK66" s="26" t="n"/>
      <c r="AL66" s="26" t="n">
        <v>3.5</v>
      </c>
      <c r="AM66" s="26" t="n"/>
      <c r="AN66" s="26" t="n"/>
      <c r="AO66" s="26" t="n"/>
      <c r="AP66" s="26" t="n"/>
      <c r="AQ66" s="26" t="n"/>
      <c r="AR66" s="26" t="n"/>
      <c r="AS66" s="26" t="n"/>
      <c r="AT66" s="26" t="n"/>
      <c r="AU66" s="26" t="n"/>
      <c r="AV66" s="26" t="n"/>
      <c r="AW66" s="26" t="n"/>
      <c r="AX66" s="26" t="n"/>
      <c r="AY66" s="26" t="n"/>
      <c r="AZ66" s="26" t="n"/>
      <c r="BA66" s="26" t="n">
        <v>11.9</v>
      </c>
      <c r="BB66" s="26" t="n"/>
      <c r="BC66" s="26" t="n">
        <v>45.2</v>
      </c>
      <c r="BD66" s="26" t="n">
        <v>10.4</v>
      </c>
      <c r="BE66" s="26" t="n"/>
      <c r="BF66" s="26" t="n">
        <v>14.3</v>
      </c>
      <c r="BG66" s="26" t="n">
        <v>9.9</v>
      </c>
      <c r="BH66" s="26" t="n"/>
      <c r="BI66" s="26" t="n"/>
      <c r="BJ66" s="26" t="n"/>
      <c r="BK66" s="26" t="n"/>
      <c r="BL66" s="23" t="inlineStr">
        <is>
          <t>Tenaga Nasional Berhad | LPI Capital Berhad | Public Bank Berhad | Malayan Banking Berhad | CIMB Group Holdings Berhad</t>
        </is>
      </c>
      <c r="BM66" s="26" t="n">
        <v>7.9</v>
      </c>
      <c r="BN66" s="22" t="inlineStr">
        <is>
          <t>Moderate</t>
        </is>
      </c>
      <c r="BO66" s="23" t="inlineStr">
        <is>
          <t>Equity Malaysia 100% Domestic</t>
        </is>
      </c>
      <c r="BP66" s="23" t="inlineStr">
        <is>
          <t>Kuala Lumpur Composite Index (prior to 6 July 2009). FTSE Bursa Malaysia Top 100 Index (w.e.f. 6 July 2009). Underlying index data are sourced from Lipper.</t>
        </is>
      </c>
      <c r="BQ66" s="28" t="n">
        <v>1.101</v>
      </c>
      <c r="BR66" s="22" t="inlineStr">
        <is>
          <t>2008-01-11</t>
        </is>
      </c>
      <c r="BS66" s="28" t="n">
        <v>0.7419</v>
      </c>
      <c r="BT66" s="27" t="n">
        <v>-32.62</v>
      </c>
      <c r="BU66" s="24" t="n">
        <v>6730</v>
      </c>
    </row>
    <row r="67" ht="16" customHeight="1">
      <c r="A67" s="29" t="inlineStr">
        <is>
          <t>PUBLIC SELECT ALPHA-30 FUND</t>
        </is>
      </c>
      <c r="B67" s="29" t="inlineStr">
        <is>
          <t>PSA30F</t>
        </is>
      </c>
      <c r="C67" s="29" t="inlineStr">
        <is>
          <t>Conventional</t>
        </is>
      </c>
      <c r="D67" s="29" t="inlineStr">
        <is>
          <t>Equity</t>
        </is>
      </c>
      <c r="E67" s="30" t="inlineStr">
        <is>
          <t>Capital Growth</t>
        </is>
      </c>
      <c r="F67" s="31" t="n">
        <v>4</v>
      </c>
      <c r="G67" s="30" t="inlineStr">
        <is>
          <t>Incidental</t>
        </is>
      </c>
      <c r="H67" s="32" t="n">
        <v>57.08</v>
      </c>
      <c r="I67" s="29" t="inlineStr">
        <is>
          <t>07.04.2009</t>
        </is>
      </c>
      <c r="J67" s="29" t="inlineStr">
        <is>
          <t>Qualified</t>
        </is>
      </c>
      <c r="K67" s="33" t="n">
        <v>80</v>
      </c>
      <c r="L67" s="29" t="inlineStr">
        <is>
          <t>4/5</t>
        </is>
      </c>
      <c r="M67" s="30" t="inlineStr">
        <is>
          <t>Qualified (WA: +1.49%) — YTD✘ 1Y✔ 3Y✔ 5Y✔ 10Y✔</t>
        </is>
      </c>
      <c r="N67" s="34" t="n">
        <v>1.49</v>
      </c>
      <c r="O67" s="34" t="n">
        <v>2.41</v>
      </c>
      <c r="P67" s="34" t="n">
        <v>2.49</v>
      </c>
      <c r="Q67" s="34" t="n">
        <v>-0.08</v>
      </c>
      <c r="R67" s="34" t="n">
        <v>13.52</v>
      </c>
      <c r="S67" s="34" t="n">
        <v>11.8</v>
      </c>
      <c r="T67" s="34" t="n">
        <v>1.72</v>
      </c>
      <c r="U67" s="34" t="n">
        <v>7.89</v>
      </c>
      <c r="V67" s="34" t="n">
        <v>6.72</v>
      </c>
      <c r="W67" s="34" t="n">
        <v>1.17</v>
      </c>
      <c r="X67" s="34" t="n">
        <v>2.03</v>
      </c>
      <c r="Y67" s="34" t="n">
        <v>1.46</v>
      </c>
      <c r="Z67" s="34" t="n">
        <v>0.57</v>
      </c>
      <c r="AA67" s="34" t="n">
        <v>4.44</v>
      </c>
      <c r="AB67" s="34" t="n">
        <v>0.29</v>
      </c>
      <c r="AC67" s="34" t="n">
        <v>4.15</v>
      </c>
      <c r="AD67" s="34">
        <f>IF(OR(Q67="",BM67="",BM67=0),"",Q67/BM67)</f>
        <v/>
      </c>
      <c r="AE67" s="34">
        <f>IF(OR(T67="",BM67="",BM67=0),"",T67/BM67)</f>
        <v/>
      </c>
      <c r="AF67" s="34">
        <f>IF(OR(W67="",BM67="",BM67=0),"",W67/BM67)</f>
        <v/>
      </c>
      <c r="AG67" s="34">
        <f>IF(OR(Z67="",BM67="",BM67=0),"",Z67/BM67)</f>
        <v/>
      </c>
      <c r="AH67" s="34">
        <f>IF(OR(AC67="",BM67="",BM67=0),"",AC67/BM67)</f>
        <v/>
      </c>
      <c r="AI67" s="33" t="n">
        <v>76.5</v>
      </c>
      <c r="AJ67" s="33" t="n">
        <v>20.5</v>
      </c>
      <c r="AK67" s="33" t="n"/>
      <c r="AL67" s="33" t="n">
        <v>3</v>
      </c>
      <c r="AM67" s="33" t="n"/>
      <c r="AN67" s="33" t="n"/>
      <c r="AO67" s="33" t="n">
        <v>15</v>
      </c>
      <c r="AP67" s="33" t="n"/>
      <c r="AQ67" s="33" t="n"/>
      <c r="AR67" s="33" t="n"/>
      <c r="AS67" s="33" t="n">
        <v>2</v>
      </c>
      <c r="AT67" s="33" t="n"/>
      <c r="AU67" s="33" t="n">
        <v>3.5</v>
      </c>
      <c r="AV67" s="33" t="n"/>
      <c r="AW67" s="33" t="n"/>
      <c r="AX67" s="33" t="n"/>
      <c r="AY67" s="33" t="n"/>
      <c r="AZ67" s="33" t="n"/>
      <c r="BA67" s="33" t="n">
        <v>15.5</v>
      </c>
      <c r="BB67" s="33" t="n">
        <v>7.7</v>
      </c>
      <c r="BC67" s="33" t="n">
        <v>30</v>
      </c>
      <c r="BD67" s="33" t="n">
        <v>19.5</v>
      </c>
      <c r="BE67" s="33" t="n"/>
      <c r="BF67" s="33" t="n"/>
      <c r="BG67" s="33" t="n">
        <v>9.6</v>
      </c>
      <c r="BH67" s="33" t="n"/>
      <c r="BI67" s="33" t="n"/>
      <c r="BJ67" s="33" t="n"/>
      <c r="BK67" s="33" t="n"/>
      <c r="BL67" s="30" t="inlineStr">
        <is>
          <t>Tenaga Nasional Berhad | Malayan Banking Berhad | Public Bank Berhad | NVIDIA Corporation | Meta Platforms Incorporated</t>
        </is>
      </c>
      <c r="BM67" s="33" t="n">
        <v>8.199999999999999</v>
      </c>
      <c r="BN67" s="29" t="inlineStr">
        <is>
          <t>Moderate</t>
        </is>
      </c>
      <c r="BO67" s="30" t="inlineStr">
        <is>
          <t>Equity Malaysia Domestic 30% of the fund’s NAV</t>
        </is>
      </c>
      <c r="BP67" s="30" t="inlineStr">
        <is>
          <t>Kuala Lumpur Composite Index (prior to 6 July 2009). FTSE Bursa Malaysia KLCI (w.e.f. 6 July 2009).</t>
        </is>
      </c>
      <c r="BQ67" s="35" t="n">
        <v>0.3961</v>
      </c>
      <c r="BR67" s="29" t="inlineStr">
        <is>
          <t>2026-05-14</t>
        </is>
      </c>
      <c r="BS67" s="35" t="n">
        <v>0.3842</v>
      </c>
      <c r="BT67" s="34" t="n">
        <v>-3</v>
      </c>
      <c r="BU67" s="31" t="n">
        <v>32</v>
      </c>
    </row>
    <row r="68" ht="16" customHeight="1">
      <c r="A68" s="36" t="inlineStr">
        <is>
          <t>PUBLIC ISLAMIC GROWTH &amp; INCOME FUND</t>
        </is>
      </c>
      <c r="B68" s="36" t="inlineStr">
        <is>
          <t>PISGIF</t>
        </is>
      </c>
      <c r="C68" s="36" t="inlineStr">
        <is>
          <t>Shariah</t>
        </is>
      </c>
      <c r="D68" s="36" t="inlineStr">
        <is>
          <t>Equity</t>
        </is>
      </c>
      <c r="E68" s="23" t="inlineStr">
        <is>
          <t>Capital Growth + Income</t>
        </is>
      </c>
      <c r="F68" s="24" t="n">
        <v>4</v>
      </c>
      <c r="G68" s="23" t="inlineStr">
        <is>
          <t>Annual</t>
        </is>
      </c>
      <c r="H68" s="25" t="n">
        <v>121.91</v>
      </c>
      <c r="I68" s="22" t="inlineStr">
        <is>
          <t>07.01.2014</t>
        </is>
      </c>
      <c r="J68" s="22" t="inlineStr">
        <is>
          <t>Qualified</t>
        </is>
      </c>
      <c r="K68" s="26" t="n">
        <v>60</v>
      </c>
      <c r="L68" s="22" t="inlineStr">
        <is>
          <t>3/5</t>
        </is>
      </c>
      <c r="M68" s="23" t="inlineStr">
        <is>
          <t>Qualified (WA: +1.37%) — YTD✘ 1Y✘ 3Y✔ 5Y✔ 10Y✔</t>
        </is>
      </c>
      <c r="N68" s="27" t="n">
        <v>1.37</v>
      </c>
      <c r="O68" s="27" t="n">
        <v>2.6</v>
      </c>
      <c r="P68" s="27" t="n">
        <v>5.14</v>
      </c>
      <c r="Q68" s="27" t="n">
        <v>-2.54</v>
      </c>
      <c r="R68" s="27" t="n">
        <v>11.5</v>
      </c>
      <c r="S68" s="27" t="n">
        <v>12.81</v>
      </c>
      <c r="T68" s="27" t="n">
        <v>-1.31</v>
      </c>
      <c r="U68" s="27" t="n">
        <v>7.41</v>
      </c>
      <c r="V68" s="27" t="n">
        <v>5.79</v>
      </c>
      <c r="W68" s="27" t="n">
        <v>1.62</v>
      </c>
      <c r="X68" s="27" t="n">
        <v>1.96</v>
      </c>
      <c r="Y68" s="27" t="n">
        <v>-0.85</v>
      </c>
      <c r="Z68" s="27" t="n">
        <v>2.81</v>
      </c>
      <c r="AA68" s="27" t="n">
        <v>2.67</v>
      </c>
      <c r="AB68" s="27" t="n">
        <v>0.41</v>
      </c>
      <c r="AC68" s="27" t="n">
        <v>2.26</v>
      </c>
      <c r="AD68" s="27">
        <f>IF(OR(Q68="",BM68="",BM68=0),"",Q68/BM68)</f>
        <v/>
      </c>
      <c r="AE68" s="27">
        <f>IF(OR(T68="",BM68="",BM68=0),"",T68/BM68)</f>
        <v/>
      </c>
      <c r="AF68" s="27">
        <f>IF(OR(W68="",BM68="",BM68=0),"",W68/BM68)</f>
        <v/>
      </c>
      <c r="AG68" s="27">
        <f>IF(OR(Z68="",BM68="",BM68=0),"",Z68/BM68)</f>
        <v/>
      </c>
      <c r="AH68" s="27">
        <f>IF(OR(AC68="",BM68="",BM68=0),"",AC68/BM68)</f>
        <v/>
      </c>
      <c r="AI68" s="26" t="n">
        <v>75.7</v>
      </c>
      <c r="AJ68" s="26" t="n">
        <v>21.5</v>
      </c>
      <c r="AK68" s="26" t="n"/>
      <c r="AL68" s="26" t="n">
        <v>2.8</v>
      </c>
      <c r="AM68" s="26" t="n"/>
      <c r="AN68" s="26" t="n"/>
      <c r="AO68" s="26" t="n">
        <v>10.6</v>
      </c>
      <c r="AP68" s="26" t="n">
        <v>6.9</v>
      </c>
      <c r="AQ68" s="26" t="n"/>
      <c r="AR68" s="26" t="n"/>
      <c r="AS68" s="26" t="n">
        <v>4</v>
      </c>
      <c r="AT68" s="26" t="n"/>
      <c r="AU68" s="26" t="n"/>
      <c r="AV68" s="26" t="n"/>
      <c r="AW68" s="26" t="n"/>
      <c r="AX68" s="26" t="n"/>
      <c r="AY68" s="26" t="n"/>
      <c r="AZ68" s="26" t="n"/>
      <c r="BA68" s="26" t="n">
        <v>11.1</v>
      </c>
      <c r="BB68" s="26" t="n"/>
      <c r="BC68" s="26" t="n">
        <v>17</v>
      </c>
      <c r="BD68" s="26" t="n">
        <v>24.4</v>
      </c>
      <c r="BE68" s="26" t="n"/>
      <c r="BF68" s="26" t="n">
        <v>11.8</v>
      </c>
      <c r="BG68" s="26" t="n"/>
      <c r="BH68" s="26" t="n">
        <v>12.5</v>
      </c>
      <c r="BI68" s="26" t="n"/>
      <c r="BJ68" s="26" t="n"/>
      <c r="BK68" s="26" t="n"/>
      <c r="BL68" s="23" t="inlineStr">
        <is>
          <t>Telekom Malaysia Berhad | Tenaga Nasional Berhad | IHH Healthcare Berhad | Gamuda Berhad | Taiwan Semiconductor Manufacturing Company Limited</t>
        </is>
      </c>
      <c r="BM68" s="26" t="n">
        <v>6.6</v>
      </c>
      <c r="BN68" s="22" t="inlineStr">
        <is>
          <t>Low</t>
        </is>
      </c>
      <c r="BO68" s="23" t="inlineStr">
        <is>
          <t>Equity Malaysia Domestic</t>
        </is>
      </c>
      <c r="BP68" s="23" t="inlineStr">
        <is>
          <t>2022 0.20 30.12.22 0.9</t>
        </is>
      </c>
      <c r="BQ68" s="28" t="n">
        <v>0.2778</v>
      </c>
      <c r="BR68" s="22" t="inlineStr">
        <is>
          <t>2026-05-06</t>
        </is>
      </c>
      <c r="BS68" s="28" t="n">
        <v>0.2706</v>
      </c>
      <c r="BT68" s="27" t="n">
        <v>-2.59</v>
      </c>
      <c r="BU68" s="24" t="n">
        <v>40</v>
      </c>
    </row>
    <row r="69" ht="16" customHeight="1">
      <c r="A69" s="29" t="inlineStr">
        <is>
          <t>PUBLIC e-CARBON EFFICIENT FUND</t>
        </is>
      </c>
      <c r="B69" s="29" t="inlineStr">
        <is>
          <t>PeCEF</t>
        </is>
      </c>
      <c r="C69" s="29" t="inlineStr">
        <is>
          <t>Conventional</t>
        </is>
      </c>
      <c r="D69" s="29" t="inlineStr">
        <is>
          <t>Equity</t>
        </is>
      </c>
      <c r="E69" s="30" t="inlineStr">
        <is>
          <t>Capital Growth</t>
        </is>
      </c>
      <c r="F69" s="31" t="n">
        <v>5</v>
      </c>
      <c r="G69" s="30" t="inlineStr">
        <is>
          <t>Incidental</t>
        </is>
      </c>
      <c r="H69" s="32" t="n">
        <v>401.64</v>
      </c>
      <c r="I69" s="29" t="inlineStr">
        <is>
          <t>09.02.2021</t>
        </is>
      </c>
      <c r="J69" s="29" t="inlineStr">
        <is>
          <t>Qualified</t>
        </is>
      </c>
      <c r="K69" s="33" t="n">
        <v>50</v>
      </c>
      <c r="L69" s="29" t="inlineStr">
        <is>
          <t>2/4</t>
        </is>
      </c>
      <c r="M69" s="30" t="inlineStr">
        <is>
          <t>Qualified (WA: +1.19%) — YTD✘ 1Y✔ 3Y✔ 5Y✘</t>
        </is>
      </c>
      <c r="N69" s="34" t="n">
        <v>1.19</v>
      </c>
      <c r="O69" s="34" t="n">
        <v>2.61</v>
      </c>
      <c r="P69" s="34" t="n">
        <v>2.96</v>
      </c>
      <c r="Q69" s="34" t="n">
        <v>-0.35</v>
      </c>
      <c r="R69" s="34" t="n">
        <v>27.18</v>
      </c>
      <c r="S69" s="34" t="n">
        <v>20.35</v>
      </c>
      <c r="T69" s="34" t="n">
        <v>6.83</v>
      </c>
      <c r="U69" s="34" t="n">
        <v>15.46</v>
      </c>
      <c r="V69" s="34" t="n">
        <v>14.77</v>
      </c>
      <c r="W69" s="34" t="n">
        <v>0.6899999999999999</v>
      </c>
      <c r="X69" s="34" t="n">
        <v>8.470000000000001</v>
      </c>
      <c r="Y69" s="34" t="n">
        <v>9.550000000000001</v>
      </c>
      <c r="Z69" s="34" t="n">
        <v>-1.08</v>
      </c>
      <c r="AA69" s="34" t="n"/>
      <c r="AB69" s="34" t="n"/>
      <c r="AC69" s="34" t="n"/>
      <c r="AD69" s="34">
        <f>IF(OR(Q69="",BM69="",BM69=0),"",Q69/BM69)</f>
        <v/>
      </c>
      <c r="AE69" s="34">
        <f>IF(OR(T69="",BM69="",BM69=0),"",T69/BM69)</f>
        <v/>
      </c>
      <c r="AF69" s="34">
        <f>IF(OR(W69="",BM69="",BM69=0),"",W69/BM69)</f>
        <v/>
      </c>
      <c r="AG69" s="34">
        <f>IF(OR(Z69="",BM69="",BM69=0),"",Z69/BM69)</f>
        <v/>
      </c>
      <c r="AH69" s="34">
        <f>IF(OR(AC69="",BM69="",BM69=0),"",AC69/BM69)</f>
        <v/>
      </c>
      <c r="AI69" s="33" t="n"/>
      <c r="AJ69" s="33" t="n">
        <v>88.8</v>
      </c>
      <c r="AK69" s="33" t="n"/>
      <c r="AL69" s="33" t="n">
        <v>11.2</v>
      </c>
      <c r="AM69" s="33" t="n"/>
      <c r="AN69" s="33" t="n"/>
      <c r="AO69" s="33" t="n">
        <v>49.2</v>
      </c>
      <c r="AP69" s="33" t="n">
        <v>12.4</v>
      </c>
      <c r="AQ69" s="33" t="n"/>
      <c r="AR69" s="33" t="n">
        <v>8</v>
      </c>
      <c r="AS69" s="33" t="n"/>
      <c r="AT69" s="33" t="n"/>
      <c r="AU69" s="33" t="n">
        <v>9.300000000000001</v>
      </c>
      <c r="AV69" s="33" t="n"/>
      <c r="AW69" s="33" t="n">
        <v>6.9</v>
      </c>
      <c r="AX69" s="33" t="n"/>
      <c r="AY69" s="33" t="n"/>
      <c r="AZ69" s="33" t="n"/>
      <c r="BA69" s="33" t="n">
        <v>7.4</v>
      </c>
      <c r="BB69" s="33" t="n">
        <v>32.2</v>
      </c>
      <c r="BC69" s="33" t="n">
        <v>7.1</v>
      </c>
      <c r="BD69" s="33" t="n">
        <v>29.1</v>
      </c>
      <c r="BE69" s="33" t="n">
        <v>13</v>
      </c>
      <c r="BF69" s="33" t="n"/>
      <c r="BG69" s="33" t="n"/>
      <c r="BH69" s="33" t="n"/>
      <c r="BI69" s="33" t="n"/>
      <c r="BJ69" s="33" t="n"/>
      <c r="BK69" s="33" t="n"/>
      <c r="BL69" s="30" t="inlineStr">
        <is>
          <t>Alphabet Incorporated - Class A | Taiwan Semiconductor Manufacturing Company Limited | NVIDIA Corporation | Alibaba Group Holding Limited - W | Meta Platforms Incorporated</t>
        </is>
      </c>
      <c r="BM69" s="33" t="n">
        <v>14.2</v>
      </c>
      <c r="BN69" s="29" t="inlineStr">
        <is>
          <t>Very High</t>
        </is>
      </c>
      <c r="BO69" s="30" t="inlineStr">
        <is>
          <t>Equity Global Global</t>
        </is>
      </c>
      <c r="BP69" s="30" t="inlineStr">
        <is>
          <t>ThebenchmarkforPeCEFisacompositeof90%customisedindexbyS&amp;PDow JonesIndices,LLCbasedontheconstituentswithlowercarbonfootprintoftheS&amp;P Global1200Scored&amp;ScreenedIndexand10%3-MonthKualaLumpurInterbank Offered Rate (KLIBOR). Underlying indexdata are sourced from S&amp;P Dow Jones Indices, LLC and Bank Negara Malaysia and expressed in Ringgit terms.</t>
        </is>
      </c>
      <c r="BQ69" s="35" t="n">
        <v>0.4136</v>
      </c>
      <c r="BR69" s="29" t="inlineStr">
        <is>
          <t>2026-06-04</t>
        </is>
      </c>
      <c r="BS69" s="35" t="n">
        <v>0.4032</v>
      </c>
      <c r="BT69" s="34" t="n">
        <v>-2.51</v>
      </c>
      <c r="BU69" s="31" t="n">
        <v>11</v>
      </c>
    </row>
    <row r="70" ht="16" customHeight="1">
      <c r="A70" s="36" t="inlineStr">
        <is>
          <t>PUBLIC ISLAMIC DIVIDEND FUND</t>
        </is>
      </c>
      <c r="B70" s="36" t="inlineStr">
        <is>
          <t>PIDF</t>
        </is>
      </c>
      <c r="C70" s="36" t="inlineStr">
        <is>
          <t>Shariah</t>
        </is>
      </c>
      <c r="D70" s="36" t="inlineStr">
        <is>
          <t>Equity</t>
        </is>
      </c>
      <c r="E70" s="23" t="inlineStr">
        <is>
          <t>Income</t>
        </is>
      </c>
      <c r="F70" s="24" t="n">
        <v>4</v>
      </c>
      <c r="G70" s="23" t="inlineStr">
        <is>
          <t>Semi-Annual</t>
        </is>
      </c>
      <c r="H70" s="25" t="n">
        <v>3422.73</v>
      </c>
      <c r="I70" s="22" t="inlineStr">
        <is>
          <t>14.02.2006</t>
        </is>
      </c>
      <c r="J70" s="22" t="inlineStr">
        <is>
          <t>Qualified</t>
        </is>
      </c>
      <c r="K70" s="26" t="n">
        <v>60</v>
      </c>
      <c r="L70" s="22" t="inlineStr">
        <is>
          <t>3/5</t>
        </is>
      </c>
      <c r="M70" s="23" t="inlineStr">
        <is>
          <t>Qualified (WA: +1.16%) — YTD✘ 1Y✘ 3Y✔ 5Y✔ 10Y✔</t>
        </is>
      </c>
      <c r="N70" s="27" t="n">
        <v>1.16</v>
      </c>
      <c r="O70" s="27" t="n">
        <v>3.52</v>
      </c>
      <c r="P70" s="27" t="n">
        <v>4.74</v>
      </c>
      <c r="Q70" s="27" t="n">
        <v>-1.22</v>
      </c>
      <c r="R70" s="27" t="n">
        <v>10.95</v>
      </c>
      <c r="S70" s="27" t="n">
        <v>11.86</v>
      </c>
      <c r="T70" s="27" t="n">
        <v>-0.91</v>
      </c>
      <c r="U70" s="27" t="n">
        <v>6.72</v>
      </c>
      <c r="V70" s="27" t="n">
        <v>5.62</v>
      </c>
      <c r="W70" s="27" t="n">
        <v>1.1</v>
      </c>
      <c r="X70" s="27" t="n">
        <v>1.46</v>
      </c>
      <c r="Y70" s="27" t="n">
        <v>-0.4</v>
      </c>
      <c r="Z70" s="27" t="n">
        <v>1.86</v>
      </c>
      <c r="AA70" s="27" t="n">
        <v>3.75</v>
      </c>
      <c r="AB70" s="27" t="n">
        <v>0.75</v>
      </c>
      <c r="AC70" s="27" t="n">
        <v>3</v>
      </c>
      <c r="AD70" s="27">
        <f>IF(OR(Q70="",BM70="",BM70=0),"",Q70/BM70)</f>
        <v/>
      </c>
      <c r="AE70" s="27">
        <f>IF(OR(T70="",BM70="",BM70=0),"",T70/BM70)</f>
        <v/>
      </c>
      <c r="AF70" s="27">
        <f>IF(OR(W70="",BM70="",BM70=0),"",W70/BM70)</f>
        <v/>
      </c>
      <c r="AG70" s="27">
        <f>IF(OR(Z70="",BM70="",BM70=0),"",Z70/BM70)</f>
        <v/>
      </c>
      <c r="AH70" s="27">
        <f>IF(OR(AC70="",BM70="",BM70=0),"",AC70/BM70)</f>
        <v/>
      </c>
      <c r="AI70" s="26" t="n">
        <v>72</v>
      </c>
      <c r="AJ70" s="26" t="n">
        <v>22.7</v>
      </c>
      <c r="AK70" s="26" t="n"/>
      <c r="AL70" s="26" t="n">
        <v>5.3</v>
      </c>
      <c r="AM70" s="26" t="n"/>
      <c r="AN70" s="26" t="n"/>
      <c r="AO70" s="26" t="n">
        <v>10.1</v>
      </c>
      <c r="AP70" s="26" t="n">
        <v>8.300000000000001</v>
      </c>
      <c r="AQ70" s="26" t="n"/>
      <c r="AR70" s="26" t="n"/>
      <c r="AS70" s="26" t="n">
        <v>3.5</v>
      </c>
      <c r="AT70" s="26" t="n"/>
      <c r="AU70" s="26" t="n">
        <v>0.8</v>
      </c>
      <c r="AV70" s="26" t="n"/>
      <c r="AW70" s="26" t="n"/>
      <c r="AX70" s="26" t="n"/>
      <c r="AY70" s="26" t="n"/>
      <c r="AZ70" s="26" t="n"/>
      <c r="BA70" s="26" t="n">
        <v>10.5</v>
      </c>
      <c r="BB70" s="26" t="n"/>
      <c r="BC70" s="26" t="n">
        <v>10.5</v>
      </c>
      <c r="BD70" s="26" t="n">
        <v>22.3</v>
      </c>
      <c r="BE70" s="26" t="n"/>
      <c r="BF70" s="26" t="n">
        <v>18</v>
      </c>
      <c r="BG70" s="26" t="n">
        <v>9.6</v>
      </c>
      <c r="BH70" s="26" t="n"/>
      <c r="BI70" s="26" t="n"/>
      <c r="BJ70" s="26" t="n"/>
      <c r="BK70" s="26" t="n"/>
      <c r="BL70" s="23" t="inlineStr">
        <is>
          <t>Tenaga Nasional Berhad | Taiwan Semiconductor Manufacturing Company Limited | Telekom Malaysia Berhad | Gamuda Berhad | Amazon.com Incorporated</t>
        </is>
      </c>
      <c r="BM70" s="26" t="n">
        <v>7.6</v>
      </c>
      <c r="BN70" s="22" t="inlineStr">
        <is>
          <t>Low</t>
        </is>
      </c>
      <c r="BO70" s="23" t="inlineStr">
        <is>
          <t>Equity Malaysia</t>
        </is>
      </c>
      <c r="BP70" s="23" t="n"/>
      <c r="BQ70" s="28" t="n">
        <v>0.4312</v>
      </c>
      <c r="BR70" s="22" t="inlineStr">
        <is>
          <t>2020-08-06</t>
        </is>
      </c>
      <c r="BS70" s="28" t="n">
        <v>0.3713</v>
      </c>
      <c r="BT70" s="27" t="n">
        <v>-13.89</v>
      </c>
      <c r="BU70" s="24" t="n">
        <v>2139</v>
      </c>
    </row>
    <row r="71" ht="16" customHeight="1">
      <c r="A71" s="37" t="inlineStr">
        <is>
          <t>PUBLIC ISLAMIC ALPHA-40 GROWTH FUND</t>
        </is>
      </c>
      <c r="B71" s="37" t="inlineStr">
        <is>
          <t>PIA40GF</t>
        </is>
      </c>
      <c r="C71" s="37" t="inlineStr">
        <is>
          <t>Shariah</t>
        </is>
      </c>
      <c r="D71" s="37" t="inlineStr">
        <is>
          <t>Equity</t>
        </is>
      </c>
      <c r="E71" s="30" t="inlineStr">
        <is>
          <t>Capital Growth</t>
        </is>
      </c>
      <c r="F71" s="31" t="n">
        <v>4</v>
      </c>
      <c r="G71" s="30" t="inlineStr">
        <is>
          <t>Incidental</t>
        </is>
      </c>
      <c r="H71" s="32" t="n">
        <v>414.07</v>
      </c>
      <c r="I71" s="29" t="inlineStr">
        <is>
          <t>16.11.2010</t>
        </is>
      </c>
      <c r="J71" s="29" t="inlineStr">
        <is>
          <t>Qualified</t>
        </is>
      </c>
      <c r="K71" s="33" t="n">
        <v>60</v>
      </c>
      <c r="L71" s="29" t="inlineStr">
        <is>
          <t>3/5</t>
        </is>
      </c>
      <c r="M71" s="30" t="inlineStr">
        <is>
          <t>Qualified (WA: +1.11%) — YTD✘ 1Y✘ 3Y✔ 5Y✔ 10Y✔</t>
        </is>
      </c>
      <c r="N71" s="34" t="n">
        <v>1.11</v>
      </c>
      <c r="O71" s="34" t="n">
        <v>6.06</v>
      </c>
      <c r="P71" s="34" t="n">
        <v>8.56</v>
      </c>
      <c r="Q71" s="34" t="n">
        <v>-2.5</v>
      </c>
      <c r="R71" s="34" t="n">
        <v>18.86</v>
      </c>
      <c r="S71" s="34" t="n">
        <v>19.55</v>
      </c>
      <c r="T71" s="34" t="n">
        <v>-0.6899999999999999</v>
      </c>
      <c r="U71" s="34" t="n">
        <v>9.529999999999999</v>
      </c>
      <c r="V71" s="34" t="n">
        <v>8.18</v>
      </c>
      <c r="W71" s="34" t="n">
        <v>1.35</v>
      </c>
      <c r="X71" s="34" t="n">
        <v>2.21</v>
      </c>
      <c r="Y71" s="34" t="n">
        <v>0.61</v>
      </c>
      <c r="Z71" s="34" t="n">
        <v>1.6</v>
      </c>
      <c r="AA71" s="34" t="n">
        <v>5.02</v>
      </c>
      <c r="AB71" s="34" t="n">
        <v>2.39</v>
      </c>
      <c r="AC71" s="34" t="n">
        <v>2.63</v>
      </c>
      <c r="AD71" s="34">
        <f>IF(OR(Q71="",BM71="",BM71=0),"",Q71/BM71)</f>
        <v/>
      </c>
      <c r="AE71" s="34">
        <f>IF(OR(T71="",BM71="",BM71=0),"",T71/BM71)</f>
        <v/>
      </c>
      <c r="AF71" s="34">
        <f>IF(OR(W71="",BM71="",BM71=0),"",W71/BM71)</f>
        <v/>
      </c>
      <c r="AG71" s="34">
        <f>IF(OR(Z71="",BM71="",BM71=0),"",Z71/BM71)</f>
        <v/>
      </c>
      <c r="AH71" s="34">
        <f>IF(OR(AC71="",BM71="",BM71=0),"",AC71/BM71)</f>
        <v/>
      </c>
      <c r="AI71" s="33" t="n">
        <v>74.40000000000001</v>
      </c>
      <c r="AJ71" s="33" t="n">
        <v>22.6</v>
      </c>
      <c r="AK71" s="33" t="n"/>
      <c r="AL71" s="33" t="n">
        <v>3</v>
      </c>
      <c r="AM71" s="33" t="n"/>
      <c r="AN71" s="33" t="n"/>
      <c r="AO71" s="33" t="n">
        <v>18.5</v>
      </c>
      <c r="AP71" s="33" t="n">
        <v>4.1</v>
      </c>
      <c r="AQ71" s="33" t="n"/>
      <c r="AR71" s="33" t="n"/>
      <c r="AS71" s="33" t="n"/>
      <c r="AT71" s="33" t="n"/>
      <c r="AU71" s="33" t="n"/>
      <c r="AV71" s="33" t="n"/>
      <c r="AW71" s="33" t="n"/>
      <c r="AX71" s="33" t="n"/>
      <c r="AY71" s="33" t="n"/>
      <c r="AZ71" s="33" t="n"/>
      <c r="BA71" s="33" t="n">
        <v>11.3</v>
      </c>
      <c r="BB71" s="33" t="n">
        <v>9.4</v>
      </c>
      <c r="BC71" s="33" t="n">
        <v>10.6</v>
      </c>
      <c r="BD71" s="33" t="n">
        <v>27.7</v>
      </c>
      <c r="BE71" s="33" t="n"/>
      <c r="BF71" s="33" t="n">
        <v>21.4</v>
      </c>
      <c r="BG71" s="33" t="n"/>
      <c r="BH71" s="33" t="n"/>
      <c r="BI71" s="33" t="n"/>
      <c r="BJ71" s="33" t="n"/>
      <c r="BK71" s="33" t="n"/>
      <c r="BL71" s="30" t="inlineStr">
        <is>
          <t>Telekom Malaysia Berhad | Tenaga Nasional Berhad | QL Resources Berhad | IHH Healthcare Berhad | Press Metal Aluminium Holdings Berhad</t>
        </is>
      </c>
      <c r="BM71" s="33" t="n">
        <v>8.4</v>
      </c>
      <c r="BN71" s="29" t="inlineStr">
        <is>
          <t>Moderate</t>
        </is>
      </c>
      <c r="BO71" s="30" t="inlineStr">
        <is>
          <t>Equity Malaysia Domestic</t>
        </is>
      </c>
      <c r="BP71" s="30" t="n"/>
      <c r="BQ71" s="35" t="n">
        <v>0.3981</v>
      </c>
      <c r="BR71" s="29" t="inlineStr">
        <is>
          <t>2026-05-12</t>
        </is>
      </c>
      <c r="BS71" s="35" t="n">
        <v>0.3942</v>
      </c>
      <c r="BT71" s="34" t="n">
        <v>-0.98</v>
      </c>
      <c r="BU71" s="31" t="n">
        <v>34</v>
      </c>
    </row>
    <row r="72" ht="16" customHeight="1">
      <c r="A72" s="22" t="inlineStr">
        <is>
          <t>PUBLIC STRATEGIC GROWTH FUND</t>
        </is>
      </c>
      <c r="B72" s="22" t="inlineStr">
        <is>
          <t>PSTGF</t>
        </is>
      </c>
      <c r="C72" s="22" t="inlineStr">
        <is>
          <t>Conventional</t>
        </is>
      </c>
      <c r="D72" s="22" t="inlineStr">
        <is>
          <t>Equity</t>
        </is>
      </c>
      <c r="E72" s="23" t="inlineStr">
        <is>
          <t>Capital Growth</t>
        </is>
      </c>
      <c r="F72" s="24" t="n">
        <v>4</v>
      </c>
      <c r="G72" s="23" t="inlineStr">
        <is>
          <t>Incidental</t>
        </is>
      </c>
      <c r="H72" s="25" t="n">
        <v>383.53</v>
      </c>
      <c r="I72" s="22" t="inlineStr">
        <is>
          <t>08.12.2014</t>
        </is>
      </c>
      <c r="J72" s="22" t="inlineStr">
        <is>
          <t>Qualified</t>
        </is>
      </c>
      <c r="K72" s="26" t="n">
        <v>80</v>
      </c>
      <c r="L72" s="22" t="inlineStr">
        <is>
          <t>4/5</t>
        </is>
      </c>
      <c r="M72" s="23" t="inlineStr">
        <is>
          <t>Qualified (WA: +1.09%) — YTD✔ 1Y✘ 3Y✔ 5Y✔ 10Y✔</t>
        </is>
      </c>
      <c r="N72" s="27" t="n">
        <v>1.09</v>
      </c>
      <c r="O72" s="27" t="n">
        <v>4.57</v>
      </c>
      <c r="P72" s="27" t="n">
        <v>4.16</v>
      </c>
      <c r="Q72" s="27" t="n">
        <v>0.41</v>
      </c>
      <c r="R72" s="27" t="n">
        <v>12.53</v>
      </c>
      <c r="S72" s="27" t="n">
        <v>16.23</v>
      </c>
      <c r="T72" s="27" t="n">
        <v>-3.7</v>
      </c>
      <c r="U72" s="27" t="n">
        <v>10.86</v>
      </c>
      <c r="V72" s="27" t="n">
        <v>9.119999999999999</v>
      </c>
      <c r="W72" s="27" t="n">
        <v>1.74</v>
      </c>
      <c r="X72" s="27" t="n">
        <v>4.28</v>
      </c>
      <c r="Y72" s="27" t="n">
        <v>3.26</v>
      </c>
      <c r="Z72" s="27" t="n">
        <v>1.02</v>
      </c>
      <c r="AA72" s="27" t="n">
        <v>8.57</v>
      </c>
      <c r="AB72" s="27" t="n">
        <v>4.06</v>
      </c>
      <c r="AC72" s="27" t="n">
        <v>4.51</v>
      </c>
      <c r="AD72" s="27">
        <f>IF(OR(Q72="",BM72="",BM72=0),"",Q72/BM72)</f>
        <v/>
      </c>
      <c r="AE72" s="27">
        <f>IF(OR(T72="",BM72="",BM72=0),"",T72/BM72)</f>
        <v/>
      </c>
      <c r="AF72" s="27">
        <f>IF(OR(W72="",BM72="",BM72=0),"",W72/BM72)</f>
        <v/>
      </c>
      <c r="AG72" s="27">
        <f>IF(OR(Z72="",BM72="",BM72=0),"",Z72/BM72)</f>
        <v/>
      </c>
      <c r="AH72" s="27">
        <f>IF(OR(AC72="",BM72="",BM72=0),"",AC72/BM72)</f>
        <v/>
      </c>
      <c r="AI72" s="26" t="n">
        <v>58.5</v>
      </c>
      <c r="AJ72" s="26" t="n">
        <v>22.1</v>
      </c>
      <c r="AK72" s="26" t="n"/>
      <c r="AL72" s="26" t="n">
        <v>19.4</v>
      </c>
      <c r="AM72" s="26" t="n"/>
      <c r="AN72" s="26" t="n"/>
      <c r="AO72" s="26" t="n">
        <v>6.5</v>
      </c>
      <c r="AP72" s="26" t="n">
        <v>5.3</v>
      </c>
      <c r="AQ72" s="26" t="n">
        <v>10.3</v>
      </c>
      <c r="AR72" s="26" t="n"/>
      <c r="AS72" s="26" t="n"/>
      <c r="AT72" s="26" t="n"/>
      <c r="AU72" s="26" t="n"/>
      <c r="AV72" s="26" t="n"/>
      <c r="AW72" s="26" t="n"/>
      <c r="AX72" s="26" t="n"/>
      <c r="AY72" s="26" t="n"/>
      <c r="AZ72" s="26" t="n"/>
      <c r="BA72" s="26" t="n">
        <v>20.1</v>
      </c>
      <c r="BB72" s="26" t="n">
        <v>6.4</v>
      </c>
      <c r="BC72" s="26" t="n">
        <v>32.4</v>
      </c>
      <c r="BD72" s="26" t="n"/>
      <c r="BE72" s="26" t="n"/>
      <c r="BF72" s="26" t="n">
        <v>7.1</v>
      </c>
      <c r="BG72" s="26" t="n">
        <v>7</v>
      </c>
      <c r="BH72" s="26" t="n"/>
      <c r="BI72" s="26" t="n"/>
      <c r="BJ72" s="26" t="n"/>
      <c r="BK72" s="26" t="n"/>
      <c r="BL72" s="23" t="inlineStr">
        <is>
          <t>Public Bank Berhad | Malayan Banking Berhad | HD Hyundai Electric Company Limited | Tenaga Nasional Berhad | Taiwan Semiconductor Manufacturing Company Limited</t>
        </is>
      </c>
      <c r="BM72" s="26" t="n">
        <v>8</v>
      </c>
      <c r="BN72" s="22" t="inlineStr">
        <is>
          <t>Moderate</t>
        </is>
      </c>
      <c r="BO72" s="23" t="inlineStr">
        <is>
          <t>Equity Malaysia Domestic 30% of the fund’s NAV</t>
        </is>
      </c>
      <c r="BP72" s="23" t="inlineStr">
        <is>
          <t>ThebenchmarkforPSTGFisacompositeof60%FTSEBursaMalaysiaKLCI,15% DowJonesIndustrialAverage,15%customisedindexbyMSCIbasedonthetop30 constituents of MSCI AC Far-East Ex-Japan Index (prior to 30 April 2021), 15% customisedindexbyS&amp;PDowJonesIndices,LLCbasedonthetop30constituents oftheS&amp;PBMIAsiaEx-JapanIndex(w.e.f.30April2021)and10%3-MonthKuala Lumpur Interbank Offered Rate (KLIBOR). UnderlyingindexdataaresourcedfromLipper,S&amp;PDowJonesIndices,LLCand Bank Negara Malaysia and expressed in Ringgit terms.</t>
        </is>
      </c>
      <c r="BQ72" s="28" t="n">
        <v>0.5058</v>
      </c>
      <c r="BR72" s="22" t="inlineStr">
        <is>
          <t>2026-05-07</t>
        </is>
      </c>
      <c r="BS72" s="28" t="n">
        <v>0.4931</v>
      </c>
      <c r="BT72" s="27" t="n">
        <v>-2.51</v>
      </c>
      <c r="BU72" s="24" t="n">
        <v>39</v>
      </c>
    </row>
    <row r="73" ht="16" customHeight="1">
      <c r="A73" s="29" t="inlineStr">
        <is>
          <t>PB U.S. EAGLE FUND</t>
        </is>
      </c>
      <c r="B73" s="29" t="inlineStr">
        <is>
          <t>PBUSEF</t>
        </is>
      </c>
      <c r="C73" s="29" t="inlineStr">
        <is>
          <t>Conventional</t>
        </is>
      </c>
      <c r="D73" s="29" t="inlineStr">
        <is>
          <t>Equity</t>
        </is>
      </c>
      <c r="E73" s="30" t="inlineStr">
        <is>
          <t>Capital Growth</t>
        </is>
      </c>
      <c r="F73" s="31" t="n">
        <v>5</v>
      </c>
      <c r="G73" s="30" t="inlineStr">
        <is>
          <t>Incidental</t>
        </is>
      </c>
      <c r="H73" s="32" t="n">
        <v>187.93</v>
      </c>
      <c r="I73" s="29" t="inlineStr">
        <is>
          <t>05.01.2021</t>
        </is>
      </c>
      <c r="J73" s="29" t="inlineStr">
        <is>
          <t>Qualified</t>
        </is>
      </c>
      <c r="K73" s="33" t="n">
        <v>25</v>
      </c>
      <c r="L73" s="29" t="inlineStr">
        <is>
          <t>1/4</t>
        </is>
      </c>
      <c r="M73" s="30" t="inlineStr">
        <is>
          <t>Qualified (WA: +1.01%) — YTD✘ 1Y✘ 3Y✔ 5Y✘</t>
        </is>
      </c>
      <c r="N73" s="34" t="n">
        <v>1.01</v>
      </c>
      <c r="O73" s="34" t="n">
        <v>-3.65</v>
      </c>
      <c r="P73" s="34" t="n">
        <v>1.13</v>
      </c>
      <c r="Q73" s="34" t="n">
        <v>-4.78</v>
      </c>
      <c r="R73" s="34" t="n">
        <v>10.27</v>
      </c>
      <c r="S73" s="34" t="n">
        <v>11.51</v>
      </c>
      <c r="T73" s="34" t="n">
        <v>-1.24</v>
      </c>
      <c r="U73" s="34" t="n">
        <v>12.36</v>
      </c>
      <c r="V73" s="34" t="n">
        <v>8.56</v>
      </c>
      <c r="W73" s="34" t="n">
        <v>3.8</v>
      </c>
      <c r="X73" s="34" t="n">
        <v>6.02</v>
      </c>
      <c r="Y73" s="34" t="n">
        <v>6.97</v>
      </c>
      <c r="Z73" s="34" t="n">
        <v>-0.95</v>
      </c>
      <c r="AA73" s="34" t="n"/>
      <c r="AB73" s="34" t="n"/>
      <c r="AC73" s="34" t="n"/>
      <c r="AD73" s="34">
        <f>IF(OR(Q73="",BM73="",BM73=0),"",Q73/BM73)</f>
        <v/>
      </c>
      <c r="AE73" s="34">
        <f>IF(OR(T73="",BM73="",BM73=0),"",T73/BM73)</f>
        <v/>
      </c>
      <c r="AF73" s="34">
        <f>IF(OR(W73="",BM73="",BM73=0),"",W73/BM73)</f>
        <v/>
      </c>
      <c r="AG73" s="34">
        <f>IF(OR(Z73="",BM73="",BM73=0),"",Z73/BM73)</f>
        <v/>
      </c>
      <c r="AH73" s="34">
        <f>IF(OR(AC73="",BM73="",BM73=0),"",AC73/BM73)</f>
        <v/>
      </c>
      <c r="AI73" s="33" t="n"/>
      <c r="AJ73" s="33" t="n">
        <v>95.59999999999999</v>
      </c>
      <c r="AK73" s="33" t="n"/>
      <c r="AL73" s="33" t="n">
        <v>4.4</v>
      </c>
      <c r="AM73" s="33" t="n"/>
      <c r="AN73" s="33" t="n"/>
      <c r="AO73" s="33" t="n">
        <v>75.5</v>
      </c>
      <c r="AP73" s="33" t="n">
        <v>10.2</v>
      </c>
      <c r="AQ73" s="33" t="n">
        <v>7.1</v>
      </c>
      <c r="AR73" s="33" t="n"/>
      <c r="AS73" s="33" t="n"/>
      <c r="AT73" s="33" t="n"/>
      <c r="AU73" s="33" t="n">
        <v>2.8</v>
      </c>
      <c r="AV73" s="33" t="n"/>
      <c r="AW73" s="33" t="n"/>
      <c r="AX73" s="33" t="n"/>
      <c r="AY73" s="33" t="n"/>
      <c r="AZ73" s="33" t="n"/>
      <c r="BA73" s="33" t="n">
        <v>9.800000000000001</v>
      </c>
      <c r="BB73" s="33" t="n">
        <v>37.4</v>
      </c>
      <c r="BC73" s="33" t="n">
        <v>9.199999999999999</v>
      </c>
      <c r="BD73" s="33" t="n">
        <v>22.5</v>
      </c>
      <c r="BE73" s="33" t="n">
        <v>15</v>
      </c>
      <c r="BF73" s="33" t="n"/>
      <c r="BG73" s="33" t="n"/>
      <c r="BH73" s="33" t="n"/>
      <c r="BI73" s="33" t="n"/>
      <c r="BJ73" s="33" t="n"/>
      <c r="BK73" s="33" t="n"/>
      <c r="BL73" s="30" t="inlineStr">
        <is>
          <t>Alphabet Incorporated - Class A | Goldman Sachs Group Incorporated | Costco Wholesale Corporation | NVIDIA Corporation | Tesla Incorporated</t>
        </is>
      </c>
      <c r="BM73" s="33" t="n">
        <v>16.4</v>
      </c>
      <c r="BN73" s="29" t="inlineStr">
        <is>
          <t>Very High</t>
        </is>
      </c>
      <c r="BO73" s="30" t="inlineStr">
        <is>
          <t>Equity U.S. Global</t>
        </is>
      </c>
      <c r="BP73" s="30" t="inlineStr">
        <is>
          <t>ThebenchmarkforPBUSEFisacompositeof90%DowJonesIndustrialAverage and 10% 3-Month Kuala Lumpur Interbank Offered Rate (KLIBOR). Underlying index data are sourced from Lipper and Bank Negara Malaysia and expressed in Ringgit terms.</t>
        </is>
      </c>
      <c r="BQ73" s="35" t="n">
        <v>0.3898</v>
      </c>
      <c r="BR73" s="29" t="inlineStr">
        <is>
          <t>2025-11-03</t>
        </is>
      </c>
      <c r="BS73" s="35" t="n">
        <v>0.3694</v>
      </c>
      <c r="BT73" s="34" t="n">
        <v>-5.23</v>
      </c>
      <c r="BU73" s="31" t="n">
        <v>224</v>
      </c>
    </row>
    <row r="74" ht="16" customHeight="1">
      <c r="A74" s="22" t="inlineStr">
        <is>
          <t>PUBLIC AGGRESSIVE GROWTH FUND</t>
        </is>
      </c>
      <c r="B74" s="22" t="inlineStr">
        <is>
          <t>PAGF</t>
        </is>
      </c>
      <c r="C74" s="22" t="inlineStr">
        <is>
          <t>Conventional</t>
        </is>
      </c>
      <c r="D74" s="22" t="inlineStr">
        <is>
          <t>Equity</t>
        </is>
      </c>
      <c r="E74" s="23" t="inlineStr">
        <is>
          <t>Capital Growth</t>
        </is>
      </c>
      <c r="F74" s="24" t="n">
        <v>5</v>
      </c>
      <c r="G74" s="23" t="inlineStr">
        <is>
          <t>Incidental</t>
        </is>
      </c>
      <c r="H74" s="25" t="n">
        <v>249.53</v>
      </c>
      <c r="I74" s="22" t="inlineStr">
        <is>
          <t>25.04.1994</t>
        </is>
      </c>
      <c r="J74" s="22" t="inlineStr">
        <is>
          <t>Qualified</t>
        </is>
      </c>
      <c r="K74" s="26" t="n">
        <v>60</v>
      </c>
      <c r="L74" s="22" t="inlineStr">
        <is>
          <t>3/5</t>
        </is>
      </c>
      <c r="M74" s="23" t="inlineStr">
        <is>
          <t>Qualified (WA: +0.89%) — YTD✘ 1Y✘ 3Y✔ 5Y✔ 10Y✔</t>
        </is>
      </c>
      <c r="N74" s="27" t="n">
        <v>0.89</v>
      </c>
      <c r="O74" s="27" t="n">
        <v>1.55</v>
      </c>
      <c r="P74" s="27" t="n">
        <v>2.49</v>
      </c>
      <c r="Q74" s="27" t="n">
        <v>-0.9399999999999999</v>
      </c>
      <c r="R74" s="27" t="n">
        <v>8.529999999999999</v>
      </c>
      <c r="S74" s="27" t="n">
        <v>11.8</v>
      </c>
      <c r="T74" s="27" t="n">
        <v>-3.27</v>
      </c>
      <c r="U74" s="27" t="n">
        <v>7.48</v>
      </c>
      <c r="V74" s="27" t="n">
        <v>6.72</v>
      </c>
      <c r="W74" s="27" t="n">
        <v>0.76</v>
      </c>
      <c r="X74" s="27" t="n">
        <v>3.77</v>
      </c>
      <c r="Y74" s="27" t="n">
        <v>1.46</v>
      </c>
      <c r="Z74" s="27" t="n">
        <v>2.31</v>
      </c>
      <c r="AA74" s="27" t="n">
        <v>3.95</v>
      </c>
      <c r="AB74" s="27" t="n">
        <v>0.29</v>
      </c>
      <c r="AC74" s="27" t="n">
        <v>3.66</v>
      </c>
      <c r="AD74" s="27">
        <f>IF(OR(Q74="",BM74="",BM74=0),"",Q74/BM74)</f>
        <v/>
      </c>
      <c r="AE74" s="27">
        <f>IF(OR(T74="",BM74="",BM74=0),"",T74/BM74)</f>
        <v/>
      </c>
      <c r="AF74" s="27">
        <f>IF(OR(W74="",BM74="",BM74=0),"",W74/BM74)</f>
        <v/>
      </c>
      <c r="AG74" s="27">
        <f>IF(OR(Z74="",BM74="",BM74=0),"",Z74/BM74)</f>
        <v/>
      </c>
      <c r="AH74" s="27">
        <f>IF(OR(AC74="",BM74="",BM74=0),"",AC74/BM74)</f>
        <v/>
      </c>
      <c r="AI74" s="26" t="n">
        <v>76.40000000000001</v>
      </c>
      <c r="AJ74" s="26" t="n">
        <v>19.1</v>
      </c>
      <c r="AK74" s="26" t="n"/>
      <c r="AL74" s="26" t="n">
        <v>4.5</v>
      </c>
      <c r="AM74" s="26" t="n"/>
      <c r="AN74" s="26" t="n"/>
      <c r="AO74" s="26" t="n">
        <v>13.7</v>
      </c>
      <c r="AP74" s="26" t="n"/>
      <c r="AQ74" s="26" t="n"/>
      <c r="AR74" s="26" t="n"/>
      <c r="AS74" s="26" t="n">
        <v>2</v>
      </c>
      <c r="AT74" s="26" t="n"/>
      <c r="AU74" s="26" t="n">
        <v>3.4</v>
      </c>
      <c r="AV74" s="26" t="n"/>
      <c r="AW74" s="26" t="n"/>
      <c r="AX74" s="26" t="n"/>
      <c r="AY74" s="26" t="n"/>
      <c r="AZ74" s="26" t="n"/>
      <c r="BA74" s="26" t="n"/>
      <c r="BB74" s="26" t="n">
        <v>7.2</v>
      </c>
      <c r="BC74" s="26" t="n">
        <v>32.9</v>
      </c>
      <c r="BD74" s="26" t="n">
        <v>20.1</v>
      </c>
      <c r="BE74" s="26" t="n"/>
      <c r="BF74" s="26" t="n">
        <v>11.4</v>
      </c>
      <c r="BG74" s="26" t="n">
        <v>9.1</v>
      </c>
      <c r="BH74" s="26" t="n"/>
      <c r="BI74" s="26" t="n"/>
      <c r="BJ74" s="26" t="n"/>
      <c r="BK74" s="26" t="n"/>
      <c r="BL74" s="23" t="inlineStr">
        <is>
          <t>Public Bank Berhad | Tenaga Nasional Berhad | Malayan Banking Berhad | NVIDIA Corporation | Meta Platforms Incorporated</t>
        </is>
      </c>
      <c r="BM74" s="26" t="n">
        <v>7.8</v>
      </c>
      <c r="BN74" s="22" t="inlineStr">
        <is>
          <t>Moderate</t>
        </is>
      </c>
      <c r="BO74" s="23" t="inlineStr">
        <is>
          <t>Equity Malaysia Domestic 30% of the fund’s NAV</t>
        </is>
      </c>
      <c r="BP74" s="23" t="inlineStr">
        <is>
          <t>not a measure of fund performance. Kuala Lumpur Composite Index (prior to 6 July 2009). FTSE Bursa Malaysia KLCI (w.e.f. 6 July 2009).</t>
        </is>
      </c>
      <c r="BQ74" s="28" t="n">
        <v>1.17</v>
      </c>
      <c r="BR74" s="22" t="inlineStr">
        <is>
          <t>2000-02-24</t>
        </is>
      </c>
      <c r="BS74" s="28" t="n">
        <v>0.7072000000000001</v>
      </c>
      <c r="BT74" s="27" t="n">
        <v>-39.56</v>
      </c>
      <c r="BU74" s="24" t="n">
        <v>9608</v>
      </c>
    </row>
    <row r="75" ht="16" customHeight="1">
      <c r="A75" s="37" t="inlineStr">
        <is>
          <t>PUBLIC e-ISLAMIC INNOVATIVE TECHNOLOGY FUND</t>
        </is>
      </c>
      <c r="B75" s="37" t="inlineStr">
        <is>
          <t>PeISITF</t>
        </is>
      </c>
      <c r="C75" s="37" t="inlineStr">
        <is>
          <t>Shariah</t>
        </is>
      </c>
      <c r="D75" s="37" t="inlineStr">
        <is>
          <t>Equity</t>
        </is>
      </c>
      <c r="E75" s="30" t="inlineStr">
        <is>
          <t>Capital Growth</t>
        </is>
      </c>
      <c r="F75" s="31" t="n">
        <v>5</v>
      </c>
      <c r="G75" s="30" t="inlineStr">
        <is>
          <t>Incidental</t>
        </is>
      </c>
      <c r="H75" s="32" t="n">
        <v>580.4400000000001</v>
      </c>
      <c r="I75" s="29" t="inlineStr">
        <is>
          <t>25.05.2021</t>
        </is>
      </c>
      <c r="J75" s="29" t="inlineStr">
        <is>
          <t>Qualified</t>
        </is>
      </c>
      <c r="K75" s="33" t="n">
        <v>66.7</v>
      </c>
      <c r="L75" s="29" t="inlineStr">
        <is>
          <t>2/3</t>
        </is>
      </c>
      <c r="M75" s="30" t="inlineStr">
        <is>
          <t>Qualified (WA: +0.81%) — YTD✔ 1Y✔ 3Y✘</t>
        </is>
      </c>
      <c r="N75" s="34" t="n">
        <v>0.8100000000000001</v>
      </c>
      <c r="O75" s="34" t="n">
        <v>16.54</v>
      </c>
      <c r="P75" s="34" t="n">
        <v>14.32</v>
      </c>
      <c r="Q75" s="34" t="n">
        <v>2.22</v>
      </c>
      <c r="R75" s="34" t="n">
        <v>60.36</v>
      </c>
      <c r="S75" s="34" t="n">
        <v>49.19</v>
      </c>
      <c r="T75" s="34" t="n">
        <v>11.17</v>
      </c>
      <c r="U75" s="34" t="n">
        <v>25.86</v>
      </c>
      <c r="V75" s="34" t="n">
        <v>29.11</v>
      </c>
      <c r="W75" s="34" t="n">
        <v>-3.25</v>
      </c>
      <c r="X75" s="34" t="n"/>
      <c r="Y75" s="34" t="n"/>
      <c r="Z75" s="34" t="n"/>
      <c r="AA75" s="34" t="n"/>
      <c r="AB75" s="34" t="n"/>
      <c r="AC75" s="34" t="n"/>
      <c r="AD75" s="34">
        <f>IF(OR(Q75="",BM75="",BM75=0),"",Q75/BM75)</f>
        <v/>
      </c>
      <c r="AE75" s="34">
        <f>IF(OR(T75="",BM75="",BM75=0),"",T75/BM75)</f>
        <v/>
      </c>
      <c r="AF75" s="34">
        <f>IF(OR(W75="",BM75="",BM75=0),"",W75/BM75)</f>
        <v/>
      </c>
      <c r="AG75" s="34">
        <f>IF(OR(Z75="",BM75="",BM75=0),"",Z75/BM75)</f>
        <v/>
      </c>
      <c r="AH75" s="34">
        <f>IF(OR(AC75="",BM75="",BM75=0),"",AC75/BM75)</f>
        <v/>
      </c>
      <c r="AI75" s="33" t="n"/>
      <c r="AJ75" s="33" t="n">
        <v>95.09999999999999</v>
      </c>
      <c r="AK75" s="33" t="n"/>
      <c r="AL75" s="33" t="n">
        <v>4.9</v>
      </c>
      <c r="AM75" s="33" t="n"/>
      <c r="AN75" s="33" t="n"/>
      <c r="AO75" s="33" t="n">
        <v>61.3</v>
      </c>
      <c r="AP75" s="33" t="n">
        <v>12.9</v>
      </c>
      <c r="AQ75" s="33" t="n">
        <v>8.699999999999999</v>
      </c>
      <c r="AR75" s="33" t="n"/>
      <c r="AS75" s="33" t="n"/>
      <c r="AT75" s="33" t="n"/>
      <c r="AU75" s="33" t="n">
        <v>4.4</v>
      </c>
      <c r="AV75" s="33" t="n"/>
      <c r="AW75" s="33" t="n">
        <v>5.6</v>
      </c>
      <c r="AX75" s="33" t="n"/>
      <c r="AY75" s="33" t="n"/>
      <c r="AZ75" s="33" t="n"/>
      <c r="BA75" s="33" t="n"/>
      <c r="BB75" s="33" t="n">
        <v>69.8</v>
      </c>
      <c r="BC75" s="33" t="n"/>
      <c r="BD75" s="33" t="n">
        <v>22.5</v>
      </c>
      <c r="BE75" s="33" t="n">
        <v>2.8</v>
      </c>
      <c r="BF75" s="33" t="n"/>
      <c r="BG75" s="33" t="n"/>
      <c r="BH75" s="33" t="n"/>
      <c r="BI75" s="33" t="n"/>
      <c r="BJ75" s="33" t="n"/>
      <c r="BK75" s="33" t="n"/>
      <c r="BL75" s="30" t="inlineStr">
        <is>
          <t>Alphabet Incorporated - Class A | Taiwan Semiconductor Manufacturing Company Limited | Broadcom Incorporated | Microsoft Corporation | Advanced Micro Devices Incorporated</t>
        </is>
      </c>
      <c r="BM75" s="33" t="n">
        <v>17.6</v>
      </c>
      <c r="BN75" s="29" t="inlineStr">
        <is>
          <t>Very High</t>
        </is>
      </c>
      <c r="BO75" s="30" t="inlineStr">
        <is>
          <t>Equity Sector Global</t>
        </is>
      </c>
      <c r="BP75" s="30" t="inlineStr">
        <is>
          <t>The benchmark for PeISITF is a composite of 90% S&amp;P Global 1200 Shariah Information Technology (Sector) 10% Capped Index and 10% 1-Month Islamic Interbank Money Market (IIMM) rate. Underlying indexdata are sourced from S&amp;P Dow Jones Indices, LLC and Bank Negara Malaysia and expressed in Ringgit terms.</t>
        </is>
      </c>
      <c r="BQ75" s="35" t="n">
        <v>0.5439000000000001</v>
      </c>
      <c r="BR75" s="29" t="inlineStr">
        <is>
          <t>2026-06-04</t>
        </is>
      </c>
      <c r="BS75" s="35" t="n">
        <v>0.5246</v>
      </c>
      <c r="BT75" s="34" t="n">
        <v>-3.55</v>
      </c>
      <c r="BU75" s="31" t="n">
        <v>11</v>
      </c>
    </row>
    <row r="76" ht="16" customHeight="1">
      <c r="A76" s="22" t="inlineStr">
        <is>
          <t>PUBLIC GROWTH FUND</t>
        </is>
      </c>
      <c r="B76" s="22" t="inlineStr">
        <is>
          <t>PGF</t>
        </is>
      </c>
      <c r="C76" s="22" t="inlineStr">
        <is>
          <t>Conventional</t>
        </is>
      </c>
      <c r="D76" s="22" t="inlineStr">
        <is>
          <t>Equity</t>
        </is>
      </c>
      <c r="E76" s="23" t="inlineStr">
        <is>
          <t>Capital Growth + Income</t>
        </is>
      </c>
      <c r="F76" s="24" t="n">
        <v>4</v>
      </c>
      <c r="G76" s="23" t="inlineStr">
        <is>
          <t>Incidental</t>
        </is>
      </c>
      <c r="H76" s="25" t="n">
        <v>774.8</v>
      </c>
      <c r="I76" s="22" t="inlineStr">
        <is>
          <t>11.12.1984</t>
        </is>
      </c>
      <c r="J76" s="22" t="inlineStr">
        <is>
          <t>Qualified</t>
        </is>
      </c>
      <c r="K76" s="26" t="n">
        <v>60</v>
      </c>
      <c r="L76" s="22" t="inlineStr">
        <is>
          <t>3/5</t>
        </is>
      </c>
      <c r="M76" s="23" t="inlineStr">
        <is>
          <t>Qualified (WA: +0.77%) — YTD✘ 1Y✘ 3Y✔ 5Y✔ 10Y✔</t>
        </is>
      </c>
      <c r="N76" s="27" t="n">
        <v>0.77</v>
      </c>
      <c r="O76" s="27" t="n">
        <v>-0.48</v>
      </c>
      <c r="P76" s="27" t="n">
        <v>2.49</v>
      </c>
      <c r="Q76" s="27" t="n">
        <v>-2.97</v>
      </c>
      <c r="R76" s="27" t="n">
        <v>9.43</v>
      </c>
      <c r="S76" s="27" t="n">
        <v>11.8</v>
      </c>
      <c r="T76" s="27" t="n">
        <v>-2.37</v>
      </c>
      <c r="U76" s="27" t="n">
        <v>7.1</v>
      </c>
      <c r="V76" s="27" t="n">
        <v>6.72</v>
      </c>
      <c r="W76" s="27" t="n">
        <v>0.38</v>
      </c>
      <c r="X76" s="27" t="n">
        <v>3.92</v>
      </c>
      <c r="Y76" s="27" t="n">
        <v>1.46</v>
      </c>
      <c r="Z76" s="27" t="n">
        <v>2.46</v>
      </c>
      <c r="AA76" s="27" t="n">
        <v>3.69</v>
      </c>
      <c r="AB76" s="27" t="n">
        <v>0.29</v>
      </c>
      <c r="AC76" s="27" t="n">
        <v>3.4</v>
      </c>
      <c r="AD76" s="27">
        <f>IF(OR(Q76="",BM76="",BM76=0),"",Q76/BM76)</f>
        <v/>
      </c>
      <c r="AE76" s="27">
        <f>IF(OR(T76="",BM76="",BM76=0),"",T76/BM76)</f>
        <v/>
      </c>
      <c r="AF76" s="27">
        <f>IF(OR(W76="",BM76="",BM76=0),"",W76/BM76)</f>
        <v/>
      </c>
      <c r="AG76" s="27">
        <f>IF(OR(Z76="",BM76="",BM76=0),"",Z76/BM76)</f>
        <v/>
      </c>
      <c r="AH76" s="27">
        <f>IF(OR(AC76="",BM76="",BM76=0),"",AC76/BM76)</f>
        <v/>
      </c>
      <c r="AI76" s="26" t="n">
        <v>72.09999999999999</v>
      </c>
      <c r="AJ76" s="26" t="n">
        <v>22.6</v>
      </c>
      <c r="AK76" s="26" t="n"/>
      <c r="AL76" s="26" t="n">
        <v>5.3</v>
      </c>
      <c r="AM76" s="26" t="n"/>
      <c r="AN76" s="26" t="n"/>
      <c r="AO76" s="26" t="n">
        <v>15.6</v>
      </c>
      <c r="AP76" s="26" t="n"/>
      <c r="AQ76" s="26" t="n"/>
      <c r="AR76" s="26" t="n"/>
      <c r="AS76" s="26" t="n">
        <v>2.2</v>
      </c>
      <c r="AT76" s="26" t="n"/>
      <c r="AU76" s="26" t="n">
        <v>4.8</v>
      </c>
      <c r="AV76" s="26" t="n"/>
      <c r="AW76" s="26" t="n"/>
      <c r="AX76" s="26" t="n"/>
      <c r="AY76" s="26" t="n"/>
      <c r="AZ76" s="26" t="n"/>
      <c r="BA76" s="26" t="n"/>
      <c r="BB76" s="26" t="n">
        <v>8.199999999999999</v>
      </c>
      <c r="BC76" s="26" t="n">
        <v>30.8</v>
      </c>
      <c r="BD76" s="26" t="n">
        <v>22.6</v>
      </c>
      <c r="BE76" s="26" t="n"/>
      <c r="BF76" s="26" t="n">
        <v>8.300000000000001</v>
      </c>
      <c r="BG76" s="26" t="n">
        <v>9.9</v>
      </c>
      <c r="BH76" s="26" t="n"/>
      <c r="BI76" s="26" t="n"/>
      <c r="BJ76" s="26" t="n"/>
      <c r="BK76" s="26" t="n"/>
      <c r="BL76" s="23" t="inlineStr">
        <is>
          <t>Tenaga Nasional Berhad | Public Bank Berhad | Telekom Malaysia Berhad | Malayan Banking Berhad | NVIDIA Corporation</t>
        </is>
      </c>
      <c r="BM76" s="26" t="n">
        <v>7.6</v>
      </c>
      <c r="BN76" s="22" t="inlineStr">
        <is>
          <t>Low</t>
        </is>
      </c>
      <c r="BO76" s="23" t="inlineStr">
        <is>
          <t>Equity Malaysia Domestic 30% of the fund’s NAV</t>
        </is>
      </c>
      <c r="BP76" s="23" t="n"/>
      <c r="BQ76" s="28" t="n">
        <v>0.77</v>
      </c>
      <c r="BR76" s="22" t="inlineStr">
        <is>
          <t>2000-02-16</t>
        </is>
      </c>
      <c r="BS76" s="28" t="n">
        <v>0.4944</v>
      </c>
      <c r="BT76" s="27" t="n">
        <v>-35.79</v>
      </c>
      <c r="BU76" s="24" t="n">
        <v>9616</v>
      </c>
    </row>
    <row r="77" ht="16" customHeight="1">
      <c r="A77" s="37" t="inlineStr">
        <is>
          <t>PUBLIC ISLAMIC EQUITY FUND</t>
        </is>
      </c>
      <c r="B77" s="37" t="inlineStr">
        <is>
          <t>PIEF</t>
        </is>
      </c>
      <c r="C77" s="37" t="inlineStr">
        <is>
          <t>Shariah</t>
        </is>
      </c>
      <c r="D77" s="37" t="inlineStr">
        <is>
          <t>Equity</t>
        </is>
      </c>
      <c r="E77" s="30" t="inlineStr">
        <is>
          <t>Capital Growth</t>
        </is>
      </c>
      <c r="F77" s="31" t="n">
        <v>4</v>
      </c>
      <c r="G77" s="30" t="inlineStr">
        <is>
          <t>Incidental</t>
        </is>
      </c>
      <c r="H77" s="32" t="n">
        <v>1424.47</v>
      </c>
      <c r="I77" s="29" t="inlineStr">
        <is>
          <t>28.05.2003</t>
        </is>
      </c>
      <c r="J77" s="29" t="inlineStr">
        <is>
          <t>Qualified</t>
        </is>
      </c>
      <c r="K77" s="33" t="n">
        <v>60</v>
      </c>
      <c r="L77" s="29" t="inlineStr">
        <is>
          <t>3/5</t>
        </is>
      </c>
      <c r="M77" s="30" t="inlineStr">
        <is>
          <t>Qualified (WA: +0.73%) — YTD✘ 1Y✘ 3Y✔ 5Y✔ 10Y✔</t>
        </is>
      </c>
      <c r="N77" s="34" t="n">
        <v>0.73</v>
      </c>
      <c r="O77" s="34" t="n">
        <v>1.62</v>
      </c>
      <c r="P77" s="34" t="n">
        <v>5.14</v>
      </c>
      <c r="Q77" s="34" t="n">
        <v>-3.52</v>
      </c>
      <c r="R77" s="34" t="n">
        <v>11</v>
      </c>
      <c r="S77" s="34" t="n">
        <v>12.81</v>
      </c>
      <c r="T77" s="34" t="n">
        <v>-1.81</v>
      </c>
      <c r="U77" s="34" t="n">
        <v>6.27</v>
      </c>
      <c r="V77" s="34" t="n">
        <v>5.79</v>
      </c>
      <c r="W77" s="34" t="n">
        <v>0.48</v>
      </c>
      <c r="X77" s="34" t="n">
        <v>1.33</v>
      </c>
      <c r="Y77" s="34" t="n">
        <v>-0.85</v>
      </c>
      <c r="Z77" s="34" t="n">
        <v>2.18</v>
      </c>
      <c r="AA77" s="34" t="n">
        <v>3.37</v>
      </c>
      <c r="AB77" s="34" t="n">
        <v>0.41</v>
      </c>
      <c r="AC77" s="34" t="n">
        <v>2.96</v>
      </c>
      <c r="AD77" s="34">
        <f>IF(OR(Q77="",BM77="",BM77=0),"",Q77/BM77)</f>
        <v/>
      </c>
      <c r="AE77" s="34">
        <f>IF(OR(T77="",BM77="",BM77=0),"",T77/BM77)</f>
        <v/>
      </c>
      <c r="AF77" s="34">
        <f>IF(OR(W77="",BM77="",BM77=0),"",W77/BM77)</f>
        <v/>
      </c>
      <c r="AG77" s="34">
        <f>IF(OR(Z77="",BM77="",BM77=0),"",Z77/BM77)</f>
        <v/>
      </c>
      <c r="AH77" s="34">
        <f>IF(OR(AC77="",BM77="",BM77=0),"",AC77/BM77)</f>
        <v/>
      </c>
      <c r="AI77" s="33" t="n">
        <v>68.40000000000001</v>
      </c>
      <c r="AJ77" s="33" t="n">
        <v>27.4</v>
      </c>
      <c r="AK77" s="33" t="n"/>
      <c r="AL77" s="33" t="n">
        <v>4.2</v>
      </c>
      <c r="AM77" s="33" t="n"/>
      <c r="AN77" s="33" t="n"/>
      <c r="AO77" s="33" t="n">
        <v>15.7</v>
      </c>
      <c r="AP77" s="33" t="n">
        <v>7.7</v>
      </c>
      <c r="AQ77" s="33" t="n"/>
      <c r="AR77" s="33" t="n"/>
      <c r="AS77" s="33" t="n"/>
      <c r="AT77" s="33" t="n"/>
      <c r="AU77" s="33" t="n">
        <v>4</v>
      </c>
      <c r="AV77" s="33" t="n"/>
      <c r="AW77" s="33" t="n"/>
      <c r="AX77" s="33" t="n"/>
      <c r="AY77" s="33" t="n"/>
      <c r="AZ77" s="33" t="n"/>
      <c r="BA77" s="33" t="n">
        <v>9.199999999999999</v>
      </c>
      <c r="BB77" s="33" t="n">
        <v>15.3</v>
      </c>
      <c r="BC77" s="33" t="n"/>
      <c r="BD77" s="33" t="n">
        <v>24.5</v>
      </c>
      <c r="BE77" s="33" t="n"/>
      <c r="BF77" s="33" t="n">
        <v>19.3</v>
      </c>
      <c r="BG77" s="33" t="n">
        <v>9.6</v>
      </c>
      <c r="BH77" s="33" t="n"/>
      <c r="BI77" s="33" t="n"/>
      <c r="BJ77" s="33" t="n"/>
      <c r="BK77" s="33" t="n"/>
      <c r="BL77" s="30" t="inlineStr">
        <is>
          <t>Tenaga Nasional Berhad | Telekom Malaysia Berhad | IHH Healthcare Berhad | Taiwan Semiconductor Manufacturing Company Limited | Broadcom Incorporated</t>
        </is>
      </c>
      <c r="BM77" s="33" t="n">
        <v>7.5</v>
      </c>
      <c r="BN77" s="29" t="inlineStr">
        <is>
          <t>Low</t>
        </is>
      </c>
      <c r="BO77" s="30" t="inlineStr">
        <is>
          <t>Equity Malaysia Domestic</t>
        </is>
      </c>
      <c r="BP77" s="30" t="inlineStr">
        <is>
          <t>2022 1.00 31.5.22 3.0 Kuala Lumpur Syariah Index (prior to 1 November 2007). FTSE Bursa Malaysia EMAS Shariah Index (w.e.f. 1 November 2007). 2023 1.00 31.5.23 3.2</t>
        </is>
      </c>
      <c r="BQ77" s="35" t="n">
        <v>0.4248</v>
      </c>
      <c r="BR77" s="29" t="inlineStr">
        <is>
          <t>2007-10-30</t>
        </is>
      </c>
      <c r="BS77" s="35" t="n">
        <v>0.367</v>
      </c>
      <c r="BT77" s="34" t="n">
        <v>-13.61</v>
      </c>
      <c r="BU77" s="31" t="n">
        <v>6803</v>
      </c>
    </row>
    <row r="78" ht="16" customHeight="1">
      <c r="A78" s="22" t="inlineStr">
        <is>
          <t>PUBLIC REGULAR SAVINGS SEQUEL FUND</t>
        </is>
      </c>
      <c r="B78" s="22" t="inlineStr">
        <is>
          <t>PRSSQF</t>
        </is>
      </c>
      <c r="C78" s="22" t="inlineStr">
        <is>
          <t>Conventional</t>
        </is>
      </c>
      <c r="D78" s="22" t="inlineStr">
        <is>
          <t>Equity</t>
        </is>
      </c>
      <c r="E78" s="23" t="inlineStr">
        <is>
          <t>Capital Growth + Income</t>
        </is>
      </c>
      <c r="F78" s="24" t="n">
        <v>4</v>
      </c>
      <c r="G78" s="23" t="inlineStr">
        <is>
          <t>Annual</t>
        </is>
      </c>
      <c r="H78" s="25" t="n">
        <v>42.98</v>
      </c>
      <c r="I78" s="22" t="inlineStr">
        <is>
          <t>15.01.2016</t>
        </is>
      </c>
      <c r="J78" s="22" t="inlineStr">
        <is>
          <t>Qualified</t>
        </is>
      </c>
      <c r="K78" s="26" t="n">
        <v>60</v>
      </c>
      <c r="L78" s="22" t="inlineStr">
        <is>
          <t>3/5</t>
        </is>
      </c>
      <c r="M78" s="23" t="inlineStr">
        <is>
          <t>Qualified (WA: +0.68%) — YTD✘ 1Y✘ 3Y✔ 5Y✔ 10Y✔</t>
        </is>
      </c>
      <c r="N78" s="27" t="n">
        <v>0.68</v>
      </c>
      <c r="O78" s="27" t="n">
        <v>-0.01</v>
      </c>
      <c r="P78" s="27" t="n">
        <v>3.49</v>
      </c>
      <c r="Q78" s="27" t="n">
        <v>-3.5</v>
      </c>
      <c r="R78" s="27" t="n">
        <v>7.99</v>
      </c>
      <c r="S78" s="27" t="n">
        <v>11.41</v>
      </c>
      <c r="T78" s="27" t="n">
        <v>-3.42</v>
      </c>
      <c r="U78" s="27" t="n">
        <v>8.800000000000001</v>
      </c>
      <c r="V78" s="27" t="n">
        <v>7.22</v>
      </c>
      <c r="W78" s="27" t="n">
        <v>1.58</v>
      </c>
      <c r="X78" s="27" t="n">
        <v>3.71</v>
      </c>
      <c r="Y78" s="27" t="n">
        <v>2.04</v>
      </c>
      <c r="Z78" s="27" t="n">
        <v>1.67</v>
      </c>
      <c r="AA78" s="27" t="n">
        <v>3.42</v>
      </c>
      <c r="AB78" s="27" t="n">
        <v>1.3</v>
      </c>
      <c r="AC78" s="27" t="n">
        <v>2.12</v>
      </c>
      <c r="AD78" s="27">
        <f>IF(OR(Q78="",BM78="",BM78=0),"",Q78/BM78)</f>
        <v/>
      </c>
      <c r="AE78" s="27">
        <f>IF(OR(T78="",BM78="",BM78=0),"",T78/BM78)</f>
        <v/>
      </c>
      <c r="AF78" s="27">
        <f>IF(OR(W78="",BM78="",BM78=0),"",W78/BM78)</f>
        <v/>
      </c>
      <c r="AG78" s="27">
        <f>IF(OR(Z78="",BM78="",BM78=0),"",Z78/BM78)</f>
        <v/>
      </c>
      <c r="AH78" s="27">
        <f>IF(OR(AC78="",BM78="",BM78=0),"",AC78/BM78)</f>
        <v/>
      </c>
      <c r="AI78" s="26" t="n">
        <v>75.59999999999999</v>
      </c>
      <c r="AJ78" s="26" t="n">
        <v>19.4</v>
      </c>
      <c r="AK78" s="26" t="n"/>
      <c r="AL78" s="26" t="n">
        <v>5</v>
      </c>
      <c r="AM78" s="26" t="n"/>
      <c r="AN78" s="26" t="n"/>
      <c r="AO78" s="26" t="n">
        <v>15.5</v>
      </c>
      <c r="AP78" s="26" t="n"/>
      <c r="AQ78" s="26" t="n"/>
      <c r="AR78" s="26" t="n"/>
      <c r="AS78" s="26" t="n">
        <v>3.9</v>
      </c>
      <c r="AT78" s="26" t="n"/>
      <c r="AU78" s="26" t="n"/>
      <c r="AV78" s="26" t="n"/>
      <c r="AW78" s="26" t="n"/>
      <c r="AX78" s="26" t="n"/>
      <c r="AY78" s="26" t="n"/>
      <c r="AZ78" s="26" t="n"/>
      <c r="BA78" s="26" t="n">
        <v>11.3</v>
      </c>
      <c r="BB78" s="26" t="n"/>
      <c r="BC78" s="26" t="n">
        <v>24.5</v>
      </c>
      <c r="BD78" s="26" t="n">
        <v>17.2</v>
      </c>
      <c r="BE78" s="26" t="n">
        <v>14.1</v>
      </c>
      <c r="BF78" s="26" t="n">
        <v>12.3</v>
      </c>
      <c r="BG78" s="26" t="n"/>
      <c r="BH78" s="26" t="n"/>
      <c r="BI78" s="26" t="n"/>
      <c r="BJ78" s="26" t="n"/>
      <c r="BK78" s="26" t="n"/>
      <c r="BL78" s="23" t="inlineStr">
        <is>
          <t>Tenaga Nasional Berhad | Public Bank Berhad | Telekom Malaysia Berhad | Press Metal Aluminium Holdings Berhad | IHH Healthcare Berhad</t>
        </is>
      </c>
      <c r="BM78" s="26" t="n">
        <v>8.199999999999999</v>
      </c>
      <c r="BN78" s="22" t="inlineStr">
        <is>
          <t>Moderate</t>
        </is>
      </c>
      <c r="BO78" s="23" t="inlineStr">
        <is>
          <t>Equity Malaysia Domestic 25% of the fund’s NAV</t>
        </is>
      </c>
      <c r="BP78" s="23" t="inlineStr">
        <is>
          <t>2024 0.40 29.2.24 1.5 ThebenchmarkforPRSSQFisacompositeof90%FTSEBursaMalaysiaTop100 Index and 10% 3-Month Kuala Lumpur Interbank Offered Rate (KLIBOR). 2025 0.45 28.2.25 1.6 Underlying index data are sourced from Lipper and Bank Negara Malaysia. 2026 0.46 27.2.26 1.6 Note: Distribution yield simply measures the level of distributions and is</t>
        </is>
      </c>
      <c r="BQ78" s="28" t="n">
        <v>0.3154</v>
      </c>
      <c r="BR78" s="22" t="inlineStr">
        <is>
          <t>2024-12-17</t>
        </is>
      </c>
      <c r="BS78" s="28" t="n">
        <v>0.3009</v>
      </c>
      <c r="BT78" s="27" t="n">
        <v>-4.6</v>
      </c>
      <c r="BU78" s="24" t="n">
        <v>545</v>
      </c>
    </row>
    <row r="79" ht="16" customHeight="1">
      <c r="A79" s="37" t="inlineStr">
        <is>
          <t>PUBLIC ISLAMIC ASIA LEADERS EQUITY FUND</t>
        </is>
      </c>
      <c r="B79" s="37" t="inlineStr">
        <is>
          <t>PIALEF</t>
        </is>
      </c>
      <c r="C79" s="37" t="inlineStr">
        <is>
          <t>Shariah</t>
        </is>
      </c>
      <c r="D79" s="37" t="inlineStr">
        <is>
          <t>Equity</t>
        </is>
      </c>
      <c r="E79" s="30" t="inlineStr">
        <is>
          <t>Capital Growth</t>
        </is>
      </c>
      <c r="F79" s="31" t="n">
        <v>5</v>
      </c>
      <c r="G79" s="30" t="inlineStr">
        <is>
          <t>Incidental</t>
        </is>
      </c>
      <c r="H79" s="32" t="n">
        <v>1773.91</v>
      </c>
      <c r="I79" s="29" t="inlineStr">
        <is>
          <t>19.01.2010</t>
        </is>
      </c>
      <c r="J79" s="29" t="inlineStr">
        <is>
          <t>Qualified</t>
        </is>
      </c>
      <c r="K79" s="33" t="n">
        <v>40</v>
      </c>
      <c r="L79" s="29" t="inlineStr">
        <is>
          <t>2/5</t>
        </is>
      </c>
      <c r="M79" s="30" t="inlineStr">
        <is>
          <t>Qualified (WA: +0.54%) — YTD✔ 1Y✔ 3Y✘ 5Y✘ 10Y✘</t>
        </is>
      </c>
      <c r="N79" s="34" t="n">
        <v>0.54</v>
      </c>
      <c r="O79" s="34" t="n">
        <v>32.17</v>
      </c>
      <c r="P79" s="34" t="n">
        <v>28.78</v>
      </c>
      <c r="Q79" s="34" t="n">
        <v>3.39</v>
      </c>
      <c r="R79" s="34" t="n">
        <v>73.16</v>
      </c>
      <c r="S79" s="34" t="n">
        <v>64.12</v>
      </c>
      <c r="T79" s="34" t="n">
        <v>9.039999999999999</v>
      </c>
      <c r="U79" s="34" t="n">
        <v>18.8</v>
      </c>
      <c r="V79" s="34" t="n">
        <v>20.43</v>
      </c>
      <c r="W79" s="34" t="n">
        <v>-1.63</v>
      </c>
      <c r="X79" s="34" t="n">
        <v>3.01</v>
      </c>
      <c r="Y79" s="34" t="n">
        <v>4.23</v>
      </c>
      <c r="Z79" s="34" t="n">
        <v>-1.22</v>
      </c>
      <c r="AA79" s="34" t="n">
        <v>9.74</v>
      </c>
      <c r="AB79" s="34" t="n">
        <v>9.91</v>
      </c>
      <c r="AC79" s="34" t="n">
        <v>-0.17</v>
      </c>
      <c r="AD79" s="34">
        <f>IF(OR(Q79="",BM79="",BM79=0),"",Q79/BM79)</f>
        <v/>
      </c>
      <c r="AE79" s="34">
        <f>IF(OR(T79="",BM79="",BM79=0),"",T79/BM79)</f>
        <v/>
      </c>
      <c r="AF79" s="34">
        <f>IF(OR(W79="",BM79="",BM79=0),"",W79/BM79)</f>
        <v/>
      </c>
      <c r="AG79" s="34">
        <f>IF(OR(Z79="",BM79="",BM79=0),"",Z79/BM79)</f>
        <v/>
      </c>
      <c r="AH79" s="34">
        <f>IF(OR(AC79="",BM79="",BM79=0),"",AC79/BM79)</f>
        <v/>
      </c>
      <c r="AI79" s="33" t="n"/>
      <c r="AJ79" s="33" t="n">
        <v>95.8</v>
      </c>
      <c r="AK79" s="33" t="n"/>
      <c r="AL79" s="33" t="n">
        <v>4.2</v>
      </c>
      <c r="AM79" s="33" t="n"/>
      <c r="AN79" s="33" t="n"/>
      <c r="AO79" s="33" t="n">
        <v>13.9</v>
      </c>
      <c r="AP79" s="33" t="n">
        <v>35.8</v>
      </c>
      <c r="AQ79" s="33" t="n">
        <v>34.6</v>
      </c>
      <c r="AR79" s="33" t="n"/>
      <c r="AS79" s="33" t="n"/>
      <c r="AT79" s="33" t="n"/>
      <c r="AU79" s="33" t="n">
        <v>11.5</v>
      </c>
      <c r="AV79" s="33" t="n"/>
      <c r="AW79" s="33" t="n"/>
      <c r="AX79" s="33" t="n"/>
      <c r="AY79" s="33" t="n"/>
      <c r="AZ79" s="33" t="n"/>
      <c r="BA79" s="33" t="n">
        <v>27.6</v>
      </c>
      <c r="BB79" s="33" t="n">
        <v>44</v>
      </c>
      <c r="BC79" s="33" t="n"/>
      <c r="BD79" s="33" t="n">
        <v>20.9</v>
      </c>
      <c r="BE79" s="33" t="n">
        <v>3.3</v>
      </c>
      <c r="BF79" s="33" t="n"/>
      <c r="BG79" s="33" t="n"/>
      <c r="BH79" s="33" t="n"/>
      <c r="BI79" s="33" t="n"/>
      <c r="BJ79" s="33" t="n"/>
      <c r="BK79" s="33" t="n"/>
      <c r="BL79" s="30" t="inlineStr">
        <is>
          <t>SK Hynix Incorporated | Taiwan Semiconductor Manufacturing Company Limited | Samsung Electronics Company Limited | HD Hyundai Electric Company Limited | Delta Electronics Incorporated</t>
        </is>
      </c>
      <c r="BM79" s="33" t="n">
        <v>20.4</v>
      </c>
      <c r="BN79" s="29" t="inlineStr">
        <is>
          <t>Very High</t>
        </is>
      </c>
      <c r="BO79" s="30" t="inlineStr">
        <is>
          <t>Equity Asia Pacific Asia</t>
        </is>
      </c>
      <c r="BP79" s="30" t="inlineStr">
        <is>
          <t>ThebenchmarkforPIALEFisacompositeof90%customisedindexbyS&amp;PDow JonesIndices,LLCbasedontop100constituentsbymarketcapitalisationofthe S&amp;PShariahBMIAsiaEx-JapanIndexand10%3-MonthIslamicInterbankMoney Market (IIMM) rate. UnderlyingindexdataaresourcedfromS&amp;PDowJonesIndices,LLCandBank Negara Malaysia and expressed in Ringgit terms.</t>
        </is>
      </c>
      <c r="BQ79" s="35" t="n">
        <v>0.7974</v>
      </c>
      <c r="BR79" s="29" t="inlineStr">
        <is>
          <t>2026-06-04</t>
        </is>
      </c>
      <c r="BS79" s="35" t="n">
        <v>0.7714</v>
      </c>
      <c r="BT79" s="34" t="n">
        <v>-3.26</v>
      </c>
      <c r="BU79" s="31" t="n">
        <v>11</v>
      </c>
    </row>
    <row r="80" ht="16" customHeight="1">
      <c r="A80" s="22" t="inlineStr">
        <is>
          <t>PUBLIC SAVINGS FUND</t>
        </is>
      </c>
      <c r="B80" s="22" t="inlineStr">
        <is>
          <t>PSF</t>
        </is>
      </c>
      <c r="C80" s="22" t="inlineStr">
        <is>
          <t>Conventional</t>
        </is>
      </c>
      <c r="D80" s="22" t="inlineStr">
        <is>
          <t>Equity</t>
        </is>
      </c>
      <c r="E80" s="23" t="inlineStr">
        <is>
          <t>Capital Growth + Income</t>
        </is>
      </c>
      <c r="F80" s="24" t="n">
        <v>4</v>
      </c>
      <c r="G80" s="23" t="inlineStr">
        <is>
          <t>Annual</t>
        </is>
      </c>
      <c r="H80" s="25" t="n">
        <v>758.39</v>
      </c>
      <c r="I80" s="22" t="inlineStr">
        <is>
          <t>29.03.1981</t>
        </is>
      </c>
      <c r="J80" s="22" t="inlineStr">
        <is>
          <t>Qualified</t>
        </is>
      </c>
      <c r="K80" s="26" t="n">
        <v>80</v>
      </c>
      <c r="L80" s="22" t="inlineStr">
        <is>
          <t>4/5</t>
        </is>
      </c>
      <c r="M80" s="23" t="inlineStr">
        <is>
          <t>Qualified (WA: +0.50%) — YTD✔ 1Y✘ 3Y✔ 5Y✔ 10Y✔</t>
        </is>
      </c>
      <c r="N80" s="27" t="n">
        <v>0.5</v>
      </c>
      <c r="O80" s="27" t="n">
        <v>2.93</v>
      </c>
      <c r="P80" s="27" t="n">
        <v>2.49</v>
      </c>
      <c r="Q80" s="27" t="n">
        <v>0.44</v>
      </c>
      <c r="R80" s="27" t="n">
        <v>6.96</v>
      </c>
      <c r="S80" s="27" t="n">
        <v>11.8</v>
      </c>
      <c r="T80" s="27" t="n">
        <v>-4.84</v>
      </c>
      <c r="U80" s="27" t="n">
        <v>8.09</v>
      </c>
      <c r="V80" s="27" t="n">
        <v>6.72</v>
      </c>
      <c r="W80" s="27" t="n">
        <v>1.37</v>
      </c>
      <c r="X80" s="27" t="n">
        <v>2.68</v>
      </c>
      <c r="Y80" s="27" t="n">
        <v>1.46</v>
      </c>
      <c r="Z80" s="27" t="n">
        <v>1.22</v>
      </c>
      <c r="AA80" s="27" t="n">
        <v>2.65</v>
      </c>
      <c r="AB80" s="27" t="n">
        <v>0.29</v>
      </c>
      <c r="AC80" s="27" t="n">
        <v>2.36</v>
      </c>
      <c r="AD80" s="27">
        <f>IF(OR(Q80="",BM80="",BM80=0),"",Q80/BM80)</f>
        <v/>
      </c>
      <c r="AE80" s="27">
        <f>IF(OR(T80="",BM80="",BM80=0),"",T80/BM80)</f>
        <v/>
      </c>
      <c r="AF80" s="27">
        <f>IF(OR(W80="",BM80="",BM80=0),"",W80/BM80)</f>
        <v/>
      </c>
      <c r="AG80" s="27">
        <f>IF(OR(Z80="",BM80="",BM80=0),"",Z80/BM80)</f>
        <v/>
      </c>
      <c r="AH80" s="27">
        <f>IF(OR(AC80="",BM80="",BM80=0),"",AC80/BM80)</f>
        <v/>
      </c>
      <c r="AI80" s="26" t="n">
        <v>76.2</v>
      </c>
      <c r="AJ80" s="26" t="n">
        <v>20.3</v>
      </c>
      <c r="AK80" s="26" t="n"/>
      <c r="AL80" s="26" t="n">
        <v>3.5</v>
      </c>
      <c r="AM80" s="26" t="n"/>
      <c r="AN80" s="26" t="n"/>
      <c r="AO80" s="26" t="n">
        <v>16.4</v>
      </c>
      <c r="AP80" s="26" t="n"/>
      <c r="AQ80" s="26" t="n"/>
      <c r="AR80" s="26" t="n"/>
      <c r="AS80" s="26" t="n">
        <v>3.9</v>
      </c>
      <c r="AT80" s="26" t="n"/>
      <c r="AU80" s="26" t="n"/>
      <c r="AV80" s="26" t="n"/>
      <c r="AW80" s="26" t="n"/>
      <c r="AX80" s="26" t="n"/>
      <c r="AY80" s="26" t="n"/>
      <c r="AZ80" s="26" t="n"/>
      <c r="BA80" s="26" t="n"/>
      <c r="BB80" s="26" t="n"/>
      <c r="BC80" s="26" t="n">
        <v>34.8</v>
      </c>
      <c r="BD80" s="26" t="n">
        <v>14.9</v>
      </c>
      <c r="BE80" s="26" t="n">
        <v>14</v>
      </c>
      <c r="BF80" s="26" t="n">
        <v>10.8</v>
      </c>
      <c r="BG80" s="26" t="n">
        <v>9.5</v>
      </c>
      <c r="BH80" s="26" t="n"/>
      <c r="BI80" s="26" t="n"/>
      <c r="BJ80" s="26" t="n"/>
      <c r="BK80" s="26" t="n"/>
      <c r="BL80" s="23" t="inlineStr">
        <is>
          <t>LPI Capital Berhad | Tenaga Nasional Berhad | Public Bank Berhad | Malayan Banking Berhad | Alphabet Incorporated - Class A</t>
        </is>
      </c>
      <c r="BM80" s="26" t="n">
        <v>6.8</v>
      </c>
      <c r="BN80" s="22" t="inlineStr">
        <is>
          <t>Low</t>
        </is>
      </c>
      <c r="BO80" s="23" t="inlineStr">
        <is>
          <t>Equity Malaysia Domestic 30% of the fund’s NAV</t>
        </is>
      </c>
      <c r="BP80" s="23" t="inlineStr">
        <is>
          <t>Note: Distribution yield simply measures the level of distributions and is Kuala Lumpur Composite Index (prior to 6 July 2009). not a measure of fund performance. FTSE Bursa Malaysia KLCI (w.e.f. 6 July 2009).</t>
        </is>
      </c>
      <c r="BQ80" s="28" t="n">
        <v>1.07</v>
      </c>
      <c r="BR80" s="22" t="inlineStr">
        <is>
          <t>2000-02-18</t>
        </is>
      </c>
      <c r="BS80" s="28" t="n">
        <v>0.534</v>
      </c>
      <c r="BT80" s="27" t="n">
        <v>-50.09</v>
      </c>
      <c r="BU80" s="24" t="n">
        <v>9614</v>
      </c>
    </row>
    <row r="81" ht="16" customHeight="1">
      <c r="A81" s="29" t="inlineStr">
        <is>
          <t>PUBLIC FAR-EAST ALPHA-30 FUND</t>
        </is>
      </c>
      <c r="B81" s="29" t="inlineStr">
        <is>
          <t>PFA30F</t>
        </is>
      </c>
      <c r="C81" s="29" t="inlineStr">
        <is>
          <t>Conventional</t>
        </is>
      </c>
      <c r="D81" s="29" t="inlineStr">
        <is>
          <t>Equity</t>
        </is>
      </c>
      <c r="E81" s="30" t="inlineStr">
        <is>
          <t>Capital Growth</t>
        </is>
      </c>
      <c r="F81" s="31" t="n">
        <v>5</v>
      </c>
      <c r="G81" s="30" t="inlineStr">
        <is>
          <t>Incidental</t>
        </is>
      </c>
      <c r="H81" s="32" t="n">
        <v>362.86</v>
      </c>
      <c r="I81" s="29" t="inlineStr">
        <is>
          <t>06.04.2010</t>
        </is>
      </c>
      <c r="J81" s="29" t="inlineStr">
        <is>
          <t>Qualified</t>
        </is>
      </c>
      <c r="K81" s="33" t="n">
        <v>60</v>
      </c>
      <c r="L81" s="29" t="inlineStr">
        <is>
          <t>3/5</t>
        </is>
      </c>
      <c r="M81" s="30" t="inlineStr">
        <is>
          <t>Qualified (WA: +0.33%) — YTD✔ 1Y✔ 3Y✘ 5Y✘ 10Y✔</t>
        </is>
      </c>
      <c r="N81" s="34" t="n">
        <v>0.33</v>
      </c>
      <c r="O81" s="34" t="n">
        <v>14.43</v>
      </c>
      <c r="P81" s="34" t="n">
        <v>12.92</v>
      </c>
      <c r="Q81" s="34" t="n">
        <v>1.51</v>
      </c>
      <c r="R81" s="34" t="n">
        <v>45.54</v>
      </c>
      <c r="S81" s="34" t="n">
        <v>39.58</v>
      </c>
      <c r="T81" s="34" t="n">
        <v>5.96</v>
      </c>
      <c r="U81" s="34" t="n">
        <v>16.49</v>
      </c>
      <c r="V81" s="34" t="n">
        <v>17.82</v>
      </c>
      <c r="W81" s="34" t="n">
        <v>-1.33</v>
      </c>
      <c r="X81" s="34" t="n">
        <v>3.09</v>
      </c>
      <c r="Y81" s="34" t="n">
        <v>3.52</v>
      </c>
      <c r="Z81" s="34" t="n">
        <v>-0.43</v>
      </c>
      <c r="AA81" s="34" t="n">
        <v>9.359999999999999</v>
      </c>
      <c r="AB81" s="34" t="n">
        <v>9.35</v>
      </c>
      <c r="AC81" s="34" t="n">
        <v>0.01</v>
      </c>
      <c r="AD81" s="34">
        <f>IF(OR(Q81="",BM81="",BM81=0),"",Q81/BM81)</f>
        <v/>
      </c>
      <c r="AE81" s="34">
        <f>IF(OR(T81="",BM81="",BM81=0),"",T81/BM81)</f>
        <v/>
      </c>
      <c r="AF81" s="34">
        <f>IF(OR(W81="",BM81="",BM81=0),"",W81/BM81)</f>
        <v/>
      </c>
      <c r="AG81" s="34">
        <f>IF(OR(Z81="",BM81="",BM81=0),"",Z81/BM81)</f>
        <v/>
      </c>
      <c r="AH81" s="34">
        <f>IF(OR(AC81="",BM81="",BM81=0),"",AC81/BM81)</f>
        <v/>
      </c>
      <c r="AI81" s="33" t="n"/>
      <c r="AJ81" s="33" t="n">
        <v>93.09999999999999</v>
      </c>
      <c r="AK81" s="33" t="n"/>
      <c r="AL81" s="33" t="n">
        <v>6.9</v>
      </c>
      <c r="AM81" s="33" t="n"/>
      <c r="AN81" s="33" t="n"/>
      <c r="AO81" s="33" t="n">
        <v>11.2</v>
      </c>
      <c r="AP81" s="33" t="n">
        <v>19.4</v>
      </c>
      <c r="AQ81" s="33" t="n">
        <v>26.2</v>
      </c>
      <c r="AR81" s="33" t="n">
        <v>4.5</v>
      </c>
      <c r="AS81" s="33" t="n"/>
      <c r="AT81" s="33" t="n"/>
      <c r="AU81" s="33" t="n">
        <v>29.9</v>
      </c>
      <c r="AV81" s="33" t="n"/>
      <c r="AW81" s="33" t="n"/>
      <c r="AX81" s="33" t="n"/>
      <c r="AY81" s="33" t="n"/>
      <c r="AZ81" s="33" t="n"/>
      <c r="BA81" s="33" t="n">
        <v>13.7</v>
      </c>
      <c r="BB81" s="33" t="n">
        <v>41.5</v>
      </c>
      <c r="BC81" s="33" t="n">
        <v>3.5</v>
      </c>
      <c r="BD81" s="33" t="n">
        <v>24.6</v>
      </c>
      <c r="BE81" s="33" t="n">
        <v>9.300000000000001</v>
      </c>
      <c r="BF81" s="33" t="n"/>
      <c r="BG81" s="33" t="n"/>
      <c r="BH81" s="33" t="n"/>
      <c r="BI81" s="33" t="n"/>
      <c r="BJ81" s="33" t="n"/>
      <c r="BK81" s="33" t="n"/>
      <c r="BL81" s="30" t="inlineStr">
        <is>
          <t>SK Hynix Incorporated | Samsung Electronics Company Limited | Taiwan Semiconductor Manufacturing Company Limited | Tencent Holdings Limited | Advanced Micro Devices Incorporated</t>
        </is>
      </c>
      <c r="BM81" s="33" t="n">
        <v>18.1</v>
      </c>
      <c r="BN81" s="29" t="inlineStr">
        <is>
          <t>Very High</t>
        </is>
      </c>
      <c r="BO81" s="30" t="inlineStr">
        <is>
          <t>Equity Asia Pacific Asia</t>
        </is>
      </c>
      <c r="BP81" s="30" t="n"/>
      <c r="BQ81" s="35" t="n">
        <v>0.795</v>
      </c>
      <c r="BR81" s="29" t="inlineStr">
        <is>
          <t>2026-06-04</t>
        </is>
      </c>
      <c r="BS81" s="35" t="n">
        <v>0.7652</v>
      </c>
      <c r="BT81" s="34" t="n">
        <v>-3.75</v>
      </c>
      <c r="BU81" s="31" t="n">
        <v>11</v>
      </c>
    </row>
    <row r="82" ht="16" customHeight="1">
      <c r="A82" s="36" t="inlineStr">
        <is>
          <t>PUBLIC ISLAMIC SECTOR SELECT FUND</t>
        </is>
      </c>
      <c r="B82" s="36" t="inlineStr">
        <is>
          <t>PISSF</t>
        </is>
      </c>
      <c r="C82" s="36" t="inlineStr">
        <is>
          <t>Shariah</t>
        </is>
      </c>
      <c r="D82" s="36" t="inlineStr">
        <is>
          <t>Equity</t>
        </is>
      </c>
      <c r="E82" s="23" t="inlineStr">
        <is>
          <t>Capital Growth</t>
        </is>
      </c>
      <c r="F82" s="24" t="n">
        <v>4</v>
      </c>
      <c r="G82" s="23" t="inlineStr">
        <is>
          <t>Incidental</t>
        </is>
      </c>
      <c r="H82" s="25" t="n">
        <v>109.51</v>
      </c>
      <c r="I82" s="22" t="inlineStr">
        <is>
          <t>13.11.2007</t>
        </is>
      </c>
      <c r="J82" s="22" t="inlineStr">
        <is>
          <t>Qualified</t>
        </is>
      </c>
      <c r="K82" s="26" t="n">
        <v>40</v>
      </c>
      <c r="L82" s="22" t="inlineStr">
        <is>
          <t>2/5</t>
        </is>
      </c>
      <c r="M82" s="23" t="inlineStr">
        <is>
          <t>Qualified (WA: +0.29%) — YTD✘ 1Y✘ 3Y✘ 5Y✔ 10Y✔</t>
        </is>
      </c>
      <c r="N82" s="27" t="n">
        <v>0.29</v>
      </c>
      <c r="O82" s="27" t="n">
        <v>4.34</v>
      </c>
      <c r="P82" s="27" t="n">
        <v>5.14</v>
      </c>
      <c r="Q82" s="27" t="n">
        <v>-0.8</v>
      </c>
      <c r="R82" s="27" t="n">
        <v>10.76</v>
      </c>
      <c r="S82" s="27" t="n">
        <v>12.81</v>
      </c>
      <c r="T82" s="27" t="n">
        <v>-2.05</v>
      </c>
      <c r="U82" s="27" t="n">
        <v>5.54</v>
      </c>
      <c r="V82" s="27" t="n">
        <v>5.79</v>
      </c>
      <c r="W82" s="27" t="n">
        <v>-0.25</v>
      </c>
      <c r="X82" s="27" t="n">
        <v>1.3</v>
      </c>
      <c r="Y82" s="27" t="n">
        <v>-0.85</v>
      </c>
      <c r="Z82" s="27" t="n">
        <v>2.15</v>
      </c>
      <c r="AA82" s="27" t="n">
        <v>1.74</v>
      </c>
      <c r="AB82" s="27" t="n">
        <v>0.41</v>
      </c>
      <c r="AC82" s="27" t="n">
        <v>1.33</v>
      </c>
      <c r="AD82" s="27">
        <f>IF(OR(Q82="",BM82="",BM82=0),"",Q82/BM82)</f>
        <v/>
      </c>
      <c r="AE82" s="27">
        <f>IF(OR(T82="",BM82="",BM82=0),"",T82/BM82)</f>
        <v/>
      </c>
      <c r="AF82" s="27">
        <f>IF(OR(W82="",BM82="",BM82=0),"",W82/BM82)</f>
        <v/>
      </c>
      <c r="AG82" s="27">
        <f>IF(OR(Z82="",BM82="",BM82=0),"",Z82/BM82)</f>
        <v/>
      </c>
      <c r="AH82" s="27">
        <f>IF(OR(AC82="",BM82="",BM82=0),"",AC82/BM82)</f>
        <v/>
      </c>
      <c r="AI82" s="26" t="n">
        <v>75.8</v>
      </c>
      <c r="AJ82" s="26" t="n">
        <v>22.3</v>
      </c>
      <c r="AK82" s="26" t="n"/>
      <c r="AL82" s="26" t="n">
        <v>1.9</v>
      </c>
      <c r="AM82" s="26" t="n"/>
      <c r="AN82" s="26" t="n"/>
      <c r="AO82" s="26" t="n">
        <v>10.3</v>
      </c>
      <c r="AP82" s="26" t="n">
        <v>7.6</v>
      </c>
      <c r="AQ82" s="26" t="n"/>
      <c r="AR82" s="26" t="n"/>
      <c r="AS82" s="26" t="n">
        <v>4.4</v>
      </c>
      <c r="AT82" s="26" t="n"/>
      <c r="AU82" s="26" t="n"/>
      <c r="AV82" s="26" t="n"/>
      <c r="AW82" s="26" t="n"/>
      <c r="AX82" s="26" t="n"/>
      <c r="AY82" s="26" t="n"/>
      <c r="AZ82" s="26" t="n"/>
      <c r="BA82" s="26" t="n">
        <v>24.4</v>
      </c>
      <c r="BB82" s="26" t="n"/>
      <c r="BC82" s="26" t="n"/>
      <c r="BD82" s="26" t="n">
        <v>25.5</v>
      </c>
      <c r="BE82" s="26" t="n"/>
      <c r="BF82" s="26" t="n">
        <v>18</v>
      </c>
      <c r="BG82" s="26" t="n">
        <v>9.5</v>
      </c>
      <c r="BH82" s="26" t="n">
        <v>8.6</v>
      </c>
      <c r="BI82" s="26" t="n"/>
      <c r="BJ82" s="26" t="n"/>
      <c r="BK82" s="26" t="n"/>
      <c r="BL82" s="23" t="inlineStr">
        <is>
          <t>Sunway Construction Group Berhad | Tenaga Nasional Berhad | Telekom Malaysia Berhad | IHH Healthcare Berhad | Taiwan Semiconductor Manufacturing Company Limited</t>
        </is>
      </c>
      <c r="BM82" s="26" t="n">
        <v>8.4</v>
      </c>
      <c r="BN82" s="22" t="inlineStr">
        <is>
          <t>Moderate</t>
        </is>
      </c>
      <c r="BO82" s="23" t="inlineStr">
        <is>
          <t>Equity Malaysia Domestic</t>
        </is>
      </c>
      <c r="BP82" s="23" t="inlineStr">
        <is>
          <t>Index data are sourced from Lipper.</t>
        </is>
      </c>
      <c r="BQ82" s="28" t="n">
        <v>0.3302</v>
      </c>
      <c r="BR82" s="22" t="inlineStr">
        <is>
          <t>2013-11-19</t>
        </is>
      </c>
      <c r="BS82" s="28" t="n">
        <v>0.2893</v>
      </c>
      <c r="BT82" s="27" t="n">
        <v>-12.39</v>
      </c>
      <c r="BU82" s="24" t="n">
        <v>4591</v>
      </c>
    </row>
    <row r="83" ht="16" customHeight="1">
      <c r="A83" s="29" t="inlineStr">
        <is>
          <t>PB ASIA PACIFIC ENTERPRISES FUND</t>
        </is>
      </c>
      <c r="B83" s="29" t="inlineStr">
        <is>
          <t>PBAPENTF</t>
        </is>
      </c>
      <c r="C83" s="29" t="inlineStr">
        <is>
          <t>Conventional</t>
        </is>
      </c>
      <c r="D83" s="29" t="inlineStr">
        <is>
          <t>Equity</t>
        </is>
      </c>
      <c r="E83" s="30" t="inlineStr">
        <is>
          <t>Capital Growth</t>
        </is>
      </c>
      <c r="F83" s="31" t="n">
        <v>5</v>
      </c>
      <c r="G83" s="30" t="inlineStr">
        <is>
          <t>Incidental</t>
        </is>
      </c>
      <c r="H83" s="32" t="n">
        <v>63.82</v>
      </c>
      <c r="I83" s="29" t="inlineStr">
        <is>
          <t>08.03.2011</t>
        </is>
      </c>
      <c r="J83" s="29" t="inlineStr">
        <is>
          <t>Qualified</t>
        </is>
      </c>
      <c r="K83" s="33" t="n">
        <v>80</v>
      </c>
      <c r="L83" s="29" t="inlineStr">
        <is>
          <t>4/5</t>
        </is>
      </c>
      <c r="M83" s="30" t="inlineStr">
        <is>
          <t>Qualified (WA: +0.22%) — YTD✔ 1Y✘ 3Y✔ 5Y✔ 10Y✔</t>
        </is>
      </c>
      <c r="N83" s="34" t="n">
        <v>0.22</v>
      </c>
      <c r="O83" s="34" t="n">
        <v>13.2</v>
      </c>
      <c r="P83" s="34" t="n">
        <v>11.64</v>
      </c>
      <c r="Q83" s="34" t="n">
        <v>1.56</v>
      </c>
      <c r="R83" s="34" t="n">
        <v>31.96</v>
      </c>
      <c r="S83" s="34" t="n">
        <v>33.52</v>
      </c>
      <c r="T83" s="34" t="n">
        <v>-1.56</v>
      </c>
      <c r="U83" s="34" t="n">
        <v>13.33</v>
      </c>
      <c r="V83" s="34" t="n">
        <v>12.67</v>
      </c>
      <c r="W83" s="34" t="n">
        <v>0.66</v>
      </c>
      <c r="X83" s="34" t="n">
        <v>3.69</v>
      </c>
      <c r="Y83" s="34" t="n">
        <v>3.68</v>
      </c>
      <c r="Z83" s="34" t="n">
        <v>0.01</v>
      </c>
      <c r="AA83" s="34" t="n">
        <v>8.5</v>
      </c>
      <c r="AB83" s="34" t="n">
        <v>7.74</v>
      </c>
      <c r="AC83" s="34" t="n">
        <v>0.76</v>
      </c>
      <c r="AD83" s="34">
        <f>IF(OR(Q83="",BM83="",BM83=0),"",Q83/BM83)</f>
        <v/>
      </c>
      <c r="AE83" s="34">
        <f>IF(OR(T83="",BM83="",BM83=0),"",T83/BM83)</f>
        <v/>
      </c>
      <c r="AF83" s="34">
        <f>IF(OR(W83="",BM83="",BM83=0),"",W83/BM83)</f>
        <v/>
      </c>
      <c r="AG83" s="34">
        <f>IF(OR(Z83="",BM83="",BM83=0),"",Z83/BM83)</f>
        <v/>
      </c>
      <c r="AH83" s="34">
        <f>IF(OR(AC83="",BM83="",BM83=0),"",AC83/BM83)</f>
        <v/>
      </c>
      <c r="AI83" s="33" t="n">
        <v>0.9</v>
      </c>
      <c r="AJ83" s="33" t="n">
        <v>96</v>
      </c>
      <c r="AK83" s="33" t="n"/>
      <c r="AL83" s="33" t="n">
        <v>3.1</v>
      </c>
      <c r="AM83" s="33" t="n"/>
      <c r="AN83" s="33" t="n"/>
      <c r="AO83" s="33" t="n">
        <v>6.6</v>
      </c>
      <c r="AP83" s="33" t="n">
        <v>27.7</v>
      </c>
      <c r="AQ83" s="33" t="n">
        <v>25.8</v>
      </c>
      <c r="AR83" s="33" t="n"/>
      <c r="AS83" s="33" t="n"/>
      <c r="AT83" s="33" t="n"/>
      <c r="AU83" s="33" t="n">
        <v>27.7</v>
      </c>
      <c r="AV83" s="33" t="n">
        <v>3.4</v>
      </c>
      <c r="AW83" s="33" t="n"/>
      <c r="AX83" s="33" t="n"/>
      <c r="AY83" s="33" t="n"/>
      <c r="AZ83" s="33" t="n"/>
      <c r="BA83" s="33" t="n">
        <v>6.5</v>
      </c>
      <c r="BB83" s="33" t="n">
        <v>48.1</v>
      </c>
      <c r="BC83" s="33" t="n">
        <v>10.4</v>
      </c>
      <c r="BD83" s="33" t="n">
        <v>24.3</v>
      </c>
      <c r="BE83" s="33" t="n">
        <v>5.7</v>
      </c>
      <c r="BF83" s="33" t="n"/>
      <c r="BG83" s="33" t="n"/>
      <c r="BH83" s="33" t="n"/>
      <c r="BI83" s="33" t="n"/>
      <c r="BJ83" s="33" t="n"/>
      <c r="BK83" s="33" t="n"/>
      <c r="BL83" s="30" t="inlineStr">
        <is>
          <t>Samsung Electronics Company Limited | Taiwan Semiconductor Manufacturing Company Limited | SK Hynix Incorporated | Alibaba Group Holding Limited - W | Tencent Holdings Limited</t>
        </is>
      </c>
      <c r="BM83" s="33" t="n">
        <v>15.1</v>
      </c>
      <c r="BN83" s="29" t="inlineStr">
        <is>
          <t>Very High</t>
        </is>
      </c>
      <c r="BO83" s="30" t="inlineStr">
        <is>
          <t>Equity Asia Pacific ex- Asia</t>
        </is>
      </c>
      <c r="BP83" s="30" t="inlineStr">
        <is>
          <t>Thebenchmark forPBAPENTF isa compositeof 55% S&amp;P Asia50 Index,30% S&amp;P Southeast Asia 40 Index and 15% S&amp;P/ASX 20 Index. UnderlyingindexdataaresourcedfromS&amp;PDowJonesIndices,LLCandLipper and expressed in Ringgit terms.</t>
        </is>
      </c>
      <c r="BQ83" s="35" t="n">
        <v>0.5716</v>
      </c>
      <c r="BR83" s="29" t="inlineStr">
        <is>
          <t>2026-06-04</t>
        </is>
      </c>
      <c r="BS83" s="35" t="n">
        <v>0.5526</v>
      </c>
      <c r="BT83" s="34" t="n">
        <v>-3.32</v>
      </c>
      <c r="BU83" s="31" t="n">
        <v>11</v>
      </c>
    </row>
    <row r="84" ht="16" customHeight="1">
      <c r="A84" s="22" t="inlineStr">
        <is>
          <t>PB DIVIDEND BUILDER EQUITY FUND</t>
        </is>
      </c>
      <c r="B84" s="22" t="inlineStr">
        <is>
          <t>PBDBEF</t>
        </is>
      </c>
      <c r="C84" s="22" t="inlineStr">
        <is>
          <t>Conventional</t>
        </is>
      </c>
      <c r="D84" s="22" t="inlineStr">
        <is>
          <t>Equity</t>
        </is>
      </c>
      <c r="E84" s="23" t="inlineStr">
        <is>
          <t>Income</t>
        </is>
      </c>
      <c r="F84" s="24" t="n">
        <v>4</v>
      </c>
      <c r="G84" s="23" t="inlineStr">
        <is>
          <t>Annual</t>
        </is>
      </c>
      <c r="H84" s="25" t="n">
        <v>48.32</v>
      </c>
      <c r="I84" s="22" t="inlineStr">
        <is>
          <t>30.06.2015</t>
        </is>
      </c>
      <c r="J84" s="22" t="inlineStr">
        <is>
          <t>Qualified</t>
        </is>
      </c>
      <c r="K84" s="26" t="n">
        <v>40</v>
      </c>
      <c r="L84" s="22" t="inlineStr">
        <is>
          <t>2/5</t>
        </is>
      </c>
      <c r="M84" s="23" t="inlineStr">
        <is>
          <t>Qualified (WA: +0.18%) — YTD✘ 1Y✘ 3Y✔ 5Y✘ 10Y✔</t>
        </is>
      </c>
      <c r="N84" s="27" t="n">
        <v>0.18</v>
      </c>
      <c r="O84" s="27" t="n">
        <v>2.61</v>
      </c>
      <c r="P84" s="27" t="n">
        <v>3.49</v>
      </c>
      <c r="Q84" s="27" t="n">
        <v>-0.88</v>
      </c>
      <c r="R84" s="27" t="n">
        <v>10.54</v>
      </c>
      <c r="S84" s="27" t="n">
        <v>11.41</v>
      </c>
      <c r="T84" s="27" t="n">
        <v>-0.87</v>
      </c>
      <c r="U84" s="27" t="n">
        <v>7.97</v>
      </c>
      <c r="V84" s="27" t="n">
        <v>7.22</v>
      </c>
      <c r="W84" s="27" t="n">
        <v>0.75</v>
      </c>
      <c r="X84" s="27" t="n">
        <v>0.88</v>
      </c>
      <c r="Y84" s="27" t="n">
        <v>2.04</v>
      </c>
      <c r="Z84" s="27" t="n">
        <v>-1.16</v>
      </c>
      <c r="AA84" s="27" t="n">
        <v>3.59</v>
      </c>
      <c r="AB84" s="27" t="n">
        <v>1.3</v>
      </c>
      <c r="AC84" s="27" t="n">
        <v>2.29</v>
      </c>
      <c r="AD84" s="27">
        <f>IF(OR(Q84="",BM84="",BM84=0),"",Q84/BM84)</f>
        <v/>
      </c>
      <c r="AE84" s="27">
        <f>IF(OR(T84="",BM84="",BM84=0),"",T84/BM84)</f>
        <v/>
      </c>
      <c r="AF84" s="27">
        <f>IF(OR(W84="",BM84="",BM84=0),"",W84/BM84)</f>
        <v/>
      </c>
      <c r="AG84" s="27">
        <f>IF(OR(Z84="",BM84="",BM84=0),"",Z84/BM84)</f>
        <v/>
      </c>
      <c r="AH84" s="27">
        <f>IF(OR(AC84="",BM84="",BM84=0),"",AC84/BM84)</f>
        <v/>
      </c>
      <c r="AI84" s="26" t="n">
        <v>75</v>
      </c>
      <c r="AJ84" s="26" t="n">
        <v>21.7</v>
      </c>
      <c r="AK84" s="26" t="n"/>
      <c r="AL84" s="26" t="n">
        <v>3.3</v>
      </c>
      <c r="AM84" s="26" t="n"/>
      <c r="AN84" s="26" t="n"/>
      <c r="AO84" s="26" t="n">
        <v>17.1</v>
      </c>
      <c r="AP84" s="26" t="n"/>
      <c r="AQ84" s="26" t="n"/>
      <c r="AR84" s="26" t="n"/>
      <c r="AS84" s="26" t="n">
        <v>4.6</v>
      </c>
      <c r="AT84" s="26" t="n"/>
      <c r="AU84" s="26" t="n"/>
      <c r="AV84" s="26" t="n"/>
      <c r="AW84" s="26" t="n"/>
      <c r="AX84" s="26" t="n"/>
      <c r="AY84" s="26" t="n"/>
      <c r="AZ84" s="26" t="n"/>
      <c r="BA84" s="26" t="n">
        <v>13.6</v>
      </c>
      <c r="BB84" s="26" t="n"/>
      <c r="BC84" s="26" t="n">
        <v>31.5</v>
      </c>
      <c r="BD84" s="26" t="n">
        <v>16</v>
      </c>
      <c r="BE84" s="26" t="n">
        <v>14</v>
      </c>
      <c r="BF84" s="26" t="n">
        <v>12</v>
      </c>
      <c r="BG84" s="26" t="n"/>
      <c r="BH84" s="26" t="n"/>
      <c r="BI84" s="26" t="n"/>
      <c r="BJ84" s="26" t="n"/>
      <c r="BK84" s="26" t="n"/>
      <c r="BL84" s="23" t="inlineStr">
        <is>
          <t>Public Bank Berhad | Tenaga Nasional Berhad | Alphabet Incorporated - Class A | Malayan Banking Berhad | Frontken Corporation Berhad</t>
        </is>
      </c>
      <c r="BM84" s="26" t="n">
        <v>7.9</v>
      </c>
      <c r="BN84" s="22" t="inlineStr">
        <is>
          <t>Moderate</t>
        </is>
      </c>
      <c r="BO84" s="23" t="inlineStr">
        <is>
          <t>Equity Malaysia Income</t>
        </is>
      </c>
      <c r="BP84" s="23" t="inlineStr">
        <is>
          <t>ThebenchmarkforPBDBEFisacompositeof90%FTSEBursaMalaysiaTop100 Index (FBM 100) and 10% 3-Month Kuala Lumpur Interbank Offered Rate (KLIBOR). Underlying index data are sourced from Lipper and Bank Negara Malaysia.</t>
        </is>
      </c>
      <c r="BQ84" s="28" t="n">
        <v>0.3051</v>
      </c>
      <c r="BR84" s="22" t="inlineStr">
        <is>
          <t>2021-04-26</t>
        </is>
      </c>
      <c r="BS84" s="28" t="n">
        <v>0.2869</v>
      </c>
      <c r="BT84" s="27" t="n">
        <v>-5.97</v>
      </c>
      <c r="BU84" s="24" t="n">
        <v>1876</v>
      </c>
    </row>
    <row r="85" ht="16" customHeight="1">
      <c r="A85" s="29" t="inlineStr">
        <is>
          <t>PUBLIC e-PIONEER ENTREPRENEUR FUND</t>
        </is>
      </c>
      <c r="B85" s="29" t="inlineStr">
        <is>
          <t>PePEF</t>
        </is>
      </c>
      <c r="C85" s="29" t="inlineStr">
        <is>
          <t>Conventional</t>
        </is>
      </c>
      <c r="D85" s="29" t="inlineStr">
        <is>
          <t>Equity</t>
        </is>
      </c>
      <c r="E85" s="30" t="inlineStr">
        <is>
          <t>Capital Growth</t>
        </is>
      </c>
      <c r="F85" s="31" t="n">
        <v>5</v>
      </c>
      <c r="G85" s="30" t="inlineStr">
        <is>
          <t>Incidental</t>
        </is>
      </c>
      <c r="H85" s="32" t="n">
        <v>302.94</v>
      </c>
      <c r="I85" s="29" t="inlineStr">
        <is>
          <t>29.07.2021</t>
        </is>
      </c>
      <c r="J85" s="29" t="inlineStr">
        <is>
          <t>Qualified</t>
        </is>
      </c>
      <c r="K85" s="33" t="n">
        <v>33.3</v>
      </c>
      <c r="L85" s="29" t="inlineStr">
        <is>
          <t>1/3</t>
        </is>
      </c>
      <c r="M85" s="30" t="inlineStr">
        <is>
          <t>Qualified (WA: +0.03%) — YTD✘ 1Y✘ 3Y✔</t>
        </is>
      </c>
      <c r="N85" s="34" t="n">
        <v>0.03</v>
      </c>
      <c r="O85" s="34" t="n">
        <v>-0.43</v>
      </c>
      <c r="P85" s="34" t="n">
        <v>6.05</v>
      </c>
      <c r="Q85" s="34" t="n">
        <v>-6.48</v>
      </c>
      <c r="R85" s="34" t="n">
        <v>19.35</v>
      </c>
      <c r="S85" s="34" t="n">
        <v>22.13</v>
      </c>
      <c r="T85" s="34" t="n">
        <v>-2.78</v>
      </c>
      <c r="U85" s="34" t="n">
        <v>14.94</v>
      </c>
      <c r="V85" s="34" t="n">
        <v>13.05</v>
      </c>
      <c r="W85" s="34" t="n">
        <v>1.89</v>
      </c>
      <c r="X85" s="34" t="n"/>
      <c r="Y85" s="34" t="n"/>
      <c r="Z85" s="34" t="n"/>
      <c r="AA85" s="34" t="n"/>
      <c r="AB85" s="34" t="n"/>
      <c r="AC85" s="34" t="n"/>
      <c r="AD85" s="34">
        <f>IF(OR(Q85="",BM85="",BM85=0),"",Q85/BM85)</f>
        <v/>
      </c>
      <c r="AE85" s="34">
        <f>IF(OR(T85="",BM85="",BM85=0),"",T85/BM85)</f>
        <v/>
      </c>
      <c r="AF85" s="34">
        <f>IF(OR(W85="",BM85="",BM85=0),"",W85/BM85)</f>
        <v/>
      </c>
      <c r="AG85" s="34">
        <f>IF(OR(Z85="",BM85="",BM85=0),"",Z85/BM85)</f>
        <v/>
      </c>
      <c r="AH85" s="34">
        <f>IF(OR(AC85="",BM85="",BM85=0),"",AC85/BM85)</f>
        <v/>
      </c>
      <c r="AI85" s="33" t="n"/>
      <c r="AJ85" s="33" t="n">
        <v>80.40000000000001</v>
      </c>
      <c r="AK85" s="33" t="n"/>
      <c r="AL85" s="33" t="n">
        <v>19.6</v>
      </c>
      <c r="AM85" s="33" t="n"/>
      <c r="AN85" s="33" t="n"/>
      <c r="AO85" s="33" t="n">
        <v>44</v>
      </c>
      <c r="AP85" s="33" t="n">
        <v>11</v>
      </c>
      <c r="AQ85" s="33" t="n">
        <v>2.8</v>
      </c>
      <c r="AR85" s="33" t="n"/>
      <c r="AS85" s="33" t="n">
        <v>2.4</v>
      </c>
      <c r="AT85" s="33" t="n"/>
      <c r="AU85" s="33" t="n">
        <v>19.5</v>
      </c>
      <c r="AV85" s="33" t="n"/>
      <c r="AW85" s="33" t="n"/>
      <c r="AX85" s="33" t="n"/>
      <c r="AY85" s="33" t="n"/>
      <c r="AZ85" s="33" t="n"/>
      <c r="BA85" s="33" t="n"/>
      <c r="BB85" s="33" t="n">
        <v>29.1</v>
      </c>
      <c r="BC85" s="33" t="n"/>
      <c r="BD85" s="33" t="n">
        <v>39.7</v>
      </c>
      <c r="BE85" s="33" t="n">
        <v>11.6</v>
      </c>
      <c r="BF85" s="33" t="n"/>
      <c r="BG85" s="33" t="n"/>
      <c r="BH85" s="33" t="n"/>
      <c r="BI85" s="33" t="n"/>
      <c r="BJ85" s="33" t="n"/>
      <c r="BK85" s="33" t="n"/>
      <c r="BL85" s="30" t="inlineStr">
        <is>
          <t>Alphabet Incorporated - Class A | Tesla Incorporated | Taiwan Semiconductor Manufacturing Company Limited | Amazon.com Incorporated | Tencent Holdings Limited</t>
        </is>
      </c>
      <c r="BM85" s="33" t="n">
        <v>12.1</v>
      </c>
      <c r="BN85" s="29" t="inlineStr">
        <is>
          <t>High</t>
        </is>
      </c>
      <c r="BO85" s="30" t="inlineStr">
        <is>
          <t>Equity Global Global</t>
        </is>
      </c>
      <c r="BP85" s="30" t="inlineStr">
        <is>
          <t>ThebenchmarkforPePEFisacompositeof50%DowJonesIndustrialAverage, 30% customised index by S&amp;P Dow Jones Indices, LLC based on the top 30 constituentsoftheS&amp;PBMIAsiaEx-JapanIndex,10%TOPIXCore30Indexand 10% 3-Month Kuala Lumpur Interbank Offered Rate (KLIBOR). UnderlyingindexdataaresourcedfromLipper,S&amp;PDowJonesIndices,LLCand Bank Negara Malaysia and expressed in Ringgit terms.</t>
        </is>
      </c>
      <c r="BQ85" s="35" t="n">
        <v>0.3829</v>
      </c>
      <c r="BR85" s="29" t="inlineStr">
        <is>
          <t>2026-06-04</t>
        </is>
      </c>
      <c r="BS85" s="35" t="n">
        <v>0.3671</v>
      </c>
      <c r="BT85" s="34" t="n">
        <v>-4.13</v>
      </c>
      <c r="BU85" s="31" t="n">
        <v>11</v>
      </c>
    </row>
    <row r="86" ht="16" customHeight="1">
      <c r="A86" s="36" t="inlineStr">
        <is>
          <t>PUBLIC ISLAMIC ASIA TACTICAL ALLOCATION FUND</t>
        </is>
      </c>
      <c r="B86" s="36" t="inlineStr">
        <is>
          <t>PIATAF</t>
        </is>
      </c>
      <c r="C86" s="36" t="inlineStr">
        <is>
          <t>Shariah</t>
        </is>
      </c>
      <c r="D86" s="36" t="inlineStr">
        <is>
          <t>Mixed Asset / Balanced</t>
        </is>
      </c>
      <c r="E86" s="23" t="inlineStr">
        <is>
          <t>Capital Growth</t>
        </is>
      </c>
      <c r="F86" s="24" t="n">
        <v>5</v>
      </c>
      <c r="G86" s="23" t="inlineStr">
        <is>
          <t>Incidental</t>
        </is>
      </c>
      <c r="H86" s="25" t="n">
        <v>3747.6</v>
      </c>
      <c r="I86" s="22" t="inlineStr">
        <is>
          <t>21.08.2007</t>
        </is>
      </c>
      <c r="J86" s="22" t="inlineStr">
        <is>
          <t>Qualified</t>
        </is>
      </c>
      <c r="K86" s="26" t="n">
        <v>100</v>
      </c>
      <c r="L86" s="22" t="inlineStr">
        <is>
          <t>5/5</t>
        </is>
      </c>
      <c r="M86" s="23" t="inlineStr">
        <is>
          <t>Qualified (WA: +30.87%) — YTD✔ 1Y✔ 3Y✔ 5Y✔ 10Y✔</t>
        </is>
      </c>
      <c r="N86" s="27" t="n">
        <v>30.87</v>
      </c>
      <c r="O86" s="27" t="n">
        <v>62.86</v>
      </c>
      <c r="P86" s="27" t="n">
        <v>21.1</v>
      </c>
      <c r="Q86" s="27" t="n">
        <v>41.76</v>
      </c>
      <c r="R86" s="27" t="n">
        <v>148.26</v>
      </c>
      <c r="S86" s="27" t="n">
        <v>46.82</v>
      </c>
      <c r="T86" s="27" t="n">
        <v>101.44</v>
      </c>
      <c r="U86" s="27" t="n">
        <v>39.75</v>
      </c>
      <c r="V86" s="27" t="n">
        <v>15.57</v>
      </c>
      <c r="W86" s="27" t="n">
        <v>24.18</v>
      </c>
      <c r="X86" s="27" t="n">
        <v>15.34</v>
      </c>
      <c r="Y86" s="27" t="n">
        <v>4.22</v>
      </c>
      <c r="Z86" s="27" t="n">
        <v>11.12</v>
      </c>
      <c r="AA86" s="27" t="n">
        <v>15.62</v>
      </c>
      <c r="AB86" s="27" t="n">
        <v>8.199999999999999</v>
      </c>
      <c r="AC86" s="27" t="n">
        <v>7.42</v>
      </c>
      <c r="AD86" s="27">
        <f>IF(OR(Q86="",BM86="",BM86=0),"",Q86/BM86)</f>
        <v/>
      </c>
      <c r="AE86" s="27">
        <f>IF(OR(T86="",BM86="",BM86=0),"",T86/BM86)</f>
        <v/>
      </c>
      <c r="AF86" s="27">
        <f>IF(OR(W86="",BM86="",BM86=0),"",W86/BM86)</f>
        <v/>
      </c>
      <c r="AG86" s="27">
        <f>IF(OR(Z86="",BM86="",BM86=0),"",Z86/BM86)</f>
        <v/>
      </c>
      <c r="AH86" s="27">
        <f>IF(OR(AC86="",BM86="",BM86=0),"",AC86/BM86)</f>
        <v/>
      </c>
      <c r="AI86" s="26" t="n"/>
      <c r="AJ86" s="26" t="n">
        <v>97.59999999999999</v>
      </c>
      <c r="AK86" s="26" t="n"/>
      <c r="AL86" s="26" t="n">
        <v>2.4</v>
      </c>
      <c r="AM86" s="26" t="n"/>
      <c r="AN86" s="26" t="n"/>
      <c r="AO86" s="26" t="n"/>
      <c r="AP86" s="26" t="n">
        <v>60</v>
      </c>
      <c r="AQ86" s="26" t="n">
        <v>31</v>
      </c>
      <c r="AR86" s="26" t="n">
        <v>1.8</v>
      </c>
      <c r="AS86" s="26" t="n"/>
      <c r="AT86" s="26" t="n"/>
      <c r="AU86" s="26" t="n">
        <v>4.8</v>
      </c>
      <c r="AV86" s="26" t="n"/>
      <c r="AW86" s="26" t="n"/>
      <c r="AX86" s="26" t="n"/>
      <c r="AY86" s="26" t="n"/>
      <c r="AZ86" s="26" t="n"/>
      <c r="BA86" s="26" t="n">
        <v>42.1</v>
      </c>
      <c r="BB86" s="26" t="n">
        <v>47</v>
      </c>
      <c r="BC86" s="26" t="n"/>
      <c r="BD86" s="26" t="n">
        <v>8.5</v>
      </c>
      <c r="BE86" s="26" t="n"/>
      <c r="BF86" s="26" t="n"/>
      <c r="BG86" s="26" t="n"/>
      <c r="BH86" s="26" t="n"/>
      <c r="BI86" s="26" t="n"/>
      <c r="BJ86" s="26" t="n"/>
      <c r="BK86" s="26" t="n"/>
      <c r="BL86" s="23" t="inlineStr">
        <is>
          <t>Unimicron Technology Corporation | Samsung Electronics Company Limited | SK Hynix Incorporated | HD Hyundai Electric Company Limited | Taiwan Semiconductor Manufacturing Company Limited</t>
        </is>
      </c>
      <c r="BM86" s="26" t="n">
        <v>23.8</v>
      </c>
      <c r="BN86" s="22" t="inlineStr">
        <is>
          <t>Very High</t>
        </is>
      </c>
      <c r="BO86" s="23" t="inlineStr">
        <is>
          <t>Mixed Asset MYR Asia</t>
        </is>
      </c>
      <c r="BP86" s="23" t="inlineStr">
        <is>
          <t>The benchmark for PIATAF is a composite of 70% S&amp;P Shariah BMI Asia Ex- JapanIndexand30%3-MonthIslamicInterbankMoneyMarket(IIMM)rate(w.e.f. 12 December 2011). UnderlyingindexdataaresourcedfromS&amp;PDowJonesIndices,LLCandBank Negara Malaysia and expressed in Ringgit terms.</t>
        </is>
      </c>
      <c r="BQ86" s="28" t="n">
        <v>1.3836</v>
      </c>
      <c r="BR86" s="22" t="inlineStr">
        <is>
          <t>2026-06-04</t>
        </is>
      </c>
      <c r="BS86" s="28" t="n">
        <v>1.3413</v>
      </c>
      <c r="BT86" s="27" t="n">
        <v>-3.06</v>
      </c>
      <c r="BU86" s="24" t="n">
        <v>11</v>
      </c>
    </row>
    <row r="87" ht="16" customHeight="1">
      <c r="A87" s="29" t="inlineStr">
        <is>
          <t>PUBLIC TACTICAL ALLOCATION FUND</t>
        </is>
      </c>
      <c r="B87" s="29" t="inlineStr">
        <is>
          <t>PTAF</t>
        </is>
      </c>
      <c r="C87" s="29" t="inlineStr">
        <is>
          <t>Conventional</t>
        </is>
      </c>
      <c r="D87" s="29" t="inlineStr">
        <is>
          <t>Mixed Asset / Balanced</t>
        </is>
      </c>
      <c r="E87" s="30" t="inlineStr">
        <is>
          <t>Capital Growth + Income</t>
        </is>
      </c>
      <c r="F87" s="31" t="n">
        <v>5</v>
      </c>
      <c r="G87" s="30" t="inlineStr">
        <is>
          <t>Incidental</t>
        </is>
      </c>
      <c r="H87" s="32" t="n">
        <v>613.28</v>
      </c>
      <c r="I87" s="29" t="inlineStr">
        <is>
          <t>23.01.2007</t>
        </is>
      </c>
      <c r="J87" s="29" t="inlineStr">
        <is>
          <t>Qualified</t>
        </is>
      </c>
      <c r="K87" s="33" t="n">
        <v>80</v>
      </c>
      <c r="L87" s="29" t="inlineStr">
        <is>
          <t>4/5</t>
        </is>
      </c>
      <c r="M87" s="30" t="inlineStr">
        <is>
          <t>Qualified (WA: +7.17%) — YTD✔ 1Y✔ 3Y✔ 5Y✘ 10Y✔</t>
        </is>
      </c>
      <c r="N87" s="34" t="n">
        <v>7.17</v>
      </c>
      <c r="O87" s="34" t="n">
        <v>17.24</v>
      </c>
      <c r="P87" s="34" t="n">
        <v>4.55</v>
      </c>
      <c r="Q87" s="34" t="n">
        <v>12.69</v>
      </c>
      <c r="R87" s="34" t="n">
        <v>38.41</v>
      </c>
      <c r="S87" s="34" t="n">
        <v>18.33</v>
      </c>
      <c r="T87" s="34" t="n">
        <v>20.08</v>
      </c>
      <c r="U87" s="34" t="n">
        <v>18.85</v>
      </c>
      <c r="V87" s="34" t="n">
        <v>10.1</v>
      </c>
      <c r="W87" s="34" t="n">
        <v>8.75</v>
      </c>
      <c r="X87" s="34" t="n">
        <v>0.85</v>
      </c>
      <c r="Y87" s="34" t="n">
        <v>1.52</v>
      </c>
      <c r="Z87" s="34" t="n">
        <v>-0.67</v>
      </c>
      <c r="AA87" s="34" t="n">
        <v>7.26</v>
      </c>
      <c r="AB87" s="34" t="n">
        <v>5.99</v>
      </c>
      <c r="AC87" s="34" t="n">
        <v>1.27</v>
      </c>
      <c r="AD87" s="34">
        <f>IF(OR(Q87="",BM87="",BM87=0),"",Q87/BM87)</f>
        <v/>
      </c>
      <c r="AE87" s="34">
        <f>IF(OR(T87="",BM87="",BM87=0),"",T87/BM87)</f>
        <v/>
      </c>
      <c r="AF87" s="34">
        <f>IF(OR(W87="",BM87="",BM87=0),"",W87/BM87)</f>
        <v/>
      </c>
      <c r="AG87" s="34">
        <f>IF(OR(Z87="",BM87="",BM87=0),"",Z87/BM87)</f>
        <v/>
      </c>
      <c r="AH87" s="34">
        <f>IF(OR(AC87="",BM87="",BM87=0),"",AC87/BM87)</f>
        <v/>
      </c>
      <c r="AI87" s="33" t="n"/>
      <c r="AJ87" s="33" t="n">
        <v>93.3</v>
      </c>
      <c r="AK87" s="33" t="n"/>
      <c r="AL87" s="33" t="n">
        <v>6.7</v>
      </c>
      <c r="AM87" s="33" t="n"/>
      <c r="AN87" s="33" t="n"/>
      <c r="AO87" s="33" t="n">
        <v>24</v>
      </c>
      <c r="AP87" s="33" t="n">
        <v>42</v>
      </c>
      <c r="AQ87" s="33" t="n">
        <v>23.9</v>
      </c>
      <c r="AR87" s="33" t="n"/>
      <c r="AS87" s="33" t="n"/>
      <c r="AT87" s="33" t="n"/>
      <c r="AU87" s="33" t="n">
        <v>3.4</v>
      </c>
      <c r="AV87" s="33" t="n"/>
      <c r="AW87" s="33" t="n"/>
      <c r="AX87" s="33" t="n"/>
      <c r="AY87" s="33" t="n"/>
      <c r="AZ87" s="33" t="n"/>
      <c r="BA87" s="33" t="n">
        <v>22.5</v>
      </c>
      <c r="BB87" s="33" t="n">
        <v>50.3</v>
      </c>
      <c r="BC87" s="33" t="n"/>
      <c r="BD87" s="33" t="n">
        <v>14.8</v>
      </c>
      <c r="BE87" s="33" t="n">
        <v>5.7</v>
      </c>
      <c r="BF87" s="33" t="n"/>
      <c r="BG87" s="33" t="n"/>
      <c r="BH87" s="33" t="n"/>
      <c r="BI87" s="33" t="n"/>
      <c r="BJ87" s="33" t="n"/>
      <c r="BK87" s="33" t="n"/>
      <c r="BL87" s="30" t="inlineStr">
        <is>
          <t>SK Hynix Incorporated | Taiwan Semiconductor Manufacturing Company Limited | Samsung Electronics Company Limited | Alphabet Incorporated - Class A | Tesla Incorporated</t>
        </is>
      </c>
      <c r="BM87" s="33" t="n">
        <v>19.2</v>
      </c>
      <c r="BN87" s="29" t="inlineStr">
        <is>
          <t>Very High</t>
        </is>
      </c>
      <c r="BO87" s="30" t="inlineStr">
        <is>
          <t>Mixed Asset MYR Flexible Global</t>
        </is>
      </c>
      <c r="BP87" s="30" t="inlineStr">
        <is>
          <t>The benchmark for PTAF is a composite of 70% MSCI AC Far-East Ex-Japan Index (prior to 30 April 2021), 70% S&amp;P Pan Asia Ex-Japan, Australia, NewZealand&amp;IndiaLargeCapIndex(30April2021to1January2024),40%S&amp;P UnitedStatesLargeCapIndex,15%customisedindexbyS&amp;PDowJonesIndices, LLCbasedonthetop30constituentsoftheS&amp;PBMIAsiaEx-JapanIndex,15% TOPIX Core 30 Index (w.e.f. 2 January 2024) and 30% 3-Month Kuala Lumpur Interbank Offered Rate (KLIBOR) (w.e.f. 12 December 2011). UnderlyingindexdataaresourcedfromS&amp;PDowJonesIndices,LLC,Lipperand Bank Negara Malaysia and expressed in Ringgit terms.</t>
        </is>
      </c>
      <c r="BQ87" s="35" t="n">
        <v>0.5644</v>
      </c>
      <c r="BR87" s="29" t="inlineStr">
        <is>
          <t>2026-06-04</t>
        </is>
      </c>
      <c r="BS87" s="35" t="n">
        <v>0.5345</v>
      </c>
      <c r="BT87" s="34" t="n">
        <v>-5.3</v>
      </c>
      <c r="BU87" s="31" t="n">
        <v>11</v>
      </c>
    </row>
    <row r="88" ht="16" customHeight="1">
      <c r="A88" s="22" t="inlineStr">
        <is>
          <t>PUBLIC e-FLEXI ALLOCATION FUND</t>
        </is>
      </c>
      <c r="B88" s="22" t="inlineStr">
        <is>
          <t>PeFAF</t>
        </is>
      </c>
      <c r="C88" s="22" t="inlineStr">
        <is>
          <t>Conventional</t>
        </is>
      </c>
      <c r="D88" s="22" t="inlineStr">
        <is>
          <t>Mixed Asset / Balanced</t>
        </is>
      </c>
      <c r="E88" s="23" t="inlineStr">
        <is>
          <t>Capital Growth + Income</t>
        </is>
      </c>
      <c r="F88" s="24" t="n">
        <v>5</v>
      </c>
      <c r="G88" s="23" t="inlineStr">
        <is>
          <t>Incidental</t>
        </is>
      </c>
      <c r="H88" s="25" t="n">
        <v>137.39</v>
      </c>
      <c r="I88" s="22" t="inlineStr">
        <is>
          <t>14.07.2017</t>
        </is>
      </c>
      <c r="J88" s="22" t="inlineStr">
        <is>
          <t>Qualified</t>
        </is>
      </c>
      <c r="K88" s="26" t="n">
        <v>100</v>
      </c>
      <c r="L88" s="22" t="inlineStr">
        <is>
          <t>4/4</t>
        </is>
      </c>
      <c r="M88" s="23" t="inlineStr">
        <is>
          <t>Qualified (WA: +6.86%) — YTD✔ 1Y✔ 3Y✔ 5Y✔</t>
        </is>
      </c>
      <c r="N88" s="27" t="n">
        <v>6.86</v>
      </c>
      <c r="O88" s="27" t="n">
        <v>8.029999999999999</v>
      </c>
      <c r="P88" s="27" t="n">
        <v>2.11</v>
      </c>
      <c r="Q88" s="27" t="n">
        <v>5.92</v>
      </c>
      <c r="R88" s="27" t="n">
        <v>25.61</v>
      </c>
      <c r="S88" s="27" t="n">
        <v>9.279999999999999</v>
      </c>
      <c r="T88" s="27" t="n">
        <v>16.33</v>
      </c>
      <c r="U88" s="27" t="n">
        <v>11.45</v>
      </c>
      <c r="V88" s="27" t="n">
        <v>5.85</v>
      </c>
      <c r="W88" s="27" t="n">
        <v>5.6</v>
      </c>
      <c r="X88" s="27" t="n">
        <v>5.45</v>
      </c>
      <c r="Y88" s="27" t="n">
        <v>2.07</v>
      </c>
      <c r="Z88" s="27" t="n">
        <v>3.38</v>
      </c>
      <c r="AA88" s="27" t="n"/>
      <c r="AB88" s="27" t="n"/>
      <c r="AC88" s="27" t="n"/>
      <c r="AD88" s="27">
        <f>IF(OR(Q88="",BM88="",BM88=0),"",Q88/BM88)</f>
        <v/>
      </c>
      <c r="AE88" s="27">
        <f>IF(OR(T88="",BM88="",BM88=0),"",T88/BM88)</f>
        <v/>
      </c>
      <c r="AF88" s="27">
        <f>IF(OR(W88="",BM88="",BM88=0),"",W88/BM88)</f>
        <v/>
      </c>
      <c r="AG88" s="27">
        <f>IF(OR(Z88="",BM88="",BM88=0),"",Z88/BM88)</f>
        <v/>
      </c>
      <c r="AH88" s="27">
        <f>IF(OR(AC88="",BM88="",BM88=0),"",AC88/BM88)</f>
        <v/>
      </c>
      <c r="AI88" s="26" t="n">
        <v>67.5</v>
      </c>
      <c r="AJ88" s="26" t="n">
        <v>28.8</v>
      </c>
      <c r="AK88" s="26" t="n"/>
      <c r="AL88" s="26" t="n">
        <v>3.7</v>
      </c>
      <c r="AM88" s="26" t="n"/>
      <c r="AN88" s="26" t="n"/>
      <c r="AO88" s="26" t="n">
        <v>14.9</v>
      </c>
      <c r="AP88" s="26" t="n">
        <v>8.1</v>
      </c>
      <c r="AQ88" s="26" t="n">
        <v>5.8</v>
      </c>
      <c r="AR88" s="26" t="n"/>
      <c r="AS88" s="26" t="n"/>
      <c r="AT88" s="26" t="n"/>
      <c r="AU88" s="26" t="n"/>
      <c r="AV88" s="26" t="n"/>
      <c r="AW88" s="26" t="n"/>
      <c r="AX88" s="26" t="n"/>
      <c r="AY88" s="26" t="n"/>
      <c r="AZ88" s="26" t="n"/>
      <c r="BA88" s="26" t="n">
        <v>29.8</v>
      </c>
      <c r="BB88" s="26" t="n">
        <v>13.6</v>
      </c>
      <c r="BC88" s="26" t="n">
        <v>16</v>
      </c>
      <c r="BD88" s="26" t="n">
        <v>15.8</v>
      </c>
      <c r="BE88" s="26" t="n"/>
      <c r="BF88" s="26" t="n"/>
      <c r="BG88" s="26" t="n">
        <v>9.199999999999999</v>
      </c>
      <c r="BH88" s="26" t="n"/>
      <c r="BI88" s="26" t="n"/>
      <c r="BJ88" s="26" t="n"/>
      <c r="BK88" s="26" t="n"/>
      <c r="BL88" s="23" t="inlineStr">
        <is>
          <t>Tenaga Nasional Berhad | Malayan Banking Berhad | Taiwan Semiconductor Manufacturing Company Limited | HD Hyundai Electric Company Limited | Press Metal Aluminium Holdings Berhad</t>
        </is>
      </c>
      <c r="BM88" s="26" t="n">
        <v>11</v>
      </c>
      <c r="BN88" s="22" t="inlineStr">
        <is>
          <t>High</t>
        </is>
      </c>
      <c r="BO88" s="23" t="inlineStr">
        <is>
          <t>Mixed Asset MYR Domestic 30% of the fund’s NAV</t>
        </is>
      </c>
      <c r="BP88" s="23" t="inlineStr">
        <is>
          <t>ThebenchmarkforPeFAFisacompositeof70%FTSEBursaMalaysiaKLCIand 30% 3-Month Kuala Lumpur Interbank Offered Rate (KLIBOR). Underlying index data are sourced from Lipper and Bank Negara Malaysia.</t>
        </is>
      </c>
      <c r="BQ88" s="28" t="n">
        <v>0.4799</v>
      </c>
      <c r="BR88" s="22" t="inlineStr">
        <is>
          <t>2026-05-14</t>
        </is>
      </c>
      <c r="BS88" s="28" t="n">
        <v>0.4705</v>
      </c>
      <c r="BT88" s="27" t="n">
        <v>-1.96</v>
      </c>
      <c r="BU88" s="24" t="n">
        <v>32</v>
      </c>
    </row>
    <row r="89" ht="16" customHeight="1">
      <c r="A89" s="37" t="inlineStr">
        <is>
          <t>PUBLIC ISLAMIC MIXED ASSET FUND</t>
        </is>
      </c>
      <c r="B89" s="37" t="inlineStr">
        <is>
          <t>PIMXAF</t>
        </is>
      </c>
      <c r="C89" s="37" t="inlineStr">
        <is>
          <t>Shariah</t>
        </is>
      </c>
      <c r="D89" s="37" t="inlineStr">
        <is>
          <t>Mixed Asset / Balanced</t>
        </is>
      </c>
      <c r="E89" s="30" t="inlineStr">
        <is>
          <t>Capital Growth</t>
        </is>
      </c>
      <c r="F89" s="31" t="n">
        <v>4</v>
      </c>
      <c r="G89" s="30" t="inlineStr">
        <is>
          <t>Incidental</t>
        </is>
      </c>
      <c r="H89" s="32" t="n">
        <v>1450.07</v>
      </c>
      <c r="I89" s="29" t="inlineStr">
        <is>
          <t>20.09.2005</t>
        </is>
      </c>
      <c r="J89" s="29" t="inlineStr">
        <is>
          <t>Qualified</t>
        </is>
      </c>
      <c r="K89" s="33" t="n">
        <v>80</v>
      </c>
      <c r="L89" s="29" t="inlineStr">
        <is>
          <t>4/5</t>
        </is>
      </c>
      <c r="M89" s="30" t="inlineStr">
        <is>
          <t>Qualified (WA: +5.05%) — YTD✘ 1Y✔ 3Y✔ 5Y✔ 10Y✔</t>
        </is>
      </c>
      <c r="N89" s="34" t="n">
        <v>5.05</v>
      </c>
      <c r="O89" s="34" t="n">
        <v>3.36</v>
      </c>
      <c r="P89" s="34" t="n">
        <v>3.93</v>
      </c>
      <c r="Q89" s="34" t="n">
        <v>-0.57</v>
      </c>
      <c r="R89" s="34" t="n">
        <v>17.87</v>
      </c>
      <c r="S89" s="34" t="n">
        <v>9.960000000000001</v>
      </c>
      <c r="T89" s="34" t="n">
        <v>7.91</v>
      </c>
      <c r="U89" s="34" t="n">
        <v>11.62</v>
      </c>
      <c r="V89" s="34" t="n">
        <v>5.23</v>
      </c>
      <c r="W89" s="34" t="n">
        <v>6.39</v>
      </c>
      <c r="X89" s="34" t="n">
        <v>3.91</v>
      </c>
      <c r="Y89" s="34" t="n">
        <v>0.47</v>
      </c>
      <c r="Z89" s="34" t="n">
        <v>3.44</v>
      </c>
      <c r="AA89" s="34" t="n">
        <v>4.54</v>
      </c>
      <c r="AB89" s="34" t="n">
        <v>1.38</v>
      </c>
      <c r="AC89" s="34" t="n">
        <v>3.16</v>
      </c>
      <c r="AD89" s="34">
        <f>IF(OR(Q89="",BM89="",BM89=0),"",Q89/BM89)</f>
        <v/>
      </c>
      <c r="AE89" s="34">
        <f>IF(OR(T89="",BM89="",BM89=0),"",T89/BM89)</f>
        <v/>
      </c>
      <c r="AF89" s="34">
        <f>IF(OR(W89="",BM89="",BM89=0),"",W89/BM89)</f>
        <v/>
      </c>
      <c r="AG89" s="34">
        <f>IF(OR(Z89="",BM89="",BM89=0),"",Z89/BM89)</f>
        <v/>
      </c>
      <c r="AH89" s="34">
        <f>IF(OR(AC89="",BM89="",BM89=0),"",AC89/BM89)</f>
        <v/>
      </c>
      <c r="AI89" s="33" t="n">
        <v>44</v>
      </c>
      <c r="AJ89" s="33" t="n">
        <v>23.2</v>
      </c>
      <c r="AK89" s="33" t="n">
        <v>29.9</v>
      </c>
      <c r="AL89" s="33" t="n">
        <v>2.9</v>
      </c>
      <c r="AM89" s="33" t="n"/>
      <c r="AN89" s="33" t="n"/>
      <c r="AO89" s="33" t="n">
        <v>9.1</v>
      </c>
      <c r="AP89" s="33" t="n">
        <v>4.8</v>
      </c>
      <c r="AQ89" s="33" t="n">
        <v>6.5</v>
      </c>
      <c r="AR89" s="33" t="n"/>
      <c r="AS89" s="33" t="n"/>
      <c r="AT89" s="33" t="n"/>
      <c r="AU89" s="33" t="n">
        <v>2.8</v>
      </c>
      <c r="AV89" s="33" t="n"/>
      <c r="AW89" s="33" t="n"/>
      <c r="AX89" s="33" t="n"/>
      <c r="AY89" s="33" t="n"/>
      <c r="AZ89" s="33" t="n"/>
      <c r="BA89" s="33" t="n">
        <v>21</v>
      </c>
      <c r="BB89" s="33" t="n"/>
      <c r="BC89" s="33" t="n"/>
      <c r="BD89" s="33" t="n">
        <v>14.4</v>
      </c>
      <c r="BE89" s="33" t="n"/>
      <c r="BF89" s="33" t="n">
        <v>8</v>
      </c>
      <c r="BG89" s="33" t="n">
        <v>9.300000000000001</v>
      </c>
      <c r="BH89" s="33" t="n"/>
      <c r="BI89" s="33" t="n">
        <v>7.6</v>
      </c>
      <c r="BJ89" s="33" t="n"/>
      <c r="BK89" s="33" t="n"/>
      <c r="BL89" s="30" t="inlineStr">
        <is>
          <t>Tenaga Nasional Berhad | Press Metal Aluminium Holdings Berhad | HD Hyundai Electric Company Limited | IHH Healthcare Berhad | Telekom Malaysia Berhad</t>
        </is>
      </c>
      <c r="BM89" s="33" t="n">
        <v>7.9</v>
      </c>
      <c r="BN89" s="29" t="inlineStr">
        <is>
          <t>Moderate</t>
        </is>
      </c>
      <c r="BO89" s="30" t="inlineStr">
        <is>
          <t>Mixed Asset MYR</t>
        </is>
      </c>
      <c r="BP89" s="30" t="inlineStr">
        <is>
          <t>ThebenchmarkforPIMXAFisacompositeof70%FTSEBursaMalaysiaEMAS ShariahIndexand30%3-MonthIslamicInterbankMoneyMarket(IIMM)rate(w.e.f. 12 December 2011). Underlying index data are sourced from Lipper and Bank Negara Malaysia.</t>
        </is>
      </c>
      <c r="BQ89" s="35" t="n">
        <v>0.3828</v>
      </c>
      <c r="BR89" s="29" t="inlineStr">
        <is>
          <t>2026-05-08</t>
        </is>
      </c>
      <c r="BS89" s="35" t="n">
        <v>0.379</v>
      </c>
      <c r="BT89" s="34" t="n">
        <v>-0.99</v>
      </c>
      <c r="BU89" s="31" t="n">
        <v>38</v>
      </c>
    </row>
    <row r="90" ht="16" customHeight="1">
      <c r="A90" s="36" t="inlineStr">
        <is>
          <t>PUBLIC e-ISLAMIC FLEXI ALLOCATION FUND</t>
        </is>
      </c>
      <c r="B90" s="36" t="inlineStr">
        <is>
          <t>PeIFAF</t>
        </is>
      </c>
      <c r="C90" s="36" t="inlineStr">
        <is>
          <t>Shariah</t>
        </is>
      </c>
      <c r="D90" s="36" t="inlineStr">
        <is>
          <t>Mixed Asset / Balanced</t>
        </is>
      </c>
      <c r="E90" s="23" t="inlineStr">
        <is>
          <t>Capital Growth</t>
        </is>
      </c>
      <c r="F90" s="24" t="n">
        <v>4</v>
      </c>
      <c r="G90" s="23" t="inlineStr">
        <is>
          <t>Incidental</t>
        </is>
      </c>
      <c r="H90" s="25" t="n">
        <v>45.89</v>
      </c>
      <c r="I90" s="22" t="inlineStr">
        <is>
          <t>03.04.2018</t>
        </is>
      </c>
      <c r="J90" s="22" t="inlineStr">
        <is>
          <t>Qualified</t>
        </is>
      </c>
      <c r="K90" s="26" t="n">
        <v>75</v>
      </c>
      <c r="L90" s="22" t="inlineStr">
        <is>
          <t>3/4</t>
        </is>
      </c>
      <c r="M90" s="23" t="inlineStr">
        <is>
          <t>Qualified (WA: +4.92%) — YTD✘ 1Y✔ 3Y✔ 5Y✔</t>
        </is>
      </c>
      <c r="N90" s="27" t="n">
        <v>4.92</v>
      </c>
      <c r="O90" s="27" t="n">
        <v>3.58</v>
      </c>
      <c r="P90" s="27" t="n">
        <v>4.03</v>
      </c>
      <c r="Q90" s="27" t="n">
        <v>-0.45</v>
      </c>
      <c r="R90" s="27" t="n">
        <v>19.64</v>
      </c>
      <c r="S90" s="27" t="n">
        <v>10.51</v>
      </c>
      <c r="T90" s="27" t="n">
        <v>9.130000000000001</v>
      </c>
      <c r="U90" s="27" t="n">
        <v>11.34</v>
      </c>
      <c r="V90" s="27" t="n">
        <v>5.8</v>
      </c>
      <c r="W90" s="27" t="n">
        <v>5.54</v>
      </c>
      <c r="X90" s="27" t="n">
        <v>3.57</v>
      </c>
      <c r="Y90" s="27" t="n">
        <v>1.09</v>
      </c>
      <c r="Z90" s="27" t="n">
        <v>2.48</v>
      </c>
      <c r="AA90" s="27" t="n"/>
      <c r="AB90" s="27" t="n"/>
      <c r="AC90" s="27" t="n"/>
      <c r="AD90" s="27">
        <f>IF(OR(Q90="",BM90="",BM90=0),"",Q90/BM90)</f>
        <v/>
      </c>
      <c r="AE90" s="27">
        <f>IF(OR(T90="",BM90="",BM90=0),"",T90/BM90)</f>
        <v/>
      </c>
      <c r="AF90" s="27">
        <f>IF(OR(W90="",BM90="",BM90=0),"",W90/BM90)</f>
        <v/>
      </c>
      <c r="AG90" s="27">
        <f>IF(OR(Z90="",BM90="",BM90=0),"",Z90/BM90)</f>
        <v/>
      </c>
      <c r="AH90" s="27">
        <f>IF(OR(AC90="",BM90="",BM90=0),"",AC90/BM90)</f>
        <v/>
      </c>
      <c r="AI90" s="26" t="n">
        <v>67.3</v>
      </c>
      <c r="AJ90" s="26" t="n">
        <v>30.3</v>
      </c>
      <c r="AK90" s="26" t="n"/>
      <c r="AL90" s="26" t="n">
        <v>2.4</v>
      </c>
      <c r="AM90" s="26" t="n"/>
      <c r="AN90" s="26" t="n"/>
      <c r="AO90" s="26" t="n">
        <v>22.3</v>
      </c>
      <c r="AP90" s="26" t="n">
        <v>8</v>
      </c>
      <c r="AQ90" s="26" t="n"/>
      <c r="AR90" s="26" t="n"/>
      <c r="AS90" s="26" t="n"/>
      <c r="AT90" s="26" t="n"/>
      <c r="AU90" s="26" t="n"/>
      <c r="AV90" s="26" t="n"/>
      <c r="AW90" s="26" t="n"/>
      <c r="AX90" s="26" t="n"/>
      <c r="AY90" s="26" t="n"/>
      <c r="AZ90" s="26" t="n"/>
      <c r="BA90" s="26" t="n">
        <v>23.2</v>
      </c>
      <c r="BB90" s="26" t="n">
        <v>15.4</v>
      </c>
      <c r="BC90" s="26" t="n"/>
      <c r="BD90" s="26" t="n">
        <v>25.7</v>
      </c>
      <c r="BE90" s="26" t="n">
        <v>12.1</v>
      </c>
      <c r="BF90" s="26" t="n"/>
      <c r="BG90" s="26" t="n">
        <v>8.6</v>
      </c>
      <c r="BH90" s="26" t="n"/>
      <c r="BI90" s="26" t="n"/>
      <c r="BJ90" s="26" t="n"/>
      <c r="BK90" s="26" t="n"/>
      <c r="BL90" s="23" t="inlineStr">
        <is>
          <t>Tenaga Nasional Berhad | Taiwan Semiconductor Manufacturing Company Limited | Telekom Malaysia Berhad | TIME dotCom Berhad | Alphabet Incorporated - Class A</t>
        </is>
      </c>
      <c r="BM90" s="26" t="n">
        <v>10.2</v>
      </c>
      <c r="BN90" s="22" t="inlineStr">
        <is>
          <t>Moderate</t>
        </is>
      </c>
      <c r="BO90" s="23" t="inlineStr">
        <is>
          <t>Mixed Asset MYR Domestic</t>
        </is>
      </c>
      <c r="BP90" s="23" t="inlineStr">
        <is>
          <t>The benchmark for PeIFAF is a composite of 70% FTSE Bursa Malaysia Hijrah Shariah Index and 30% 3-Month Islamic Interbank Money Market (IIMM) rate. Underlying index data are sourced from Lipper and Bank Negara Malaysia.</t>
        </is>
      </c>
      <c r="BQ90" s="28" t="n">
        <v>0.4263</v>
      </c>
      <c r="BR90" s="22" t="inlineStr">
        <is>
          <t>2026-06-03</t>
        </is>
      </c>
      <c r="BS90" s="28" t="n">
        <v>0.416</v>
      </c>
      <c r="BT90" s="27" t="n">
        <v>-2.42</v>
      </c>
      <c r="BU90" s="24" t="n">
        <v>12</v>
      </c>
    </row>
    <row r="91" ht="16" customHeight="1">
      <c r="A91" s="29" t="inlineStr">
        <is>
          <t>PUBLIC SELECT MIXED ASSET GROWTH FUND</t>
        </is>
      </c>
      <c r="B91" s="29" t="inlineStr">
        <is>
          <t>PSMAGF</t>
        </is>
      </c>
      <c r="C91" s="29" t="inlineStr">
        <is>
          <t>Conventional</t>
        </is>
      </c>
      <c r="D91" s="29" t="inlineStr">
        <is>
          <t>Mixed Asset / Balanced</t>
        </is>
      </c>
      <c r="E91" s="30" t="inlineStr">
        <is>
          <t>Capital Growth + Income</t>
        </is>
      </c>
      <c r="F91" s="31" t="n">
        <v>4</v>
      </c>
      <c r="G91" s="30" t="inlineStr">
        <is>
          <t>Incidental</t>
        </is>
      </c>
      <c r="H91" s="32" t="n">
        <v>32.27</v>
      </c>
      <c r="I91" s="29" t="inlineStr">
        <is>
          <t>16.10.2014</t>
        </is>
      </c>
      <c r="J91" s="29" t="inlineStr">
        <is>
          <t>Qualified</t>
        </is>
      </c>
      <c r="K91" s="33" t="n">
        <v>100</v>
      </c>
      <c r="L91" s="29" t="inlineStr">
        <is>
          <t>5/5</t>
        </is>
      </c>
      <c r="M91" s="30" t="inlineStr">
        <is>
          <t>Qualified (WA: +4.10%) — YTD✔ 1Y✔ 3Y✔ 5Y✔ 10Y✔</t>
        </is>
      </c>
      <c r="N91" s="34" t="n">
        <v>4.1</v>
      </c>
      <c r="O91" s="34" t="n">
        <v>6.62</v>
      </c>
      <c r="P91" s="34" t="n">
        <v>2.11</v>
      </c>
      <c r="Q91" s="34" t="n">
        <v>4.51</v>
      </c>
      <c r="R91" s="34" t="n">
        <v>16.3</v>
      </c>
      <c r="S91" s="34" t="n">
        <v>9.279999999999999</v>
      </c>
      <c r="T91" s="34" t="n">
        <v>7.02</v>
      </c>
      <c r="U91" s="34" t="n">
        <v>10.21</v>
      </c>
      <c r="V91" s="34" t="n">
        <v>5.85</v>
      </c>
      <c r="W91" s="34" t="n">
        <v>4.36</v>
      </c>
      <c r="X91" s="34" t="n">
        <v>3.76</v>
      </c>
      <c r="Y91" s="34" t="n">
        <v>2.07</v>
      </c>
      <c r="Z91" s="34" t="n">
        <v>1.69</v>
      </c>
      <c r="AA91" s="34" t="n">
        <v>5.64</v>
      </c>
      <c r="AB91" s="34" t="n">
        <v>1.27</v>
      </c>
      <c r="AC91" s="34" t="n">
        <v>4.37</v>
      </c>
      <c r="AD91" s="34">
        <f>IF(OR(Q91="",BM91="",BM91=0),"",Q91/BM91)</f>
        <v/>
      </c>
      <c r="AE91" s="34">
        <f>IF(OR(T91="",BM91="",BM91=0),"",T91/BM91)</f>
        <v/>
      </c>
      <c r="AF91" s="34">
        <f>IF(OR(W91="",BM91="",BM91=0),"",W91/BM91)</f>
        <v/>
      </c>
      <c r="AG91" s="34">
        <f>IF(OR(Z91="",BM91="",BM91=0),"",Z91/BM91)</f>
        <v/>
      </c>
      <c r="AH91" s="34">
        <f>IF(OR(AC91="",BM91="",BM91=0),"",AC91/BM91)</f>
        <v/>
      </c>
      <c r="AI91" s="33" t="n">
        <v>34.6</v>
      </c>
      <c r="AJ91" s="33" t="n">
        <v>29.9</v>
      </c>
      <c r="AK91" s="33" t="n">
        <v>28.8</v>
      </c>
      <c r="AL91" s="33" t="n">
        <v>6.7</v>
      </c>
      <c r="AM91" s="33" t="n"/>
      <c r="AN91" s="33" t="n"/>
      <c r="AO91" s="33" t="n">
        <v>12.1</v>
      </c>
      <c r="AP91" s="33" t="n">
        <v>7.6</v>
      </c>
      <c r="AQ91" s="33" t="n">
        <v>6.4</v>
      </c>
      <c r="AR91" s="33" t="n"/>
      <c r="AS91" s="33" t="n"/>
      <c r="AT91" s="33" t="n"/>
      <c r="AU91" s="33" t="n">
        <v>3.8</v>
      </c>
      <c r="AV91" s="33" t="n"/>
      <c r="AW91" s="33" t="n"/>
      <c r="AX91" s="33" t="n"/>
      <c r="AY91" s="33" t="n"/>
      <c r="AZ91" s="33" t="n"/>
      <c r="BA91" s="33" t="n">
        <v>13.6</v>
      </c>
      <c r="BB91" s="33" t="n">
        <v>12.6</v>
      </c>
      <c r="BC91" s="33" t="n">
        <v>15</v>
      </c>
      <c r="BD91" s="33" t="n">
        <v>9</v>
      </c>
      <c r="BE91" s="33" t="n"/>
      <c r="BF91" s="33" t="n"/>
      <c r="BG91" s="33" t="n">
        <v>9.1</v>
      </c>
      <c r="BH91" s="33" t="n"/>
      <c r="BI91" s="33" t="n"/>
      <c r="BJ91" s="33" t="n"/>
      <c r="BK91" s="33" t="n"/>
      <c r="BL91" s="30" t="inlineStr">
        <is>
          <t>Malayan Banking Berhad | Tenaga Nasional Berhad | Advanced Micro Devices Incorporated | Hanwha Aerospace Company Limited | Taiwan Semiconductor Manufacturing Company Limited</t>
        </is>
      </c>
      <c r="BM91" s="33" t="n">
        <v>8.4</v>
      </c>
      <c r="BN91" s="29" t="inlineStr">
        <is>
          <t>Moderate</t>
        </is>
      </c>
      <c r="BO91" s="30" t="inlineStr">
        <is>
          <t>Mixed Asset MYR Domestic 30% of the fund’s NAV</t>
        </is>
      </c>
      <c r="BP91" s="30" t="inlineStr">
        <is>
          <t>2022 1.00 29.4.22 3.4 ThebenchmarkforPSMAGFisacompositeof70% FTSEBursa MalaysiaKLCI Note: Distribution yield simply measures the level of distributions and is and 30% 3-Month Kuala Lumpur Interbank Offered Rate (KLIBOR). not a measure of fund performance. Underlying index data are sourced from Lipper and Bank Negara Malaysia.</t>
        </is>
      </c>
      <c r="BQ91" s="35" t="n">
        <v>0.3977</v>
      </c>
      <c r="BR91" s="29" t="inlineStr">
        <is>
          <t>2026-05-26</t>
        </is>
      </c>
      <c r="BS91" s="35" t="n">
        <v>0.3926</v>
      </c>
      <c r="BT91" s="34" t="n">
        <v>-1.28</v>
      </c>
      <c r="BU91" s="31" t="n">
        <v>20</v>
      </c>
    </row>
    <row r="92" ht="16" customHeight="1">
      <c r="A92" s="22" t="inlineStr">
        <is>
          <t>PUBLIC FAR-EAST BALANCED FUND</t>
        </is>
      </c>
      <c r="B92" s="22" t="inlineStr">
        <is>
          <t>PFEBF</t>
        </is>
      </c>
      <c r="C92" s="22" t="inlineStr">
        <is>
          <t>Conventional</t>
        </is>
      </c>
      <c r="D92" s="22" t="inlineStr">
        <is>
          <t>Mixed Asset / Balanced</t>
        </is>
      </c>
      <c r="E92" s="23" t="inlineStr">
        <is>
          <t>Capital Growth + Income</t>
        </is>
      </c>
      <c r="F92" s="24" t="n">
        <v>4</v>
      </c>
      <c r="G92" s="23" t="inlineStr">
        <is>
          <t>Incidental</t>
        </is>
      </c>
      <c r="H92" s="25" t="n">
        <v>237.42</v>
      </c>
      <c r="I92" s="22" t="inlineStr">
        <is>
          <t>23.01.2007</t>
        </is>
      </c>
      <c r="J92" s="22" t="inlineStr">
        <is>
          <t>Qualified</t>
        </is>
      </c>
      <c r="K92" s="26" t="n">
        <v>100</v>
      </c>
      <c r="L92" s="22" t="inlineStr">
        <is>
          <t>5/5</t>
        </is>
      </c>
      <c r="M92" s="23" t="inlineStr">
        <is>
          <t>Qualified (WA: +4.01%) — YTD✔ 1Y✔ 3Y✔ 5Y✔ 10Y✔</t>
        </is>
      </c>
      <c r="N92" s="27" t="n">
        <v>4.01</v>
      </c>
      <c r="O92" s="27" t="n">
        <v>16.93</v>
      </c>
      <c r="P92" s="27" t="n">
        <v>8.77</v>
      </c>
      <c r="Q92" s="27" t="n">
        <v>8.16</v>
      </c>
      <c r="R92" s="27" t="n">
        <v>38.42</v>
      </c>
      <c r="S92" s="27" t="n">
        <v>25.31</v>
      </c>
      <c r="T92" s="27" t="n">
        <v>13.11</v>
      </c>
      <c r="U92" s="27" t="n">
        <v>13.86</v>
      </c>
      <c r="V92" s="27" t="n">
        <v>11.16</v>
      </c>
      <c r="W92" s="27" t="n">
        <v>2.7</v>
      </c>
      <c r="X92" s="27" t="n">
        <v>4.72</v>
      </c>
      <c r="Y92" s="27" t="n">
        <v>3.09</v>
      </c>
      <c r="Z92" s="27" t="n">
        <v>1.63</v>
      </c>
      <c r="AA92" s="27" t="n">
        <v>7.21</v>
      </c>
      <c r="AB92" s="27" t="n">
        <v>6.23</v>
      </c>
      <c r="AC92" s="27" t="n">
        <v>0.98</v>
      </c>
      <c r="AD92" s="27">
        <f>IF(OR(Q92="",BM92="",BM92=0),"",Q92/BM92)</f>
        <v/>
      </c>
      <c r="AE92" s="27">
        <f>IF(OR(T92="",BM92="",BM92=0),"",T92/BM92)</f>
        <v/>
      </c>
      <c r="AF92" s="27">
        <f>IF(OR(W92="",BM92="",BM92=0),"",W92/BM92)</f>
        <v/>
      </c>
      <c r="AG92" s="27">
        <f>IF(OR(Z92="",BM92="",BM92=0),"",Z92/BM92)</f>
        <v/>
      </c>
      <c r="AH92" s="27">
        <f>IF(OR(AC92="",BM92="",BM92=0),"",AC92/BM92)</f>
        <v/>
      </c>
      <c r="AI92" s="26" t="n">
        <v>0.9</v>
      </c>
      <c r="AJ92" s="26" t="n">
        <v>59.6</v>
      </c>
      <c r="AK92" s="26" t="n">
        <v>30.4</v>
      </c>
      <c r="AL92" s="26" t="n">
        <v>9.1</v>
      </c>
      <c r="AM92" s="26" t="n"/>
      <c r="AN92" s="26" t="n"/>
      <c r="AO92" s="26" t="n">
        <v>2.9</v>
      </c>
      <c r="AP92" s="26" t="n">
        <v>22.7</v>
      </c>
      <c r="AQ92" s="26" t="n">
        <v>20.7</v>
      </c>
      <c r="AR92" s="26" t="n"/>
      <c r="AS92" s="26" t="n"/>
      <c r="AT92" s="26" t="n"/>
      <c r="AU92" s="26" t="n">
        <v>13.3</v>
      </c>
      <c r="AV92" s="26" t="n"/>
      <c r="AW92" s="26" t="n"/>
      <c r="AX92" s="26" t="n"/>
      <c r="AY92" s="26" t="n"/>
      <c r="AZ92" s="26" t="n"/>
      <c r="BA92" s="26" t="n">
        <v>15.9</v>
      </c>
      <c r="BB92" s="26" t="n">
        <v>31.1</v>
      </c>
      <c r="BC92" s="26" t="n">
        <v>0.9</v>
      </c>
      <c r="BD92" s="26" t="n">
        <v>11.5</v>
      </c>
      <c r="BE92" s="26" t="n">
        <v>1.1</v>
      </c>
      <c r="BF92" s="26" t="n"/>
      <c r="BG92" s="26" t="n"/>
      <c r="BH92" s="26" t="n"/>
      <c r="BI92" s="26" t="n"/>
      <c r="BJ92" s="26" t="n"/>
      <c r="BK92" s="26" t="n"/>
      <c r="BL92" s="23" t="inlineStr">
        <is>
          <t>Taiwan Semiconductor Manufacturing Company Limited | Samsung Electronics Company Limited | SK Hynix Incorporated | Alibaba Group Holding Limited - W | HD Hyundai Electric Company Limited</t>
        </is>
      </c>
      <c r="BM92" s="26" t="n">
        <v>11.6</v>
      </c>
      <c r="BN92" s="22" t="inlineStr">
        <is>
          <t>High</t>
        </is>
      </c>
      <c r="BO92" s="23" t="inlineStr">
        <is>
          <t>Mixed Asset MYR Asia</t>
        </is>
      </c>
      <c r="BP92" s="23" t="n"/>
      <c r="BQ92" s="28" t="n">
        <v>0.4764</v>
      </c>
      <c r="BR92" s="22" t="inlineStr">
        <is>
          <t>2026-06-04</t>
        </is>
      </c>
      <c r="BS92" s="28" t="n">
        <v>0.4668</v>
      </c>
      <c r="BT92" s="27" t="n">
        <v>-2.02</v>
      </c>
      <c r="BU92" s="24" t="n">
        <v>11</v>
      </c>
    </row>
    <row r="93" ht="16" customHeight="1">
      <c r="A93" s="37" t="inlineStr">
        <is>
          <t>PUBLIC EHSAN MIXED ASSET GROWTH FUND</t>
        </is>
      </c>
      <c r="B93" s="37" t="inlineStr">
        <is>
          <t>PESMAGF</t>
        </is>
      </c>
      <c r="C93" s="37" t="inlineStr">
        <is>
          <t>Shariah</t>
        </is>
      </c>
      <c r="D93" s="37" t="inlineStr">
        <is>
          <t>Mixed Asset / Balanced</t>
        </is>
      </c>
      <c r="E93" s="30" t="inlineStr">
        <is>
          <t>Capital Growth</t>
        </is>
      </c>
      <c r="F93" s="31" t="n">
        <v>4</v>
      </c>
      <c r="G93" s="30" t="inlineStr">
        <is>
          <t>Incidental</t>
        </is>
      </c>
      <c r="H93" s="32" t="n">
        <v>31.01</v>
      </c>
      <c r="I93" s="29" t="inlineStr">
        <is>
          <t>25.11.2014</t>
        </is>
      </c>
      <c r="J93" s="29" t="inlineStr">
        <is>
          <t>Qualified</t>
        </is>
      </c>
      <c r="K93" s="33" t="n">
        <v>80</v>
      </c>
      <c r="L93" s="29" t="inlineStr">
        <is>
          <t>4/5</t>
        </is>
      </c>
      <c r="M93" s="30" t="inlineStr">
        <is>
          <t>Qualified (WA: +3.07%) — YTD✔ 1Y✔ 3Y✔ 5Y✘ 10Y✔</t>
        </is>
      </c>
      <c r="N93" s="34" t="n">
        <v>3.07</v>
      </c>
      <c r="O93" s="34" t="n">
        <v>4.39</v>
      </c>
      <c r="P93" s="34" t="n">
        <v>4.03</v>
      </c>
      <c r="Q93" s="34" t="n">
        <v>0.36</v>
      </c>
      <c r="R93" s="34" t="n">
        <v>17.65</v>
      </c>
      <c r="S93" s="34" t="n">
        <v>10.51</v>
      </c>
      <c r="T93" s="34" t="n">
        <v>7.14</v>
      </c>
      <c r="U93" s="34" t="n">
        <v>10.66</v>
      </c>
      <c r="V93" s="34" t="n">
        <v>5.8</v>
      </c>
      <c r="W93" s="34" t="n">
        <v>4.86</v>
      </c>
      <c r="X93" s="34" t="n">
        <v>-0.06</v>
      </c>
      <c r="Y93" s="34" t="n">
        <v>1.09</v>
      </c>
      <c r="Z93" s="34" t="n">
        <v>-1.15</v>
      </c>
      <c r="AA93" s="34" t="n">
        <v>3.45</v>
      </c>
      <c r="AB93" s="34" t="n">
        <v>1.26</v>
      </c>
      <c r="AC93" s="34" t="n">
        <v>2.19</v>
      </c>
      <c r="AD93" s="34">
        <f>IF(OR(Q93="",BM93="",BM93=0),"",Q93/BM93)</f>
        <v/>
      </c>
      <c r="AE93" s="34">
        <f>IF(OR(T93="",BM93="",BM93=0),"",T93/BM93)</f>
        <v/>
      </c>
      <c r="AF93" s="34">
        <f>IF(OR(W93="",BM93="",BM93=0),"",W93/BM93)</f>
        <v/>
      </c>
      <c r="AG93" s="34">
        <f>IF(OR(Z93="",BM93="",BM93=0),"",Z93/BM93)</f>
        <v/>
      </c>
      <c r="AH93" s="34">
        <f>IF(OR(AC93="",BM93="",BM93=0),"",AC93/BM93)</f>
        <v/>
      </c>
      <c r="AI93" s="33" t="n">
        <v>41.6</v>
      </c>
      <c r="AJ93" s="33" t="n">
        <v>25.6</v>
      </c>
      <c r="AK93" s="33" t="n">
        <v>30.3</v>
      </c>
      <c r="AL93" s="33" t="n">
        <v>2.5</v>
      </c>
      <c r="AM93" s="33" t="n"/>
      <c r="AN93" s="33" t="n"/>
      <c r="AO93" s="33" t="n">
        <v>16.8</v>
      </c>
      <c r="AP93" s="33" t="n">
        <v>6.7</v>
      </c>
      <c r="AQ93" s="33" t="n"/>
      <c r="AR93" s="33" t="n"/>
      <c r="AS93" s="33" t="n"/>
      <c r="AT93" s="33" t="n"/>
      <c r="AU93" s="33" t="n">
        <v>2.1</v>
      </c>
      <c r="AV93" s="33" t="n"/>
      <c r="AW93" s="33" t="n"/>
      <c r="AX93" s="33" t="n"/>
      <c r="AY93" s="33" t="n"/>
      <c r="AZ93" s="33" t="n"/>
      <c r="BA93" s="33" t="n">
        <v>7.3</v>
      </c>
      <c r="BB93" s="33" t="n">
        <v>9.300000000000001</v>
      </c>
      <c r="BC93" s="33" t="n"/>
      <c r="BD93" s="33" t="n">
        <v>19.9</v>
      </c>
      <c r="BE93" s="33" t="n"/>
      <c r="BF93" s="33" t="n">
        <v>11.1</v>
      </c>
      <c r="BG93" s="33" t="n">
        <v>7.5</v>
      </c>
      <c r="BH93" s="33" t="n"/>
      <c r="BI93" s="33" t="n"/>
      <c r="BJ93" s="33" t="n"/>
      <c r="BK93" s="33" t="n"/>
      <c r="BL93" s="30" t="inlineStr">
        <is>
          <t>Alphabet Incorporated - Class A | Tenaga Nasional Berhad | Taiwan Semiconductor Manufacturing Company Limited | Press Metal Aluminium Holdings Berhad | IHH Healthcare Berhad</t>
        </is>
      </c>
      <c r="BM93" s="33" t="n">
        <v>7.2</v>
      </c>
      <c r="BN93" s="29" t="inlineStr">
        <is>
          <t>Low</t>
        </is>
      </c>
      <c r="BO93" s="30" t="inlineStr">
        <is>
          <t>Mixed Asset MYR Domestic</t>
        </is>
      </c>
      <c r="BP93" s="30" t="inlineStr">
        <is>
          <t>2022 2.00 29.4.22 7.5 ThebenchmarkforPESMAGFisacompositeof70%FTSEBursaMalaysiaHijrah Shariah Index and 30% 3-Month Islamic Interbank Money Market (IIMM) rate. Note: Distribution yield simply measures the level of distributions and is not Underlying index data are sourced from Lipper and Bank Negara Malaysia. a measure of fund performance.</t>
        </is>
      </c>
      <c r="BQ93" s="35" t="n">
        <v>0.4083</v>
      </c>
      <c r="BR93" s="29" t="inlineStr">
        <is>
          <t>2020-08-06</t>
        </is>
      </c>
      <c r="BS93" s="35" t="n">
        <v>0.3429</v>
      </c>
      <c r="BT93" s="34" t="n">
        <v>-16.02</v>
      </c>
      <c r="BU93" s="31" t="n">
        <v>2139</v>
      </c>
    </row>
    <row r="94" ht="16" customHeight="1">
      <c r="A94" s="22" t="inlineStr">
        <is>
          <t>PB DYNAMIC ALLOCATION FUND</t>
        </is>
      </c>
      <c r="B94" s="22" t="inlineStr">
        <is>
          <t>PBDYNAF</t>
        </is>
      </c>
      <c r="C94" s="22" t="inlineStr">
        <is>
          <t>Conventional</t>
        </is>
      </c>
      <c r="D94" s="22" t="inlineStr">
        <is>
          <t>Mixed Asset / Balanced</t>
        </is>
      </c>
      <c r="E94" s="23" t="inlineStr">
        <is>
          <t>Capital Growth + Income</t>
        </is>
      </c>
      <c r="F94" s="24" t="n">
        <v>5</v>
      </c>
      <c r="G94" s="23" t="inlineStr">
        <is>
          <t>Incidental</t>
        </is>
      </c>
      <c r="H94" s="25" t="n">
        <v>377.95</v>
      </c>
      <c r="I94" s="22" t="inlineStr">
        <is>
          <t>19.06.2012</t>
        </is>
      </c>
      <c r="J94" s="22" t="inlineStr">
        <is>
          <t>Qualified</t>
        </is>
      </c>
      <c r="K94" s="26" t="n">
        <v>100</v>
      </c>
      <c r="L94" s="22" t="inlineStr">
        <is>
          <t>5/5</t>
        </is>
      </c>
      <c r="M94" s="23" t="inlineStr">
        <is>
          <t>Qualified (WA: +3.03%) — YTD✔ 1Y✔ 3Y✔ 5Y✔ 10Y✔</t>
        </is>
      </c>
      <c r="N94" s="27" t="n">
        <v>3.03</v>
      </c>
      <c r="O94" s="27" t="n">
        <v>10.44</v>
      </c>
      <c r="P94" s="27" t="n">
        <v>10.03</v>
      </c>
      <c r="Q94" s="27" t="n">
        <v>0.41</v>
      </c>
      <c r="R94" s="27" t="n">
        <v>36.18</v>
      </c>
      <c r="S94" s="27" t="n">
        <v>29.24</v>
      </c>
      <c r="T94" s="27" t="n">
        <v>6.94</v>
      </c>
      <c r="U94" s="27" t="n">
        <v>15.61</v>
      </c>
      <c r="V94" s="27" t="n">
        <v>12.36</v>
      </c>
      <c r="W94" s="27" t="n">
        <v>3.25</v>
      </c>
      <c r="X94" s="27" t="n">
        <v>4.1</v>
      </c>
      <c r="Y94" s="27" t="n">
        <v>2.96</v>
      </c>
      <c r="Z94" s="27" t="n">
        <v>1.14</v>
      </c>
      <c r="AA94" s="27" t="n">
        <v>9.199999999999999</v>
      </c>
      <c r="AB94" s="27" t="n">
        <v>6.64</v>
      </c>
      <c r="AC94" s="27" t="n">
        <v>2.56</v>
      </c>
      <c r="AD94" s="27">
        <f>IF(OR(Q94="",BM94="",BM94=0),"",Q94/BM94)</f>
        <v/>
      </c>
      <c r="AE94" s="27">
        <f>IF(OR(T94="",BM94="",BM94=0),"",T94/BM94)</f>
        <v/>
      </c>
      <c r="AF94" s="27">
        <f>IF(OR(W94="",BM94="",BM94=0),"",W94/BM94)</f>
        <v/>
      </c>
      <c r="AG94" s="27">
        <f>IF(OR(Z94="",BM94="",BM94=0),"",Z94/BM94)</f>
        <v/>
      </c>
      <c r="AH94" s="27">
        <f>IF(OR(AC94="",BM94="",BM94=0),"",AC94/BM94)</f>
        <v/>
      </c>
      <c r="AI94" s="26" t="n"/>
      <c r="AJ94" s="26" t="n">
        <v>95.7</v>
      </c>
      <c r="AK94" s="26" t="n"/>
      <c r="AL94" s="26" t="n">
        <v>4.3</v>
      </c>
      <c r="AM94" s="26" t="n"/>
      <c r="AN94" s="26" t="n"/>
      <c r="AO94" s="26" t="n">
        <v>34</v>
      </c>
      <c r="AP94" s="26" t="n">
        <v>24.9</v>
      </c>
      <c r="AQ94" s="26" t="n">
        <v>15.5</v>
      </c>
      <c r="AR94" s="26" t="n"/>
      <c r="AS94" s="26" t="n"/>
      <c r="AT94" s="26" t="n"/>
      <c r="AU94" s="26" t="n">
        <v>19</v>
      </c>
      <c r="AV94" s="26" t="n"/>
      <c r="AW94" s="26" t="n"/>
      <c r="AX94" s="26" t="n"/>
      <c r="AY94" s="26" t="n"/>
      <c r="AZ94" s="26" t="n"/>
      <c r="BA94" s="26" t="n">
        <v>9.699999999999999</v>
      </c>
      <c r="BB94" s="26" t="n">
        <v>51.3</v>
      </c>
      <c r="BC94" s="26" t="n">
        <v>0.7</v>
      </c>
      <c r="BD94" s="26" t="n">
        <v>27.4</v>
      </c>
      <c r="BE94" s="26" t="n">
        <v>6.6</v>
      </c>
      <c r="BF94" s="26" t="n"/>
      <c r="BG94" s="26" t="n"/>
      <c r="BH94" s="26" t="n"/>
      <c r="BI94" s="26" t="n"/>
      <c r="BJ94" s="26" t="n"/>
      <c r="BK94" s="26" t="n"/>
      <c r="BL94" s="23" t="inlineStr">
        <is>
          <t>Taiwan Semiconductor Manufacturing Company Limited | Alphabet Incorporated - Class A | NVIDIA Corporation | Samsung Electronics Company Limited | SK Hynix Incorporated</t>
        </is>
      </c>
      <c r="BM94" s="26" t="n">
        <v>16.4</v>
      </c>
      <c r="BN94" s="22" t="inlineStr">
        <is>
          <t>Very High</t>
        </is>
      </c>
      <c r="BO94" s="23" t="inlineStr">
        <is>
          <t>Mixed Asset MYR Global</t>
        </is>
      </c>
      <c r="BP94" s="23" t="n"/>
      <c r="BQ94" s="28" t="n">
        <v>2.0462</v>
      </c>
      <c r="BR94" s="22" t="inlineStr">
        <is>
          <t>2026-06-04</t>
        </is>
      </c>
      <c r="BS94" s="28" t="n">
        <v>1.9627</v>
      </c>
      <c r="BT94" s="27" t="n">
        <v>-4.08</v>
      </c>
      <c r="BU94" s="24" t="n">
        <v>11</v>
      </c>
    </row>
    <row r="95" ht="16" customHeight="1">
      <c r="A95" s="29" t="inlineStr">
        <is>
          <t>PUBLIC GROWTH BALANCED FUND</t>
        </is>
      </c>
      <c r="B95" s="29" t="inlineStr">
        <is>
          <t>PGRBF</t>
        </is>
      </c>
      <c r="C95" s="29" t="inlineStr">
        <is>
          <t>Conventional</t>
        </is>
      </c>
      <c r="D95" s="29" t="inlineStr">
        <is>
          <t>Mixed Asset / Balanced</t>
        </is>
      </c>
      <c r="E95" s="30" t="inlineStr">
        <is>
          <t>Capital Growth</t>
        </is>
      </c>
      <c r="F95" s="31" t="n">
        <v>3</v>
      </c>
      <c r="G95" s="30" t="inlineStr">
        <is>
          <t>Incidental</t>
        </is>
      </c>
      <c r="H95" s="32" t="n">
        <v>27.17</v>
      </c>
      <c r="I95" s="29" t="inlineStr">
        <is>
          <t>07.10.2015</t>
        </is>
      </c>
      <c r="J95" s="29" t="inlineStr">
        <is>
          <t>Qualified</t>
        </is>
      </c>
      <c r="K95" s="33" t="n">
        <v>100</v>
      </c>
      <c r="L95" s="29" t="inlineStr">
        <is>
          <t>5/5</t>
        </is>
      </c>
      <c r="M95" s="30" t="inlineStr">
        <is>
          <t>Qualified (WA: +2.54%) — YTD✔ 1Y✔ 3Y✔ 5Y✔ 10Y✔</t>
        </is>
      </c>
      <c r="N95" s="34" t="n">
        <v>2.54</v>
      </c>
      <c r="O95" s="34" t="n">
        <v>2.46</v>
      </c>
      <c r="P95" s="34" t="n">
        <v>1.97</v>
      </c>
      <c r="Q95" s="34" t="n">
        <v>0.49</v>
      </c>
      <c r="R95" s="34" t="n">
        <v>9.83</v>
      </c>
      <c r="S95" s="34" t="n">
        <v>8.44</v>
      </c>
      <c r="T95" s="34" t="n">
        <v>1.39</v>
      </c>
      <c r="U95" s="34" t="n">
        <v>7.95</v>
      </c>
      <c r="V95" s="34" t="n">
        <v>5.55</v>
      </c>
      <c r="W95" s="34" t="n">
        <v>2.4</v>
      </c>
      <c r="X95" s="34" t="n">
        <v>4.48</v>
      </c>
      <c r="Y95" s="34" t="n">
        <v>2.25</v>
      </c>
      <c r="Z95" s="34" t="n">
        <v>2.23</v>
      </c>
      <c r="AA95" s="34" t="n">
        <v>6.84</v>
      </c>
      <c r="AB95" s="34" t="n">
        <v>1.57</v>
      </c>
      <c r="AC95" s="34" t="n">
        <v>5.27</v>
      </c>
      <c r="AD95" s="34">
        <f>IF(OR(Q95="",BM95="",BM95=0),"",Q95/BM95)</f>
        <v/>
      </c>
      <c r="AE95" s="34">
        <f>IF(OR(T95="",BM95="",BM95=0),"",T95/BM95)</f>
        <v/>
      </c>
      <c r="AF95" s="34">
        <f>IF(OR(W95="",BM95="",BM95=0),"",W95/BM95)</f>
        <v/>
      </c>
      <c r="AG95" s="34">
        <f>IF(OR(Z95="",BM95="",BM95=0),"",Z95/BM95)</f>
        <v/>
      </c>
      <c r="AH95" s="34">
        <f>IF(OR(AC95="",BM95="",BM95=0),"",AC95/BM95)</f>
        <v/>
      </c>
      <c r="AI95" s="33" t="n">
        <v>29.8</v>
      </c>
      <c r="AJ95" s="33" t="n">
        <v>23.8</v>
      </c>
      <c r="AK95" s="33" t="n">
        <v>44.4</v>
      </c>
      <c r="AL95" s="33" t="n">
        <v>2</v>
      </c>
      <c r="AM95" s="33" t="n"/>
      <c r="AN95" s="33" t="n"/>
      <c r="AO95" s="33" t="n">
        <v>15.2</v>
      </c>
      <c r="AP95" s="33" t="n">
        <v>6.3</v>
      </c>
      <c r="AQ95" s="33" t="n"/>
      <c r="AR95" s="33" t="n"/>
      <c r="AS95" s="33" t="n"/>
      <c r="AT95" s="33" t="n"/>
      <c r="AU95" s="33" t="n">
        <v>2.3</v>
      </c>
      <c r="AV95" s="33" t="n"/>
      <c r="AW95" s="33" t="n"/>
      <c r="AX95" s="33" t="n"/>
      <c r="AY95" s="33" t="n"/>
      <c r="AZ95" s="33" t="n"/>
      <c r="BA95" s="33" t="n">
        <v>6.6</v>
      </c>
      <c r="BB95" s="33" t="n">
        <v>15.7</v>
      </c>
      <c r="BC95" s="33" t="n"/>
      <c r="BD95" s="33" t="n">
        <v>13.6</v>
      </c>
      <c r="BE95" s="33" t="n"/>
      <c r="BF95" s="33" t="n">
        <v>4.1</v>
      </c>
      <c r="BG95" s="33" t="n">
        <v>8.199999999999999</v>
      </c>
      <c r="BH95" s="33" t="n"/>
      <c r="BI95" s="33" t="n"/>
      <c r="BJ95" s="33" t="n"/>
      <c r="BK95" s="33" t="n"/>
      <c r="BL95" s="30" t="inlineStr">
        <is>
          <t>Tenaga Nasional Berhad | Taiwan Semiconductor Manufacturing Company Limited | Advanced Micro Devices Incorporated | Frontken Corporation Berhad | TIME dotCom Berhad</t>
        </is>
      </c>
      <c r="BM95" s="33" t="n">
        <v>6.3</v>
      </c>
      <c r="BN95" s="29" t="inlineStr">
        <is>
          <t>Low</t>
        </is>
      </c>
      <c r="BO95" s="30" t="inlineStr">
        <is>
          <t>Domestic 25% of the fund’s NAV</t>
        </is>
      </c>
      <c r="BP95" s="30" t="inlineStr">
        <is>
          <t>ThebenchmarkforPGRBFisacompositeof60%FTSEBursaMalaysiaKLCIand 40% 3-Month Kuala Lumpur Interbank Offered Rate (KLIBOR). Underlying index data are sourced from Lipper and Bank Negara Malaysia.</t>
        </is>
      </c>
      <c r="BQ95" s="35" t="n">
        <v>0.4365</v>
      </c>
      <c r="BR95" s="29" t="inlineStr">
        <is>
          <t>2026-06-03</t>
        </is>
      </c>
      <c r="BS95" s="35" t="n">
        <v>0.4288</v>
      </c>
      <c r="BT95" s="34" t="n">
        <v>-1.76</v>
      </c>
      <c r="BU95" s="31" t="n">
        <v>12</v>
      </c>
    </row>
    <row r="96" ht="16" customHeight="1">
      <c r="A96" s="22" t="inlineStr">
        <is>
          <t>PUBLIC NAVIGATOR GROWTH FUND</t>
        </is>
      </c>
      <c r="B96" s="22" t="inlineStr">
        <is>
          <t>PNVGF</t>
        </is>
      </c>
      <c r="C96" s="22" t="inlineStr">
        <is>
          <t>Conventional</t>
        </is>
      </c>
      <c r="D96" s="22" t="inlineStr">
        <is>
          <t>Mixed Asset / Balanced</t>
        </is>
      </c>
      <c r="E96" s="23" t="inlineStr">
        <is>
          <t>Capital Growth + Income</t>
        </is>
      </c>
      <c r="F96" s="24" t="n">
        <v>5</v>
      </c>
      <c r="G96" s="23" t="inlineStr">
        <is>
          <t>Incidental</t>
        </is>
      </c>
      <c r="H96" s="25" t="n">
        <v>238.46</v>
      </c>
      <c r="I96" s="22" t="inlineStr">
        <is>
          <t>09.01.2017</t>
        </is>
      </c>
      <c r="J96" s="22" t="inlineStr">
        <is>
          <t>Qualified</t>
        </is>
      </c>
      <c r="K96" s="26" t="n">
        <v>75</v>
      </c>
      <c r="L96" s="22" t="inlineStr">
        <is>
          <t>3/4</t>
        </is>
      </c>
      <c r="M96" s="23" t="inlineStr">
        <is>
          <t>Qualified (WA: +2.34%) — YTD✔ 1Y✔ 3Y✔ 5Y✘</t>
        </is>
      </c>
      <c r="N96" s="27" t="n">
        <v>2.34</v>
      </c>
      <c r="O96" s="27" t="n">
        <v>8.08</v>
      </c>
      <c r="P96" s="27" t="n">
        <v>2.56</v>
      </c>
      <c r="Q96" s="27" t="n">
        <v>5.52</v>
      </c>
      <c r="R96" s="27" t="n">
        <v>24.18</v>
      </c>
      <c r="S96" s="27" t="n">
        <v>8</v>
      </c>
      <c r="T96" s="27" t="n">
        <v>16.18</v>
      </c>
      <c r="U96" s="27" t="n">
        <v>8.75</v>
      </c>
      <c r="V96" s="27" t="n">
        <v>8</v>
      </c>
      <c r="W96" s="27" t="n">
        <v>0.75</v>
      </c>
      <c r="X96" s="27" t="n">
        <v>3.94</v>
      </c>
      <c r="Y96" s="27" t="n">
        <v>8.01</v>
      </c>
      <c r="Z96" s="27" t="n">
        <v>-4.07</v>
      </c>
      <c r="AA96" s="27" t="n"/>
      <c r="AB96" s="27" t="n"/>
      <c r="AC96" s="27" t="n"/>
      <c r="AD96" s="27">
        <f>IF(OR(Q96="",BM96="",BM96=0),"",Q96/BM96)</f>
        <v/>
      </c>
      <c r="AE96" s="27">
        <f>IF(OR(T96="",BM96="",BM96=0),"",T96/BM96)</f>
        <v/>
      </c>
      <c r="AF96" s="27">
        <f>IF(OR(W96="",BM96="",BM96=0),"",W96/BM96)</f>
        <v/>
      </c>
      <c r="AG96" s="27">
        <f>IF(OR(Z96="",BM96="",BM96=0),"",Z96/BM96)</f>
        <v/>
      </c>
      <c r="AH96" s="27">
        <f>IF(OR(AC96="",BM96="",BM96=0),"",AC96/BM96)</f>
        <v/>
      </c>
      <c r="AI96" s="26" t="n">
        <v>1.1</v>
      </c>
      <c r="AJ96" s="26" t="n">
        <v>91.5</v>
      </c>
      <c r="AK96" s="26" t="n"/>
      <c r="AL96" s="26" t="n">
        <v>7.4</v>
      </c>
      <c r="AM96" s="26" t="n"/>
      <c r="AN96" s="26" t="n"/>
      <c r="AO96" s="26" t="n">
        <v>51.4</v>
      </c>
      <c r="AP96" s="26" t="n">
        <v>12.2</v>
      </c>
      <c r="AQ96" s="26" t="n">
        <v>5.3</v>
      </c>
      <c r="AR96" s="26" t="n">
        <v>4.9</v>
      </c>
      <c r="AS96" s="26" t="n"/>
      <c r="AT96" s="26" t="n"/>
      <c r="AU96" s="26" t="n">
        <v>7.7</v>
      </c>
      <c r="AV96" s="26" t="n"/>
      <c r="AW96" s="26" t="n"/>
      <c r="AX96" s="26" t="n"/>
      <c r="AY96" s="26" t="n"/>
      <c r="AZ96" s="26" t="n"/>
      <c r="BA96" s="26" t="n">
        <v>4.4</v>
      </c>
      <c r="BB96" s="26" t="n">
        <v>43.4</v>
      </c>
      <c r="BC96" s="26" t="n">
        <v>2.9</v>
      </c>
      <c r="BD96" s="26" t="n">
        <v>31.5</v>
      </c>
      <c r="BE96" s="26" t="n">
        <v>10.4</v>
      </c>
      <c r="BF96" s="26" t="n"/>
      <c r="BG96" s="26" t="n"/>
      <c r="BH96" s="26" t="n"/>
      <c r="BI96" s="26" t="n"/>
      <c r="BJ96" s="26" t="n"/>
      <c r="BK96" s="26" t="n"/>
      <c r="BL96" s="23" t="inlineStr">
        <is>
          <t>Taiwan Semiconductor Manufacturing Company Limited | Meta Platforms Incorporated | Advanced Micro Devices Incorporated | Broadcom Incorporated | Alphabet Incorporated - Class A</t>
        </is>
      </c>
      <c r="BM96" s="26" t="n">
        <v>14.3</v>
      </c>
      <c r="BN96" s="22" t="inlineStr">
        <is>
          <t>Very High</t>
        </is>
      </c>
      <c r="BO96" s="23" t="inlineStr">
        <is>
          <t>Mixed Asset MYR Flexible Global</t>
        </is>
      </c>
      <c r="BP96" s="23" t="n"/>
      <c r="BQ96" s="28" t="n">
        <v>0.3948</v>
      </c>
      <c r="BR96" s="22" t="inlineStr">
        <is>
          <t>2026-06-03</t>
        </is>
      </c>
      <c r="BS96" s="28" t="n">
        <v>0.3776</v>
      </c>
      <c r="BT96" s="27" t="n">
        <v>-4.36</v>
      </c>
      <c r="BU96" s="24" t="n">
        <v>12</v>
      </c>
    </row>
    <row r="97" ht="16" customHeight="1">
      <c r="A97" s="29" t="inlineStr">
        <is>
          <t>PB BALANCED SEQUEL FUND</t>
        </is>
      </c>
      <c r="B97" s="29" t="inlineStr">
        <is>
          <t>PBBSQF</t>
        </is>
      </c>
      <c r="C97" s="29" t="inlineStr">
        <is>
          <t>Conventional</t>
        </is>
      </c>
      <c r="D97" s="29" t="inlineStr">
        <is>
          <t>Mixed Asset / Balanced</t>
        </is>
      </c>
      <c r="E97" s="30" t="inlineStr">
        <is>
          <t>Capital Growth</t>
        </is>
      </c>
      <c r="F97" s="31" t="n">
        <v>3</v>
      </c>
      <c r="G97" s="30" t="inlineStr">
        <is>
          <t>Incidental</t>
        </is>
      </c>
      <c r="H97" s="32" t="n">
        <v>37.74</v>
      </c>
      <c r="I97" s="29" t="inlineStr">
        <is>
          <t>10.09.2013</t>
        </is>
      </c>
      <c r="J97" s="29" t="inlineStr">
        <is>
          <t>Qualified</t>
        </is>
      </c>
      <c r="K97" s="33" t="n">
        <v>60</v>
      </c>
      <c r="L97" s="29" t="inlineStr">
        <is>
          <t>3/5</t>
        </is>
      </c>
      <c r="M97" s="30" t="inlineStr">
        <is>
          <t>Qualified (WA: +2.27%) — YTD✘ 1Y✘ 3Y✔ 5Y✔ 10Y✔</t>
        </is>
      </c>
      <c r="N97" s="34" t="n">
        <v>2.27</v>
      </c>
      <c r="O97" s="34" t="n">
        <v>1.93</v>
      </c>
      <c r="P97" s="34" t="n">
        <v>1.97</v>
      </c>
      <c r="Q97" s="34" t="n">
        <v>-0.04</v>
      </c>
      <c r="R97" s="34" t="n">
        <v>8.279999999999999</v>
      </c>
      <c r="S97" s="34" t="n">
        <v>8.44</v>
      </c>
      <c r="T97" s="34" t="n">
        <v>-0.16</v>
      </c>
      <c r="U97" s="34" t="n">
        <v>8.91</v>
      </c>
      <c r="V97" s="34" t="n">
        <v>5.55</v>
      </c>
      <c r="W97" s="34" t="n">
        <v>3.36</v>
      </c>
      <c r="X97" s="34" t="n">
        <v>4.42</v>
      </c>
      <c r="Y97" s="34" t="n">
        <v>2.25</v>
      </c>
      <c r="Z97" s="34" t="n">
        <v>2.17</v>
      </c>
      <c r="AA97" s="34" t="n">
        <v>4.33</v>
      </c>
      <c r="AB97" s="34" t="n">
        <v>1.57</v>
      </c>
      <c r="AC97" s="34" t="n">
        <v>2.76</v>
      </c>
      <c r="AD97" s="34">
        <f>IF(OR(Q97="",BM97="",BM97=0),"",Q97/BM97)</f>
        <v/>
      </c>
      <c r="AE97" s="34">
        <f>IF(OR(T97="",BM97="",BM97=0),"",T97/BM97)</f>
        <v/>
      </c>
      <c r="AF97" s="34">
        <f>IF(OR(W97="",BM97="",BM97=0),"",W97/BM97)</f>
        <v/>
      </c>
      <c r="AG97" s="34">
        <f>IF(OR(Z97="",BM97="",BM97=0),"",Z97/BM97)</f>
        <v/>
      </c>
      <c r="AH97" s="34">
        <f>IF(OR(AC97="",BM97="",BM97=0),"",AC97/BM97)</f>
        <v/>
      </c>
      <c r="AI97" s="33" t="n">
        <v>35.8</v>
      </c>
      <c r="AJ97" s="33" t="n">
        <v>23.8</v>
      </c>
      <c r="AK97" s="33" t="n">
        <v>35.3</v>
      </c>
      <c r="AL97" s="33" t="n">
        <v>5.1</v>
      </c>
      <c r="AM97" s="33" t="n"/>
      <c r="AN97" s="33" t="n"/>
      <c r="AO97" s="33" t="n">
        <v>4.2</v>
      </c>
      <c r="AP97" s="33" t="n">
        <v>9</v>
      </c>
      <c r="AQ97" s="33" t="n">
        <v>5</v>
      </c>
      <c r="AR97" s="33" t="n"/>
      <c r="AS97" s="33" t="n"/>
      <c r="AT97" s="33" t="n"/>
      <c r="AU97" s="33" t="n">
        <v>5.6</v>
      </c>
      <c r="AV97" s="33" t="n"/>
      <c r="AW97" s="33" t="n"/>
      <c r="AX97" s="33" t="n"/>
      <c r="AY97" s="33" t="n"/>
      <c r="AZ97" s="33" t="n"/>
      <c r="BA97" s="33" t="n">
        <v>11.9</v>
      </c>
      <c r="BB97" s="33" t="n">
        <v>14.8</v>
      </c>
      <c r="BC97" s="33" t="n">
        <v>19.8</v>
      </c>
      <c r="BD97" s="33" t="n">
        <v>2.8</v>
      </c>
      <c r="BE97" s="33" t="n"/>
      <c r="BF97" s="33" t="n"/>
      <c r="BG97" s="33" t="n">
        <v>8.5</v>
      </c>
      <c r="BH97" s="33" t="n"/>
      <c r="BI97" s="33" t="n"/>
      <c r="BJ97" s="33" t="n"/>
      <c r="BK97" s="33" t="n"/>
      <c r="BL97" s="30" t="inlineStr">
        <is>
          <t>Tenaga Nasional Berhad | Malayan Banking Berhad | LPI Capital Berhad | Unimicron Technology Corporation | Samsung Electronics Company Limited</t>
        </is>
      </c>
      <c r="BM97" s="33" t="n">
        <v>8.199999999999999</v>
      </c>
      <c r="BN97" s="29" t="inlineStr">
        <is>
          <t>Moderate</t>
        </is>
      </c>
      <c r="BO97" s="30" t="inlineStr">
        <is>
          <t>Mixed Asset MYR Domestic</t>
        </is>
      </c>
      <c r="BP97" s="30" t="inlineStr">
        <is>
          <t>Public Balanced Equity Index (PBEIX) is a composite of 60% the returns of the FTSE Bursa Malaysia KLCI and 40% the returns on 3-Month Kuala Lumpur Interbank Offered Rate (KLIBOR). The Index is an appropriate performance benchmark for balanced fund. Underlying index data are sourced from Lipper and Bank Negara Malaysia.</t>
        </is>
      </c>
      <c r="BQ97" s="35" t="n">
        <v>0.3774</v>
      </c>
      <c r="BR97" s="29" t="inlineStr">
        <is>
          <t>2026-06-03</t>
        </is>
      </c>
      <c r="BS97" s="35" t="n">
        <v>0.3699</v>
      </c>
      <c r="BT97" s="34" t="n">
        <v>-1.99</v>
      </c>
      <c r="BU97" s="31" t="n">
        <v>12</v>
      </c>
    </row>
    <row r="98" ht="16" customHeight="1">
      <c r="A98" s="22" t="inlineStr">
        <is>
          <t>PUBLIC BALANCED FUND</t>
        </is>
      </c>
      <c r="B98" s="22" t="inlineStr">
        <is>
          <t>PBF</t>
        </is>
      </c>
      <c r="C98" s="22" t="inlineStr">
        <is>
          <t>Conventional</t>
        </is>
      </c>
      <c r="D98" s="22" t="inlineStr">
        <is>
          <t>Mixed Asset / Balanced</t>
        </is>
      </c>
      <c r="E98" s="23" t="inlineStr">
        <is>
          <t>Capital Growth + Income</t>
        </is>
      </c>
      <c r="F98" s="24" t="n">
        <v>3</v>
      </c>
      <c r="G98" s="23" t="inlineStr">
        <is>
          <t>Incidental</t>
        </is>
      </c>
      <c r="H98" s="25" t="n">
        <v>348</v>
      </c>
      <c r="I98" s="22" t="inlineStr">
        <is>
          <t>07.06.1995</t>
        </is>
      </c>
      <c r="J98" s="22" t="inlineStr">
        <is>
          <t>Qualified</t>
        </is>
      </c>
      <c r="K98" s="26" t="n">
        <v>100</v>
      </c>
      <c r="L98" s="22" t="inlineStr">
        <is>
          <t>5/5</t>
        </is>
      </c>
      <c r="M98" s="23" t="inlineStr">
        <is>
          <t>Qualified (WA: +2.21%) — YTD✔ 1Y✔ 3Y✔ 5Y✔ 10Y✔</t>
        </is>
      </c>
      <c r="N98" s="27" t="n">
        <v>2.21</v>
      </c>
      <c r="O98" s="27" t="n">
        <v>3.62</v>
      </c>
      <c r="P98" s="27" t="n">
        <v>1.97</v>
      </c>
      <c r="Q98" s="27" t="n">
        <v>1.65</v>
      </c>
      <c r="R98" s="27" t="n">
        <v>14.04</v>
      </c>
      <c r="S98" s="27" t="n">
        <v>8.44</v>
      </c>
      <c r="T98" s="27" t="n">
        <v>5.6</v>
      </c>
      <c r="U98" s="27" t="n">
        <v>6.6</v>
      </c>
      <c r="V98" s="27" t="n">
        <v>5.55</v>
      </c>
      <c r="W98" s="27" t="n">
        <v>1.05</v>
      </c>
      <c r="X98" s="27" t="n">
        <v>4.15</v>
      </c>
      <c r="Y98" s="27" t="n">
        <v>2.25</v>
      </c>
      <c r="Z98" s="27" t="n">
        <v>1.9</v>
      </c>
      <c r="AA98" s="27" t="n">
        <v>4.19</v>
      </c>
      <c r="AB98" s="27" t="n">
        <v>1.57</v>
      </c>
      <c r="AC98" s="27" t="n">
        <v>2.62</v>
      </c>
      <c r="AD98" s="27">
        <f>IF(OR(Q98="",BM98="",BM98=0),"",Q98/BM98)</f>
        <v/>
      </c>
      <c r="AE98" s="27">
        <f>IF(OR(T98="",BM98="",BM98=0),"",T98/BM98)</f>
        <v/>
      </c>
      <c r="AF98" s="27">
        <f>IF(OR(W98="",BM98="",BM98=0),"",W98/BM98)</f>
        <v/>
      </c>
      <c r="AG98" s="27">
        <f>IF(OR(Z98="",BM98="",BM98=0),"",Z98/BM98)</f>
        <v/>
      </c>
      <c r="AH98" s="27">
        <f>IF(OR(AC98="",BM98="",BM98=0),"",AC98/BM98)</f>
        <v/>
      </c>
      <c r="AI98" s="26" t="n">
        <v>35.3</v>
      </c>
      <c r="AJ98" s="26" t="n">
        <v>21.2</v>
      </c>
      <c r="AK98" s="26" t="n">
        <v>35.8</v>
      </c>
      <c r="AL98" s="26" t="n">
        <v>7.7</v>
      </c>
      <c r="AM98" s="26" t="n"/>
      <c r="AN98" s="26" t="n"/>
      <c r="AO98" s="26" t="n">
        <v>4.7</v>
      </c>
      <c r="AP98" s="26" t="n">
        <v>4.4</v>
      </c>
      <c r="AQ98" s="26" t="n">
        <v>2.9</v>
      </c>
      <c r="AR98" s="26" t="n"/>
      <c r="AS98" s="26" t="n"/>
      <c r="AT98" s="26" t="n"/>
      <c r="AU98" s="26" t="n">
        <v>9.199999999999999</v>
      </c>
      <c r="AV98" s="26" t="n"/>
      <c r="AW98" s="26" t="n"/>
      <c r="AX98" s="26" t="n"/>
      <c r="AY98" s="26" t="n"/>
      <c r="AZ98" s="26" t="n"/>
      <c r="BA98" s="26" t="n">
        <v>7.4</v>
      </c>
      <c r="BB98" s="26" t="n">
        <v>14.6</v>
      </c>
      <c r="BC98" s="26" t="n">
        <v>18.9</v>
      </c>
      <c r="BD98" s="26" t="n">
        <v>3.6</v>
      </c>
      <c r="BE98" s="26" t="n"/>
      <c r="BF98" s="26" t="n"/>
      <c r="BG98" s="26" t="n">
        <v>7.4</v>
      </c>
      <c r="BH98" s="26" t="n"/>
      <c r="BI98" s="26" t="n"/>
      <c r="BJ98" s="26" t="n"/>
      <c r="BK98" s="26" t="n"/>
      <c r="BL98" s="23" t="inlineStr">
        <is>
          <t>Tenaga Nasional Berhad | Malayan Banking Berhad | Semiconductor Manufacturing International Corporation | UWC Berhad | Public Bank Berhad</t>
        </is>
      </c>
      <c r="BM98" s="26" t="n">
        <v>7.6</v>
      </c>
      <c r="BN98" s="22" t="inlineStr">
        <is>
          <t>Low</t>
        </is>
      </c>
      <c r="BO98" s="23" t="inlineStr">
        <is>
          <t>Mixed Asset MYR Domestic 30% of the fund’s NAV</t>
        </is>
      </c>
      <c r="BP98" s="23" t="inlineStr">
        <is>
          <t>2021 2.75 31.5.21 3.9 Public Balanced Equity Index (PBEIX) is a composite of 60% the returns of the Kuala Lumpur Composite Index (prior to 6July2009),60% thereturns ofFTSE 2022 2.75 31.5.22 4.1 BursaMalaysiaKLCI(w.e.f.6July2009)and40% the returns of 3-MonthKuala 2023 1.75 31.5.23 2.6 LumpurInterbankOfferedRate(KLIBOR).TheIndexisanappropriateperformance Note: Distribution yield simply measures the level of distributions and is benchmark for balanced fund. not a measure of fund performance. Underlying index data are sourced from Lipper and Bank Negara Malaysia.</t>
        </is>
      </c>
      <c r="BQ98" s="28" t="n">
        <v>1.0016</v>
      </c>
      <c r="BR98" s="22" t="inlineStr">
        <is>
          <t>2007-05-22</t>
        </is>
      </c>
      <c r="BS98" s="28" t="n">
        <v>0.8355</v>
      </c>
      <c r="BT98" s="27" t="n">
        <v>-16.58</v>
      </c>
      <c r="BU98" s="24" t="n">
        <v>6964</v>
      </c>
    </row>
    <row r="99" ht="16" customHeight="1">
      <c r="A99" s="29" t="inlineStr">
        <is>
          <t>PUBLIC SELECT MIXED ASSET CONSERVATIVE FUND</t>
        </is>
      </c>
      <c r="B99" s="29" t="inlineStr">
        <is>
          <t>PSMACF</t>
        </is>
      </c>
      <c r="C99" s="29" t="inlineStr">
        <is>
          <t>Conventional</t>
        </is>
      </c>
      <c r="D99" s="29" t="inlineStr">
        <is>
          <t>Mixed Asset / Balanced</t>
        </is>
      </c>
      <c r="E99" s="30" t="inlineStr">
        <is>
          <t>Capital Growth + Income</t>
        </is>
      </c>
      <c r="F99" s="31" t="n">
        <v>3</v>
      </c>
      <c r="G99" s="30" t="inlineStr">
        <is>
          <t>Annual</t>
        </is>
      </c>
      <c r="H99" s="32" t="n">
        <v>156.66</v>
      </c>
      <c r="I99" s="29" t="inlineStr">
        <is>
          <t>16.10.2014</t>
        </is>
      </c>
      <c r="J99" s="29" t="inlineStr">
        <is>
          <t>Qualified</t>
        </is>
      </c>
      <c r="K99" s="33" t="n">
        <v>80</v>
      </c>
      <c r="L99" s="29" t="inlineStr">
        <is>
          <t>4/5</t>
        </is>
      </c>
      <c r="M99" s="30" t="inlineStr">
        <is>
          <t>Qualified (WA: +1.82%) — YTD✘ 1Y✔ 3Y✔ 5Y✔ 10Y✔</t>
        </is>
      </c>
      <c r="N99" s="34" t="n">
        <v>1.82</v>
      </c>
      <c r="O99" s="34" t="n">
        <v>1.06</v>
      </c>
      <c r="P99" s="34" t="n">
        <v>1.61</v>
      </c>
      <c r="Q99" s="34" t="n">
        <v>-0.55</v>
      </c>
      <c r="R99" s="34" t="n">
        <v>8.68</v>
      </c>
      <c r="S99" s="34" t="n">
        <v>6.31</v>
      </c>
      <c r="T99" s="34" t="n">
        <v>2.37</v>
      </c>
      <c r="U99" s="34" t="n">
        <v>6.39</v>
      </c>
      <c r="V99" s="34" t="n">
        <v>4.73</v>
      </c>
      <c r="W99" s="34" t="n">
        <v>1.66</v>
      </c>
      <c r="X99" s="34" t="n">
        <v>4.29</v>
      </c>
      <c r="Y99" s="34" t="n">
        <v>2.66</v>
      </c>
      <c r="Z99" s="34" t="n">
        <v>1.63</v>
      </c>
      <c r="AA99" s="34" t="n">
        <v>5.07</v>
      </c>
      <c r="AB99" s="34" t="n">
        <v>2.28</v>
      </c>
      <c r="AC99" s="34" t="n">
        <v>2.79</v>
      </c>
      <c r="AD99" s="34">
        <f>IF(OR(Q99="",BM99="",BM99=0),"",Q99/BM99)</f>
        <v/>
      </c>
      <c r="AE99" s="34">
        <f>IF(OR(T99="",BM99="",BM99=0),"",T99/BM99)</f>
        <v/>
      </c>
      <c r="AF99" s="34">
        <f>IF(OR(W99="",BM99="",BM99=0),"",W99/BM99)</f>
        <v/>
      </c>
      <c r="AG99" s="34">
        <f>IF(OR(Z99="",BM99="",BM99=0),"",Z99/BM99)</f>
        <v/>
      </c>
      <c r="AH99" s="34">
        <f>IF(OR(AC99="",BM99="",BM99=0),"",AC99/BM99)</f>
        <v/>
      </c>
      <c r="AI99" s="33" t="n">
        <v>10.4</v>
      </c>
      <c r="AJ99" s="33" t="n">
        <v>19.2</v>
      </c>
      <c r="AK99" s="33" t="n">
        <v>60.7</v>
      </c>
      <c r="AL99" s="33" t="n">
        <v>9.699999999999999</v>
      </c>
      <c r="AM99" s="33" t="n"/>
      <c r="AN99" s="33" t="n"/>
      <c r="AO99" s="33" t="n">
        <v>12.6</v>
      </c>
      <c r="AP99" s="33" t="n">
        <v>3.9</v>
      </c>
      <c r="AQ99" s="33" t="n"/>
      <c r="AR99" s="33" t="n"/>
      <c r="AS99" s="33" t="n"/>
      <c r="AT99" s="33" t="n"/>
      <c r="AU99" s="33" t="n">
        <v>2.7</v>
      </c>
      <c r="AV99" s="33" t="n"/>
      <c r="AW99" s="33" t="n"/>
      <c r="AX99" s="33" t="n"/>
      <c r="AY99" s="33" t="n"/>
      <c r="AZ99" s="33" t="n"/>
      <c r="BA99" s="33" t="n">
        <v>4.7</v>
      </c>
      <c r="BB99" s="33" t="n">
        <v>6.3</v>
      </c>
      <c r="BC99" s="33" t="n"/>
      <c r="BD99" s="33" t="n">
        <v>9.9</v>
      </c>
      <c r="BE99" s="33" t="n">
        <v>3</v>
      </c>
      <c r="BF99" s="33" t="n"/>
      <c r="BG99" s="33" t="n">
        <v>4.9</v>
      </c>
      <c r="BH99" s="33" t="n"/>
      <c r="BI99" s="33" t="n"/>
      <c r="BJ99" s="33" t="n"/>
      <c r="BK99" s="33" t="n"/>
      <c r="BL99" s="30" t="inlineStr">
        <is>
          <t>Alphabet Incorporated - Class A | Tenaga Nasional Berhad | Taiwan Semiconductor Manufacturing Company Limited | Tesla Incorporated | Alibaba Group Holding Limited - W</t>
        </is>
      </c>
      <c r="BM99" s="33" t="n">
        <v>5</v>
      </c>
      <c r="BN99" s="29" t="inlineStr">
        <is>
          <t>Low</t>
        </is>
      </c>
      <c r="BO99" s="30" t="inlineStr">
        <is>
          <t>Mixed Asset MYR Domestic 25% of the fund’s NAV</t>
        </is>
      </c>
      <c r="BP99" s="30" t="inlineStr">
        <is>
          <t>The benchmark for PSMACF is a composite of 65% 3-Month Kuala Lumpur Interbank Offered Rate (KLIBOR) and 35% FTSE Bursa Malaysia KLCI. Underlying index data are sourced from Lipper and Bank Negara Malaysia.</t>
        </is>
      </c>
      <c r="BQ99" s="35" t="n">
        <v>0.3199</v>
      </c>
      <c r="BR99" s="29" t="inlineStr">
        <is>
          <t>2025-10-03</t>
        </is>
      </c>
      <c r="BS99" s="35" t="n">
        <v>0.3152</v>
      </c>
      <c r="BT99" s="34" t="n">
        <v>-1.47</v>
      </c>
      <c r="BU99" s="31" t="n">
        <v>255</v>
      </c>
    </row>
    <row r="100" ht="16" customHeight="1">
      <c r="A100" s="22" t="inlineStr">
        <is>
          <t>PUBLIC e-ATARAXIA MIXED ASSET FUND</t>
        </is>
      </c>
      <c r="B100" s="22" t="inlineStr">
        <is>
          <t>PeAXMAF</t>
        </is>
      </c>
      <c r="C100" s="22" t="inlineStr">
        <is>
          <t>Conventional</t>
        </is>
      </c>
      <c r="D100" s="22" t="inlineStr">
        <is>
          <t>Mixed Asset / Balanced</t>
        </is>
      </c>
      <c r="E100" s="23" t="inlineStr">
        <is>
          <t>Capital Growth</t>
        </is>
      </c>
      <c r="F100" s="24" t="n">
        <v>3</v>
      </c>
      <c r="G100" s="23" t="inlineStr">
        <is>
          <t>Incidental</t>
        </is>
      </c>
      <c r="H100" s="25" t="n">
        <v>700.01</v>
      </c>
      <c r="I100" s="22" t="inlineStr">
        <is>
          <t>23.05.2023</t>
        </is>
      </c>
      <c r="J100" s="22" t="inlineStr">
        <is>
          <t>Qualified</t>
        </is>
      </c>
      <c r="K100" s="26" t="n">
        <v>50</v>
      </c>
      <c r="L100" s="22" t="inlineStr">
        <is>
          <t>1/2</t>
        </is>
      </c>
      <c r="M100" s="23" t="inlineStr">
        <is>
          <t>Qualified (WA: +1.57%) — YTD✘ 1Y✔</t>
        </is>
      </c>
      <c r="N100" s="27" t="n">
        <v>1.57</v>
      </c>
      <c r="O100" s="27" t="n">
        <v>1.23</v>
      </c>
      <c r="P100" s="27" t="n">
        <v>1.8</v>
      </c>
      <c r="Q100" s="27" t="n">
        <v>-0.57</v>
      </c>
      <c r="R100" s="27" t="n">
        <v>10.35</v>
      </c>
      <c r="S100" s="27" t="n">
        <v>8.06</v>
      </c>
      <c r="T100" s="27" t="n">
        <v>2.29</v>
      </c>
      <c r="U100" s="27" t="n"/>
      <c r="V100" s="27" t="n"/>
      <c r="W100" s="27" t="n"/>
      <c r="X100" s="27" t="n"/>
      <c r="Y100" s="27" t="n"/>
      <c r="Z100" s="27" t="n"/>
      <c r="AA100" s="27" t="n"/>
      <c r="AB100" s="27" t="n"/>
      <c r="AC100" s="27" t="n"/>
      <c r="AD100" s="27">
        <f>IF(OR(Q100="",BM100="",BM100=0),"",Q100/BM100)</f>
        <v/>
      </c>
      <c r="AE100" s="27">
        <f>IF(OR(T100="",BM100="",BM100=0),"",T100/BM100)</f>
        <v/>
      </c>
      <c r="AF100" s="27">
        <f>IF(OR(W100="",BM100="",BM100=0),"",W100/BM100)</f>
        <v/>
      </c>
      <c r="AG100" s="27">
        <f>IF(OR(Z100="",BM100="",BM100=0),"",Z100/BM100)</f>
        <v/>
      </c>
      <c r="AH100" s="27">
        <f>IF(OR(AC100="",BM100="",BM100=0),"",AC100/BM100)</f>
        <v/>
      </c>
      <c r="AI100" s="26" t="n">
        <v>1.1</v>
      </c>
      <c r="AJ100" s="26" t="n">
        <v>28.7</v>
      </c>
      <c r="AK100" s="26" t="n">
        <v>62.9</v>
      </c>
      <c r="AL100" s="26" t="n">
        <v>7.3</v>
      </c>
      <c r="AM100" s="26" t="n"/>
      <c r="AN100" s="26" t="n"/>
      <c r="AO100" s="26" t="n">
        <v>11.3</v>
      </c>
      <c r="AP100" s="26" t="n">
        <v>7.4</v>
      </c>
      <c r="AQ100" s="26" t="n">
        <v>1.8</v>
      </c>
      <c r="AR100" s="26" t="n"/>
      <c r="AS100" s="26" t="n"/>
      <c r="AT100" s="26" t="n"/>
      <c r="AU100" s="26" t="n">
        <v>3.5</v>
      </c>
      <c r="AV100" s="26" t="n"/>
      <c r="AW100" s="26" t="n">
        <v>1.8</v>
      </c>
      <c r="AX100" s="26" t="n"/>
      <c r="AY100" s="26" t="n"/>
      <c r="AZ100" s="26" t="n"/>
      <c r="BA100" s="26" t="n">
        <v>3.3</v>
      </c>
      <c r="BB100" s="26" t="n">
        <v>15.3</v>
      </c>
      <c r="BC100" s="26" t="n">
        <v>1.1</v>
      </c>
      <c r="BD100" s="26" t="n">
        <v>5.4</v>
      </c>
      <c r="BE100" s="26" t="n">
        <v>4.7</v>
      </c>
      <c r="BF100" s="26" t="n"/>
      <c r="BG100" s="26" t="n"/>
      <c r="BH100" s="26" t="n"/>
      <c r="BI100" s="26" t="n"/>
      <c r="BJ100" s="26" t="n"/>
      <c r="BK100" s="26" t="n"/>
      <c r="BL100" s="23" t="inlineStr">
        <is>
          <t>Tesla Incorporated | Unimicron Technology Corporation | Broadcom Incorporated | MediaTek Incorporated | Alphabet Incorporated - Class A</t>
        </is>
      </c>
      <c r="BM100" s="26" t="n"/>
      <c r="BN100" s="22" t="n"/>
      <c r="BO100" s="23" t="n"/>
      <c r="BP100" s="23" t="inlineStr">
        <is>
          <t>The benchmark for PeAXMAF is a composite of 70% 3-Month Kuala Lumpur Interbank Offered Rate (KLIBOR) and 30% S&amp;P Global LargeCap Index. Underlying indexdata are sourced from S&amp;P Dow Jones Indices, LLC and Bank Negara Malaysia and expressed in Ringgit terms.</t>
        </is>
      </c>
      <c r="BQ100" s="28" t="n">
        <v>0.3094</v>
      </c>
      <c r="BR100" s="22" t="inlineStr">
        <is>
          <t>2026-06-03</t>
        </is>
      </c>
      <c r="BS100" s="28" t="n">
        <v>0.3024</v>
      </c>
      <c r="BT100" s="27" t="n">
        <v>-2.26</v>
      </c>
      <c r="BU100" s="24" t="n">
        <v>12</v>
      </c>
    </row>
    <row r="101" ht="16" customHeight="1">
      <c r="A101" s="29" t="inlineStr">
        <is>
          <t>PB BALANCED FUND</t>
        </is>
      </c>
      <c r="B101" s="29" t="inlineStr">
        <is>
          <t>PBBF</t>
        </is>
      </c>
      <c r="C101" s="29" t="inlineStr">
        <is>
          <t>Conventional</t>
        </is>
      </c>
      <c r="D101" s="29" t="inlineStr">
        <is>
          <t>Mixed Asset / Balanced</t>
        </is>
      </c>
      <c r="E101" s="30" t="inlineStr">
        <is>
          <t>Capital Growth + Income</t>
        </is>
      </c>
      <c r="F101" s="31" t="n">
        <v>3</v>
      </c>
      <c r="G101" s="30" t="inlineStr">
        <is>
          <t>Incidental</t>
        </is>
      </c>
      <c r="H101" s="32" t="n">
        <v>365.64</v>
      </c>
      <c r="I101" s="29" t="inlineStr">
        <is>
          <t>05.05.1998</t>
        </is>
      </c>
      <c r="J101" s="29" t="inlineStr">
        <is>
          <t>Qualified</t>
        </is>
      </c>
      <c r="K101" s="33" t="n">
        <v>60</v>
      </c>
      <c r="L101" s="29" t="inlineStr">
        <is>
          <t>3/5</t>
        </is>
      </c>
      <c r="M101" s="30" t="inlineStr">
        <is>
          <t>Qualified (WA: +1.26%) — YTD✘ 1Y✘ 3Y✔ 5Y✔ 10Y✔</t>
        </is>
      </c>
      <c r="N101" s="34" t="n">
        <v>1.26</v>
      </c>
      <c r="O101" s="34" t="n">
        <v>1.74</v>
      </c>
      <c r="P101" s="34" t="n">
        <v>1.97</v>
      </c>
      <c r="Q101" s="34" t="n">
        <v>-0.23</v>
      </c>
      <c r="R101" s="34" t="n">
        <v>5.28</v>
      </c>
      <c r="S101" s="34" t="n">
        <v>8.44</v>
      </c>
      <c r="T101" s="34" t="n">
        <v>-3.16</v>
      </c>
      <c r="U101" s="34" t="n">
        <v>7.84</v>
      </c>
      <c r="V101" s="34" t="n">
        <v>5.55</v>
      </c>
      <c r="W101" s="34" t="n">
        <v>2.29</v>
      </c>
      <c r="X101" s="34" t="n">
        <v>4.07</v>
      </c>
      <c r="Y101" s="34" t="n">
        <v>2.25</v>
      </c>
      <c r="Z101" s="34" t="n">
        <v>1.82</v>
      </c>
      <c r="AA101" s="34" t="n">
        <v>4.09</v>
      </c>
      <c r="AB101" s="34" t="n">
        <v>1.57</v>
      </c>
      <c r="AC101" s="34" t="n">
        <v>2.52</v>
      </c>
      <c r="AD101" s="34">
        <f>IF(OR(Q101="",BM101="",BM101=0),"",Q101/BM101)</f>
        <v/>
      </c>
      <c r="AE101" s="34">
        <f>IF(OR(T101="",BM101="",BM101=0),"",T101/BM101)</f>
        <v/>
      </c>
      <c r="AF101" s="34">
        <f>IF(OR(W101="",BM101="",BM101=0),"",W101/BM101)</f>
        <v/>
      </c>
      <c r="AG101" s="34">
        <f>IF(OR(Z101="",BM101="",BM101=0),"",Z101/BM101)</f>
        <v/>
      </c>
      <c r="AH101" s="34">
        <f>IF(OR(AC101="",BM101="",BM101=0),"",AC101/BM101)</f>
        <v/>
      </c>
      <c r="AI101" s="33" t="n">
        <v>34.2</v>
      </c>
      <c r="AJ101" s="33" t="n">
        <v>23.8</v>
      </c>
      <c r="AK101" s="33" t="n">
        <v>37.2</v>
      </c>
      <c r="AL101" s="33" t="n">
        <v>4.8</v>
      </c>
      <c r="AM101" s="33" t="n"/>
      <c r="AN101" s="33" t="n"/>
      <c r="AO101" s="33" t="n">
        <v>10</v>
      </c>
      <c r="AP101" s="33" t="n">
        <v>3.9</v>
      </c>
      <c r="AQ101" s="33" t="n">
        <v>2.7</v>
      </c>
      <c r="AR101" s="33" t="n"/>
      <c r="AS101" s="33" t="n"/>
      <c r="AT101" s="33" t="n"/>
      <c r="AU101" s="33" t="n">
        <v>7.2</v>
      </c>
      <c r="AV101" s="33" t="n"/>
      <c r="AW101" s="33" t="n"/>
      <c r="AX101" s="33" t="n"/>
      <c r="AY101" s="33" t="n"/>
      <c r="AZ101" s="33" t="n"/>
      <c r="BA101" s="33" t="n">
        <v>10.7</v>
      </c>
      <c r="BB101" s="33" t="n">
        <v>9.300000000000001</v>
      </c>
      <c r="BC101" s="33" t="n">
        <v>9.1</v>
      </c>
      <c r="BD101" s="33" t="n">
        <v>16</v>
      </c>
      <c r="BE101" s="33" t="n"/>
      <c r="BF101" s="33" t="n"/>
      <c r="BG101" s="33" t="n">
        <v>9.6</v>
      </c>
      <c r="BH101" s="33" t="n"/>
      <c r="BI101" s="33" t="n"/>
      <c r="BJ101" s="33" t="n"/>
      <c r="BK101" s="33" t="n"/>
      <c r="BL101" s="30" t="inlineStr">
        <is>
          <t>Tenaga Nasional Berhad | Alibaba Group Holding Limited - W | Public Bank Berhad | Advanced Micro Devices Incorporated | Frontken Corporation Berhad</t>
        </is>
      </c>
      <c r="BM101" s="33" t="n">
        <v>6.7</v>
      </c>
      <c r="BN101" s="29" t="inlineStr">
        <is>
          <t>Low</t>
        </is>
      </c>
      <c r="BO101" s="30" t="inlineStr">
        <is>
          <t>Mixed Asset MYR Domestic</t>
        </is>
      </c>
      <c r="BP101" s="30" t="inlineStr">
        <is>
          <t>Public Balanced Equity Index (PBEIX) is a composite of 60% the returns of the KualaLumpurCompositeIndex(priorto6July2009),60%thereturnsoftheFTSE BursaMalaysiaKLCI(w.e.f.6July2009)and40% thereturns on3-MonthKuala LumpurInterbankOfferedRate(KLIBOR).TheIndexisanappropriateperformance benchmark for balanced fund. Underlying index data are sourced from Lipper and Bank Negara Malaysia.</t>
        </is>
      </c>
      <c r="BQ101" s="35" t="n">
        <v>1.56</v>
      </c>
      <c r="BR101" s="29" t="inlineStr">
        <is>
          <t>2000-02-18</t>
        </is>
      </c>
      <c r="BS101" s="35" t="n">
        <v>0.9278999999999999</v>
      </c>
      <c r="BT101" s="34" t="n">
        <v>-40.52</v>
      </c>
      <c r="BU101" s="31" t="n">
        <v>9614</v>
      </c>
    </row>
    <row r="102" ht="16" customHeight="1">
      <c r="A102" s="36" t="inlineStr">
        <is>
          <t>PUBLIC EHSAN MIXED ASSET CONSERVATIVE FUND</t>
        </is>
      </c>
      <c r="B102" s="36" t="inlineStr">
        <is>
          <t>PESMACF</t>
        </is>
      </c>
      <c r="C102" s="36" t="inlineStr">
        <is>
          <t>Shariah</t>
        </is>
      </c>
      <c r="D102" s="36" t="inlineStr">
        <is>
          <t>Mixed Asset / Balanced</t>
        </is>
      </c>
      <c r="E102" s="23" t="inlineStr">
        <is>
          <t>Capital Growth + Income</t>
        </is>
      </c>
      <c r="F102" s="24" t="n">
        <v>3</v>
      </c>
      <c r="G102" s="23" t="inlineStr">
        <is>
          <t>Annual</t>
        </is>
      </c>
      <c r="H102" s="25" t="n">
        <v>908.92</v>
      </c>
      <c r="I102" s="22" t="inlineStr">
        <is>
          <t>25.11.2014</t>
        </is>
      </c>
      <c r="J102" s="22" t="inlineStr">
        <is>
          <t>Qualified</t>
        </is>
      </c>
      <c r="K102" s="26" t="n">
        <v>60</v>
      </c>
      <c r="L102" s="22" t="inlineStr">
        <is>
          <t>3/5</t>
        </is>
      </c>
      <c r="M102" s="23" t="inlineStr">
        <is>
          <t>Qualified (WA: +1.18%) — YTD✘ 1Y✘ 3Y✔ 5Y✔ 10Y✔</t>
        </is>
      </c>
      <c r="N102" s="27" t="n">
        <v>1.18</v>
      </c>
      <c r="O102" s="27" t="n">
        <v>2.11</v>
      </c>
      <c r="P102" s="27" t="n">
        <v>2.56</v>
      </c>
      <c r="Q102" s="27" t="n">
        <v>-0.45</v>
      </c>
      <c r="R102" s="27" t="n">
        <v>6.4</v>
      </c>
      <c r="S102" s="27" t="n">
        <v>6.91</v>
      </c>
      <c r="T102" s="27" t="n">
        <v>-0.51</v>
      </c>
      <c r="U102" s="27" t="n">
        <v>6.05</v>
      </c>
      <c r="V102" s="27" t="n">
        <v>4.72</v>
      </c>
      <c r="W102" s="27" t="n">
        <v>1.33</v>
      </c>
      <c r="X102" s="27" t="n">
        <v>3.26</v>
      </c>
      <c r="Y102" s="27" t="n">
        <v>2.19</v>
      </c>
      <c r="Z102" s="27" t="n">
        <v>1.07</v>
      </c>
      <c r="AA102" s="27" t="n">
        <v>5.5</v>
      </c>
      <c r="AB102" s="27" t="n">
        <v>2.31</v>
      </c>
      <c r="AC102" s="27" t="n">
        <v>3.19</v>
      </c>
      <c r="AD102" s="27">
        <f>IF(OR(Q102="",BM102="",BM102=0),"",Q102/BM102)</f>
        <v/>
      </c>
      <c r="AE102" s="27">
        <f>IF(OR(T102="",BM102="",BM102=0),"",T102/BM102)</f>
        <v/>
      </c>
      <c r="AF102" s="27">
        <f>IF(OR(W102="",BM102="",BM102=0),"",W102/BM102)</f>
        <v/>
      </c>
      <c r="AG102" s="27">
        <f>IF(OR(Z102="",BM102="",BM102=0),"",Z102/BM102)</f>
        <v/>
      </c>
      <c r="AH102" s="27">
        <f>IF(OR(AC102="",BM102="",BM102=0),"",AC102/BM102)</f>
        <v/>
      </c>
      <c r="AI102" s="26" t="n">
        <v>16.2</v>
      </c>
      <c r="AJ102" s="26" t="n">
        <v>16.4</v>
      </c>
      <c r="AK102" s="26" t="n">
        <v>60.5</v>
      </c>
      <c r="AL102" s="26" t="n">
        <v>6.9</v>
      </c>
      <c r="AM102" s="26" t="n"/>
      <c r="AN102" s="26" t="n"/>
      <c r="AO102" s="26" t="n">
        <v>11.3</v>
      </c>
      <c r="AP102" s="26" t="n">
        <v>3.6</v>
      </c>
      <c r="AQ102" s="26" t="n"/>
      <c r="AR102" s="26" t="n"/>
      <c r="AS102" s="26" t="n">
        <v>1.5</v>
      </c>
      <c r="AT102" s="26" t="n"/>
      <c r="AU102" s="26" t="n"/>
      <c r="AV102" s="26" t="n"/>
      <c r="AW102" s="26" t="n"/>
      <c r="AX102" s="26" t="n"/>
      <c r="AY102" s="26" t="n"/>
      <c r="AZ102" s="26" t="n"/>
      <c r="BA102" s="26" t="n">
        <v>1.7</v>
      </c>
      <c r="BB102" s="26" t="n">
        <v>7.1</v>
      </c>
      <c r="BC102" s="26" t="n"/>
      <c r="BD102" s="26" t="n">
        <v>11.1</v>
      </c>
      <c r="BE102" s="26" t="n">
        <v>3.2</v>
      </c>
      <c r="BF102" s="26" t="n"/>
      <c r="BG102" s="26" t="n">
        <v>7.3</v>
      </c>
      <c r="BH102" s="26" t="n"/>
      <c r="BI102" s="26" t="n"/>
      <c r="BJ102" s="26" t="n"/>
      <c r="BK102" s="26" t="n"/>
      <c r="BL102" s="23" t="inlineStr">
        <is>
          <t>Tenaga Nasional Berhad | Alphabet Incorporated - Class A | Taiwan Semiconductor Manufacturing Company Limited | Advanced Micro Devices Incorporated | TIME dotCom Berhad</t>
        </is>
      </c>
      <c r="BM102" s="26" t="n">
        <v>3.6</v>
      </c>
      <c r="BN102" s="22" t="inlineStr">
        <is>
          <t>Very Low</t>
        </is>
      </c>
      <c r="BO102" s="23" t="inlineStr">
        <is>
          <t>Mixed Asset MYR</t>
        </is>
      </c>
      <c r="BP102" s="23" t="inlineStr">
        <is>
          <t>ThebenchmarkforPESMACFisacompositeof65%3-MonthIslamicInterbank Money Market (IIMM) rate and 35% FTSE Bursa Malaysia Hijrah Shariah Index. Underlying index data are sourced from Lipper and Bank Negara Malaysia.</t>
        </is>
      </c>
      <c r="BQ102" s="28" t="n">
        <v>0.3493</v>
      </c>
      <c r="BR102" s="22" t="inlineStr">
        <is>
          <t>2021-02-11</t>
        </is>
      </c>
      <c r="BS102" s="28" t="n">
        <v>0.3287</v>
      </c>
      <c r="BT102" s="27" t="n">
        <v>-5.9</v>
      </c>
      <c r="BU102" s="24" t="n">
        <v>1950</v>
      </c>
    </row>
    <row r="103" ht="16" customHeight="1">
      <c r="A103" s="37" t="inlineStr">
        <is>
          <t>PUBLIC ISLAMIC GROWTH BALANCED FUND</t>
        </is>
      </c>
      <c r="B103" s="37" t="inlineStr">
        <is>
          <t>PIGRBF</t>
        </is>
      </c>
      <c r="C103" s="37" t="inlineStr">
        <is>
          <t>Shariah</t>
        </is>
      </c>
      <c r="D103" s="37" t="inlineStr">
        <is>
          <t>Mixed Asset / Balanced</t>
        </is>
      </c>
      <c r="E103" s="30" t="inlineStr">
        <is>
          <t>Capital Growth</t>
        </is>
      </c>
      <c r="F103" s="31" t="n">
        <v>3</v>
      </c>
      <c r="G103" s="30" t="inlineStr">
        <is>
          <t>Incidental</t>
        </is>
      </c>
      <c r="H103" s="32" t="n">
        <v>355.96</v>
      </c>
      <c r="I103" s="29" t="inlineStr">
        <is>
          <t>07.10.2015</t>
        </is>
      </c>
      <c r="J103" s="29" t="inlineStr">
        <is>
          <t>Qualified</t>
        </is>
      </c>
      <c r="K103" s="33" t="n">
        <v>60</v>
      </c>
      <c r="L103" s="29" t="inlineStr">
        <is>
          <t>3/5</t>
        </is>
      </c>
      <c r="M103" s="30" t="inlineStr">
        <is>
          <t>Qualified (WA: +1.14%) — YTD✘ 1Y✘ 3Y✔ 5Y✔ 10Y✔</t>
        </is>
      </c>
      <c r="N103" s="34" t="n">
        <v>1.14</v>
      </c>
      <c r="O103" s="34" t="n">
        <v>0.1</v>
      </c>
      <c r="P103" s="34" t="n">
        <v>3.61</v>
      </c>
      <c r="Q103" s="34" t="n">
        <v>-3.51</v>
      </c>
      <c r="R103" s="34" t="n">
        <v>7.55</v>
      </c>
      <c r="S103" s="34" t="n">
        <v>9.48</v>
      </c>
      <c r="T103" s="34" t="n">
        <v>-1.93</v>
      </c>
      <c r="U103" s="34" t="n">
        <v>7.6</v>
      </c>
      <c r="V103" s="34" t="n">
        <v>5.51</v>
      </c>
      <c r="W103" s="34" t="n">
        <v>2.09</v>
      </c>
      <c r="X103" s="34" t="n">
        <v>1.8</v>
      </c>
      <c r="Y103" s="34" t="n">
        <v>1.42</v>
      </c>
      <c r="Z103" s="34" t="n">
        <v>0.38</v>
      </c>
      <c r="AA103" s="34" t="n">
        <v>6.05</v>
      </c>
      <c r="AB103" s="34" t="n">
        <v>1.58</v>
      </c>
      <c r="AC103" s="34" t="n">
        <v>4.47</v>
      </c>
      <c r="AD103" s="34">
        <f>IF(OR(Q103="",BM103="",BM103=0),"",Q103/BM103)</f>
        <v/>
      </c>
      <c r="AE103" s="34">
        <f>IF(OR(T103="",BM103="",BM103=0),"",T103/BM103)</f>
        <v/>
      </c>
      <c r="AF103" s="34">
        <f>IF(OR(W103="",BM103="",BM103=0),"",W103/BM103)</f>
        <v/>
      </c>
      <c r="AG103" s="34">
        <f>IF(OR(Z103="",BM103="",BM103=0),"",Z103/BM103)</f>
        <v/>
      </c>
      <c r="AH103" s="34">
        <f>IF(OR(AC103="",BM103="",BM103=0),"",AC103/BM103)</f>
        <v/>
      </c>
      <c r="AI103" s="33" t="n">
        <v>30.8</v>
      </c>
      <c r="AJ103" s="33" t="n">
        <v>20.7</v>
      </c>
      <c r="AK103" s="33" t="n">
        <v>35.7</v>
      </c>
      <c r="AL103" s="33" t="n">
        <v>12.8</v>
      </c>
      <c r="AM103" s="33" t="n"/>
      <c r="AN103" s="33" t="n"/>
      <c r="AO103" s="33" t="n">
        <v>13.9</v>
      </c>
      <c r="AP103" s="33" t="n">
        <v>3.9</v>
      </c>
      <c r="AQ103" s="33" t="n">
        <v>1</v>
      </c>
      <c r="AR103" s="33" t="n">
        <v>1.9</v>
      </c>
      <c r="AS103" s="33" t="n"/>
      <c r="AT103" s="33" t="n"/>
      <c r="AU103" s="33" t="n"/>
      <c r="AV103" s="33" t="n"/>
      <c r="AW103" s="33" t="n"/>
      <c r="AX103" s="33" t="n"/>
      <c r="AY103" s="33" t="n"/>
      <c r="AZ103" s="33" t="n"/>
      <c r="BA103" s="33" t="n">
        <v>13.8</v>
      </c>
      <c r="BB103" s="33" t="n">
        <v>9.5</v>
      </c>
      <c r="BC103" s="33" t="n">
        <v>3.5</v>
      </c>
      <c r="BD103" s="33" t="n">
        <v>12.1</v>
      </c>
      <c r="BE103" s="33" t="n">
        <v>5.9</v>
      </c>
      <c r="BF103" s="33" t="n"/>
      <c r="BG103" s="33" t="n"/>
      <c r="BH103" s="33" t="n"/>
      <c r="BI103" s="33" t="n"/>
      <c r="BJ103" s="33" t="n"/>
      <c r="BK103" s="33" t="n"/>
      <c r="BL103" s="30" t="inlineStr">
        <is>
          <t>Tesla Incorporated | Frontken Corporation Berhad | Advanced Micro Devices Incorporated | TIME dotCom Berhad | Gamuda Berhad</t>
        </is>
      </c>
      <c r="BM103" s="33" t="n">
        <v>6.5</v>
      </c>
      <c r="BN103" s="29" t="inlineStr">
        <is>
          <t>Low</t>
        </is>
      </c>
      <c r="BO103" s="30" t="inlineStr">
        <is>
          <t>Mixed Asset MYR Domestic</t>
        </is>
      </c>
      <c r="BP103" s="30" t="inlineStr">
        <is>
          <t>ThebenchmarkforPIGRBFisacompositeof60%FTSEBursaMalaysiaHijrah Shariah Index and 40% 3-Month Islamic Interbank Money Market (IIMM) rate. Underlying index data are sourced from Lipper and Bank Negara Malaysia.</t>
        </is>
      </c>
      <c r="BQ103" s="35" t="n">
        <v>0.4089</v>
      </c>
      <c r="BR103" s="29" t="inlineStr">
        <is>
          <t>2026-06-03</t>
        </is>
      </c>
      <c r="BS103" s="35" t="n">
        <v>0.4024</v>
      </c>
      <c r="BT103" s="34" t="n">
        <v>-1.59</v>
      </c>
      <c r="BU103" s="31" t="n">
        <v>12</v>
      </c>
    </row>
    <row r="104" ht="16" customHeight="1">
      <c r="A104" s="22" t="inlineStr">
        <is>
          <t>PB MIXED ASSET CONSERVATIVE FUND</t>
        </is>
      </c>
      <c r="B104" s="22" t="inlineStr">
        <is>
          <t>PBMAC</t>
        </is>
      </c>
      <c r="C104" s="22" t="inlineStr">
        <is>
          <t>Conventional</t>
        </is>
      </c>
      <c r="D104" s="22" t="inlineStr">
        <is>
          <t>Mixed Asset / Balanced</t>
        </is>
      </c>
      <c r="E104" s="23" t="inlineStr">
        <is>
          <t>Capital Growth + Income</t>
        </is>
      </c>
      <c r="F104" s="24" t="n">
        <v>3</v>
      </c>
      <c r="G104" s="23" t="inlineStr">
        <is>
          <t>Annual</t>
        </is>
      </c>
      <c r="H104" s="25" t="n">
        <v>101.36</v>
      </c>
      <c r="I104" s="22" t="inlineStr">
        <is>
          <t>15.01.2013</t>
        </is>
      </c>
      <c r="J104" s="22" t="inlineStr">
        <is>
          <t>Qualified</t>
        </is>
      </c>
      <c r="K104" s="26" t="n">
        <v>80</v>
      </c>
      <c r="L104" s="22" t="inlineStr">
        <is>
          <t>4/5</t>
        </is>
      </c>
      <c r="M104" s="23" t="inlineStr">
        <is>
          <t>Qualified (WA: +1.05%) — YTD✘ 1Y✔ 3Y✔ 5Y✔ 10Y✔</t>
        </is>
      </c>
      <c r="N104" s="27" t="n">
        <v>1.05</v>
      </c>
      <c r="O104" s="27" t="n">
        <v>0.41</v>
      </c>
      <c r="P104" s="27" t="n">
        <v>1.61</v>
      </c>
      <c r="Q104" s="27" t="n">
        <v>-1.2</v>
      </c>
      <c r="R104" s="27" t="n">
        <v>6.37</v>
      </c>
      <c r="S104" s="27" t="n">
        <v>6.31</v>
      </c>
      <c r="T104" s="27" t="n">
        <v>0.06</v>
      </c>
      <c r="U104" s="27" t="n">
        <v>6.28</v>
      </c>
      <c r="V104" s="27" t="n">
        <v>4.73</v>
      </c>
      <c r="W104" s="27" t="n">
        <v>1.55</v>
      </c>
      <c r="X104" s="27" t="n">
        <v>3.13</v>
      </c>
      <c r="Y104" s="27" t="n">
        <v>2.66</v>
      </c>
      <c r="Z104" s="27" t="n">
        <v>0.47</v>
      </c>
      <c r="AA104" s="27" t="n">
        <v>4.72</v>
      </c>
      <c r="AB104" s="27" t="n">
        <v>2.28</v>
      </c>
      <c r="AC104" s="27" t="n">
        <v>2.44</v>
      </c>
      <c r="AD104" s="27">
        <f>IF(OR(Q104="",BM104="",BM104=0),"",Q104/BM104)</f>
        <v/>
      </c>
      <c r="AE104" s="27">
        <f>IF(OR(T104="",BM104="",BM104=0),"",T104/BM104)</f>
        <v/>
      </c>
      <c r="AF104" s="27">
        <f>IF(OR(W104="",BM104="",BM104=0),"",W104/BM104)</f>
        <v/>
      </c>
      <c r="AG104" s="27">
        <f>IF(OR(Z104="",BM104="",BM104=0),"",Z104/BM104)</f>
        <v/>
      </c>
      <c r="AH104" s="27">
        <f>IF(OR(AC104="",BM104="",BM104=0),"",AC104/BM104)</f>
        <v/>
      </c>
      <c r="AI104" s="26" t="n">
        <v>9.5</v>
      </c>
      <c r="AJ104" s="26" t="n">
        <v>19.7</v>
      </c>
      <c r="AK104" s="26" t="n">
        <v>63.1</v>
      </c>
      <c r="AL104" s="26" t="n">
        <v>7.7</v>
      </c>
      <c r="AM104" s="26" t="n"/>
      <c r="AN104" s="26" t="n"/>
      <c r="AO104" s="26" t="n">
        <v>9.800000000000001</v>
      </c>
      <c r="AP104" s="26" t="n">
        <v>2.2</v>
      </c>
      <c r="AQ104" s="26" t="n">
        <v>4.8</v>
      </c>
      <c r="AR104" s="26" t="n"/>
      <c r="AS104" s="26" t="n"/>
      <c r="AT104" s="26" t="n"/>
      <c r="AU104" s="26" t="n">
        <v>2.9</v>
      </c>
      <c r="AV104" s="26" t="n"/>
      <c r="AW104" s="26" t="n"/>
      <c r="AX104" s="26" t="n"/>
      <c r="AY104" s="26" t="n"/>
      <c r="AZ104" s="26" t="n"/>
      <c r="BA104" s="26" t="n">
        <v>3.7</v>
      </c>
      <c r="BB104" s="26" t="n">
        <v>5.2</v>
      </c>
      <c r="BC104" s="26" t="n"/>
      <c r="BD104" s="26" t="n">
        <v>7.9</v>
      </c>
      <c r="BE104" s="26" t="n"/>
      <c r="BF104" s="26" t="n"/>
      <c r="BG104" s="26" t="n">
        <v>3.4</v>
      </c>
      <c r="BH104" s="26" t="n"/>
      <c r="BI104" s="26" t="n">
        <v>3.5</v>
      </c>
      <c r="BJ104" s="26" t="n"/>
      <c r="BK104" s="26" t="n"/>
      <c r="BL104" s="23" t="inlineStr">
        <is>
          <t>Alphabet Incorporated - Class A | Press Metal Aluminium Holdings Berhad | Tenaga Nasional Berhad | Samsung Electronics Company Limited | Tesla Incorporated</t>
        </is>
      </c>
      <c r="BM104" s="26" t="n">
        <v>5.2</v>
      </c>
      <c r="BN104" s="22" t="inlineStr">
        <is>
          <t>Low</t>
        </is>
      </c>
      <c r="BO104" s="23" t="inlineStr">
        <is>
          <t>Mixed Asset MYR Domestic</t>
        </is>
      </c>
      <c r="BP104" s="23" t="inlineStr">
        <is>
          <t>2020 0.80 31.12.20 2.8 ThebenchmarkforPBMACisacompositeof65%3-MonthKualaLumpurInterbank Offered Rate (KLIBOR) and 35% FTSE Bursa Malaysia KLCI (FBM KLCI). 2021 1.20 31.12.21 4.3 Underlying index data are sourced from Lipper and Bank Negara Malaysia. 2022 0.30 30.12.22 1.1 2023 1.00 29.12.23 3.7</t>
        </is>
      </c>
      <c r="BQ104" s="28" t="n">
        <v>0.3071</v>
      </c>
      <c r="BR104" s="22" t="inlineStr">
        <is>
          <t>2025-11-03</t>
        </is>
      </c>
      <c r="BS104" s="28" t="n">
        <v>0.2921</v>
      </c>
      <c r="BT104" s="27" t="n">
        <v>-4.88</v>
      </c>
      <c r="BU104" s="24" t="n">
        <v>224</v>
      </c>
    </row>
    <row r="105" ht="16" customHeight="1">
      <c r="A105" s="29" t="inlineStr">
        <is>
          <t>PUBLIC e-AL-MUTAWAZAN STRATEGY FUND</t>
        </is>
      </c>
      <c r="B105" s="29" t="inlineStr">
        <is>
          <t>PeMZSF</t>
        </is>
      </c>
      <c r="C105" s="29" t="inlineStr">
        <is>
          <t>Conventional</t>
        </is>
      </c>
      <c r="D105" s="29" t="inlineStr">
        <is>
          <t>Mixed Asset / Balanced</t>
        </is>
      </c>
      <c r="E105" s="30" t="inlineStr">
        <is>
          <t>Capital Growth</t>
        </is>
      </c>
      <c r="F105" s="31" t="n">
        <v>3</v>
      </c>
      <c r="G105" s="30" t="inlineStr">
        <is>
          <t>Incidental</t>
        </is>
      </c>
      <c r="H105" s="32" t="n">
        <v>16.29</v>
      </c>
      <c r="I105" s="29" t="inlineStr">
        <is>
          <t>30.11.2021</t>
        </is>
      </c>
      <c r="J105" s="29" t="inlineStr">
        <is>
          <t>Qualified</t>
        </is>
      </c>
      <c r="K105" s="33" t="n">
        <v>33.3</v>
      </c>
      <c r="L105" s="29" t="inlineStr">
        <is>
          <t>1/3</t>
        </is>
      </c>
      <c r="M105" s="30" t="inlineStr">
        <is>
          <t>Qualified (WA: +0.89%) — YTD✘ 1Y✘ 3Y✔</t>
        </is>
      </c>
      <c r="N105" s="34" t="n">
        <v>0.89</v>
      </c>
      <c r="O105" s="34" t="n">
        <v>1.88</v>
      </c>
      <c r="P105" s="34" t="n">
        <v>3.61</v>
      </c>
      <c r="Q105" s="34" t="n">
        <v>-1.73</v>
      </c>
      <c r="R105" s="34" t="n">
        <v>9.31</v>
      </c>
      <c r="S105" s="34" t="n">
        <v>9.48</v>
      </c>
      <c r="T105" s="34" t="n">
        <v>-0.17</v>
      </c>
      <c r="U105" s="34" t="n">
        <v>7.12</v>
      </c>
      <c r="V105" s="34" t="n">
        <v>5.51</v>
      </c>
      <c r="W105" s="34" t="n">
        <v>1.61</v>
      </c>
      <c r="X105" s="34" t="n"/>
      <c r="Y105" s="34" t="n"/>
      <c r="Z105" s="34" t="n"/>
      <c r="AA105" s="34" t="n"/>
      <c r="AB105" s="34" t="n"/>
      <c r="AC105" s="34" t="n"/>
      <c r="AD105" s="34">
        <f>IF(OR(Q105="",BM105="",BM105=0),"",Q105/BM105)</f>
        <v/>
      </c>
      <c r="AE105" s="34">
        <f>IF(OR(T105="",BM105="",BM105=0),"",T105/BM105)</f>
        <v/>
      </c>
      <c r="AF105" s="34">
        <f>IF(OR(W105="",BM105="",BM105=0),"",W105/BM105)</f>
        <v/>
      </c>
      <c r="AG105" s="34">
        <f>IF(OR(Z105="",BM105="",BM105=0),"",Z105/BM105)</f>
        <v/>
      </c>
      <c r="AH105" s="34">
        <f>IF(OR(AC105="",BM105="",BM105=0),"",AC105/BM105)</f>
        <v/>
      </c>
      <c r="AI105" s="33" t="n">
        <v>37.1</v>
      </c>
      <c r="AJ105" s="33" t="n">
        <v>20.7</v>
      </c>
      <c r="AK105" s="33" t="n">
        <v>32.4</v>
      </c>
      <c r="AL105" s="33" t="n">
        <v>9.800000000000001</v>
      </c>
      <c r="AM105" s="33" t="n"/>
      <c r="AN105" s="33" t="n"/>
      <c r="AO105" s="33" t="n">
        <v>13.1</v>
      </c>
      <c r="AP105" s="33" t="n"/>
      <c r="AQ105" s="33" t="n">
        <v>4.7</v>
      </c>
      <c r="AR105" s="33" t="n"/>
      <c r="AS105" s="33" t="n"/>
      <c r="AT105" s="33" t="n"/>
      <c r="AU105" s="33" t="n">
        <v>2.9</v>
      </c>
      <c r="AV105" s="33" t="n"/>
      <c r="AW105" s="33" t="n"/>
      <c r="AX105" s="33" t="n"/>
      <c r="AY105" s="33" t="n"/>
      <c r="AZ105" s="33" t="n"/>
      <c r="BA105" s="33" t="n">
        <v>15.2</v>
      </c>
      <c r="BB105" s="33" t="n">
        <v>6.3</v>
      </c>
      <c r="BC105" s="33" t="n"/>
      <c r="BD105" s="33" t="n">
        <v>11.2</v>
      </c>
      <c r="BE105" s="33" t="n"/>
      <c r="BF105" s="33" t="n"/>
      <c r="BG105" s="33" t="n">
        <v>9.6</v>
      </c>
      <c r="BH105" s="33" t="n"/>
      <c r="BI105" s="33" t="n">
        <v>4.7</v>
      </c>
      <c r="BJ105" s="33" t="n"/>
      <c r="BK105" s="33" t="n"/>
      <c r="BL105" s="30" t="inlineStr">
        <is>
          <t>Tenaga Nasional Berhad | Meta Platforms Incorporated | Hanwha Aerospace Company Limited | Press Metal Aluminium Holdings Berhad | QL Resources Berhad</t>
        </is>
      </c>
      <c r="BM105" s="33" t="n">
        <v>7.7</v>
      </c>
      <c r="BN105" s="29" t="inlineStr">
        <is>
          <t>Low</t>
        </is>
      </c>
      <c r="BO105" s="30" t="inlineStr">
        <is>
          <t>Mixed Asset MYR Domestic</t>
        </is>
      </c>
      <c r="BP105" s="30" t="inlineStr">
        <is>
          <t>Thebenchmark forPeMZSFisacompositeof60% FTSE BursaMalaysiaHijrah Shariah Index and 40% 3-Month Islamic Interbank Money Market (IIMM) rate. Underlying index data are sourced from Lipper and Bank Negara Malaysia.</t>
        </is>
      </c>
      <c r="BQ105" s="35" t="n">
        <v>0.29</v>
      </c>
      <c r="BR105" s="29" t="inlineStr">
        <is>
          <t>2026-06-03</t>
        </is>
      </c>
      <c r="BS105" s="35" t="n">
        <v>0.2862</v>
      </c>
      <c r="BT105" s="34" t="n">
        <v>-1.31</v>
      </c>
      <c r="BU105" s="31" t="n">
        <v>12</v>
      </c>
    </row>
    <row r="106" ht="16" customHeight="1">
      <c r="A106" s="22" t="inlineStr">
        <is>
          <t>PUBLIC STRATEGIC BALANCED FUND</t>
        </is>
      </c>
      <c r="B106" s="22" t="inlineStr">
        <is>
          <t>PSTBLF</t>
        </is>
      </c>
      <c r="C106" s="22" t="inlineStr">
        <is>
          <t>Conventional</t>
        </is>
      </c>
      <c r="D106" s="22" t="inlineStr">
        <is>
          <t>Mixed Asset / Balanced</t>
        </is>
      </c>
      <c r="E106" s="23" t="inlineStr">
        <is>
          <t>Capital Growth</t>
        </is>
      </c>
      <c r="F106" s="24" t="n">
        <v>4</v>
      </c>
      <c r="G106" s="23" t="inlineStr">
        <is>
          <t>Incidental</t>
        </is>
      </c>
      <c r="H106" s="25" t="n">
        <v>55.37</v>
      </c>
      <c r="I106" s="22" t="inlineStr">
        <is>
          <t>09.06.2016</t>
        </is>
      </c>
      <c r="J106" s="22" t="inlineStr">
        <is>
          <t>Qualified</t>
        </is>
      </c>
      <c r="K106" s="26" t="n">
        <v>25</v>
      </c>
      <c r="L106" s="22" t="inlineStr">
        <is>
          <t>1/4</t>
        </is>
      </c>
      <c r="M106" s="23" t="inlineStr">
        <is>
          <t>Qualified (WA: +0.79%) — YTD✘ 1Y✘ 3Y✔ 5Y✘</t>
        </is>
      </c>
      <c r="N106" s="27" t="n">
        <v>0.79</v>
      </c>
      <c r="O106" s="27" t="n">
        <v>0.46</v>
      </c>
      <c r="P106" s="27" t="n">
        <v>4</v>
      </c>
      <c r="Q106" s="27" t="n">
        <v>-3.54</v>
      </c>
      <c r="R106" s="27" t="n">
        <v>14.44</v>
      </c>
      <c r="S106" s="27" t="n">
        <v>14.8</v>
      </c>
      <c r="T106" s="27" t="n">
        <v>-0.36</v>
      </c>
      <c r="U106" s="27" t="n">
        <v>11.27</v>
      </c>
      <c r="V106" s="27" t="n">
        <v>8.85</v>
      </c>
      <c r="W106" s="27" t="n">
        <v>2.42</v>
      </c>
      <c r="X106" s="27" t="n">
        <v>5.22</v>
      </c>
      <c r="Y106" s="27" t="n">
        <v>5.49</v>
      </c>
      <c r="Z106" s="27" t="n">
        <v>-0.27</v>
      </c>
      <c r="AA106" s="27" t="n"/>
      <c r="AB106" s="27" t="n"/>
      <c r="AC106" s="27" t="n"/>
      <c r="AD106" s="27">
        <f>IF(OR(Q106="",BM106="",BM106=0),"",Q106/BM106)</f>
        <v/>
      </c>
      <c r="AE106" s="27">
        <f>IF(OR(T106="",BM106="",BM106=0),"",T106/BM106)</f>
        <v/>
      </c>
      <c r="AF106" s="27">
        <f>IF(OR(W106="",BM106="",BM106=0),"",W106/BM106)</f>
        <v/>
      </c>
      <c r="AG106" s="27">
        <f>IF(OR(Z106="",BM106="",BM106=0),"",Z106/BM106)</f>
        <v/>
      </c>
      <c r="AH106" s="27">
        <f>IF(OR(AC106="",BM106="",BM106=0),"",AC106/BM106)</f>
        <v/>
      </c>
      <c r="AI106" s="26" t="n"/>
      <c r="AJ106" s="26" t="n">
        <v>48.9</v>
      </c>
      <c r="AK106" s="26" t="n">
        <v>40.8</v>
      </c>
      <c r="AL106" s="26" t="n">
        <v>10.3</v>
      </c>
      <c r="AM106" s="26" t="n"/>
      <c r="AN106" s="26" t="n"/>
      <c r="AO106" s="26" t="n">
        <v>18.9</v>
      </c>
      <c r="AP106" s="26" t="n">
        <v>6.5</v>
      </c>
      <c r="AQ106" s="26" t="n">
        <v>7.8</v>
      </c>
      <c r="AR106" s="26" t="n"/>
      <c r="AS106" s="26" t="n"/>
      <c r="AT106" s="26" t="n"/>
      <c r="AU106" s="26" t="n">
        <v>2.8</v>
      </c>
      <c r="AV106" s="26" t="n"/>
      <c r="AW106" s="26" t="n"/>
      <c r="AX106" s="26" t="n"/>
      <c r="AY106" s="26" t="n"/>
      <c r="AZ106" s="26" t="n"/>
      <c r="BA106" s="26" t="n">
        <v>3.1</v>
      </c>
      <c r="BB106" s="26" t="n">
        <v>18.4</v>
      </c>
      <c r="BC106" s="26" t="n">
        <v>2.8</v>
      </c>
      <c r="BD106" s="26" t="n">
        <v>20.8</v>
      </c>
      <c r="BE106" s="26" t="n">
        <v>3.8</v>
      </c>
      <c r="BF106" s="26" t="n"/>
      <c r="BG106" s="26" t="n"/>
      <c r="BH106" s="26" t="n"/>
      <c r="BI106" s="26" t="n"/>
      <c r="BJ106" s="26" t="n"/>
      <c r="BK106" s="26" t="n"/>
      <c r="BL106" s="23" t="inlineStr">
        <is>
          <t>Taiwan Semiconductor Manufacturing Company Limited | Alibaba Group Holding Limited - W | Samsung Electronics Company Limited | Meta Platforms Incorporated | Tencent Holdings Limited</t>
        </is>
      </c>
      <c r="BM106" s="26" t="n">
        <v>7.9</v>
      </c>
      <c r="BN106" s="22" t="inlineStr">
        <is>
          <t>Moderate</t>
        </is>
      </c>
      <c r="BO106" s="23" t="inlineStr">
        <is>
          <t>Mixed Asset MYR Global</t>
        </is>
      </c>
      <c r="BP106" s="23" t="n"/>
      <c r="BQ106" s="28" t="n">
        <v>0.4594</v>
      </c>
      <c r="BR106" s="22" t="inlineStr">
        <is>
          <t>2026-06-04</t>
        </is>
      </c>
      <c r="BS106" s="28" t="n">
        <v>0.4485</v>
      </c>
      <c r="BT106" s="27" t="n">
        <v>-2.37</v>
      </c>
      <c r="BU106" s="24" t="n">
        <v>11</v>
      </c>
    </row>
    <row r="107" ht="16" customHeight="1">
      <c r="A107" s="29" t="inlineStr">
        <is>
          <t>PB ASIA REAL ESTATE INCOME FUND</t>
        </is>
      </c>
      <c r="B107" s="29" t="inlineStr">
        <is>
          <t>PBAREIF</t>
        </is>
      </c>
      <c r="C107" s="29" t="inlineStr">
        <is>
          <t>Conventional</t>
        </is>
      </c>
      <c r="D107" s="29" t="inlineStr">
        <is>
          <t>Mixed Asset / Balanced</t>
        </is>
      </c>
      <c r="E107" s="30" t="inlineStr">
        <is>
          <t>Capital Growth + Income</t>
        </is>
      </c>
      <c r="F107" s="31" t="n">
        <v>4</v>
      </c>
      <c r="G107" s="30" t="inlineStr">
        <is>
          <t>Annual</t>
        </is>
      </c>
      <c r="H107" s="32" t="n">
        <v>50</v>
      </c>
      <c r="I107" s="29" t="inlineStr">
        <is>
          <t>18.12.2007</t>
        </is>
      </c>
      <c r="J107" s="29" t="inlineStr">
        <is>
          <t>Qualified</t>
        </is>
      </c>
      <c r="K107" s="33" t="n">
        <v>40</v>
      </c>
      <c r="L107" s="29" t="inlineStr">
        <is>
          <t>2/5</t>
        </is>
      </c>
      <c r="M107" s="30" t="inlineStr">
        <is>
          <t>Qualified (WA: +0.26%) — YTD✘ 1Y✘ 3Y✘ 5Y✔ 10Y✔</t>
        </is>
      </c>
      <c r="N107" s="34" t="n">
        <v>0.26</v>
      </c>
      <c r="O107" s="34" t="n">
        <v>2.73</v>
      </c>
      <c r="P107" s="34" t="n">
        <v>2.93</v>
      </c>
      <c r="Q107" s="34" t="n">
        <v>-0.2</v>
      </c>
      <c r="R107" s="34" t="n">
        <v>7.43</v>
      </c>
      <c r="S107" s="34" t="n">
        <v>7.53</v>
      </c>
      <c r="T107" s="34" t="n">
        <v>-0.1</v>
      </c>
      <c r="U107" s="34" t="n">
        <v>4.34</v>
      </c>
      <c r="V107" s="34" t="n">
        <v>4.37</v>
      </c>
      <c r="W107" s="34" t="n">
        <v>-0.03</v>
      </c>
      <c r="X107" s="34" t="n">
        <v>1.81</v>
      </c>
      <c r="Y107" s="34" t="n">
        <v>0.99</v>
      </c>
      <c r="Z107" s="34" t="n">
        <v>0.82</v>
      </c>
      <c r="AA107" s="34" t="n">
        <v>2.42</v>
      </c>
      <c r="AB107" s="34" t="n">
        <v>1.78</v>
      </c>
      <c r="AC107" s="34" t="n">
        <v>0.64</v>
      </c>
      <c r="AD107" s="34">
        <f>IF(OR(Q107="",BM107="",BM107=0),"",Q107/BM107)</f>
        <v/>
      </c>
      <c r="AE107" s="34">
        <f>IF(OR(T107="",BM107="",BM107=0),"",T107/BM107)</f>
        <v/>
      </c>
      <c r="AF107" s="34">
        <f>IF(OR(W107="",BM107="",BM107=0),"",W107/BM107)</f>
        <v/>
      </c>
      <c r="AG107" s="34">
        <f>IF(OR(Z107="",BM107="",BM107=0),"",Z107/BM107)</f>
        <v/>
      </c>
      <c r="AH107" s="34">
        <f>IF(OR(AC107="",BM107="",BM107=0),"",AC107/BM107)</f>
        <v/>
      </c>
      <c r="AI107" s="33" t="n">
        <v>16.5</v>
      </c>
      <c r="AJ107" s="33" t="n">
        <v>33.9</v>
      </c>
      <c r="AK107" s="33" t="n">
        <v>44.5</v>
      </c>
      <c r="AL107" s="33" t="n">
        <v>5.1</v>
      </c>
      <c r="AM107" s="33" t="n"/>
      <c r="AN107" s="33" t="n"/>
      <c r="AO107" s="33" t="n"/>
      <c r="AP107" s="33" t="n"/>
      <c r="AQ107" s="33" t="n"/>
      <c r="AR107" s="33" t="n">
        <v>8.4</v>
      </c>
      <c r="AS107" s="33" t="n"/>
      <c r="AT107" s="33" t="n"/>
      <c r="AU107" s="33" t="n">
        <v>7.5</v>
      </c>
      <c r="AV107" s="33" t="n">
        <v>1</v>
      </c>
      <c r="AW107" s="33" t="n"/>
      <c r="AX107" s="33" t="n"/>
      <c r="AY107" s="33" t="n">
        <v>7.1</v>
      </c>
      <c r="AZ107" s="33" t="n"/>
      <c r="BA107" s="33" t="n"/>
      <c r="BB107" s="33" t="n"/>
      <c r="BC107" s="33" t="n"/>
      <c r="BD107" s="33" t="n"/>
      <c r="BE107" s="33" t="n"/>
      <c r="BF107" s="33" t="n"/>
      <c r="BG107" s="33" t="n"/>
      <c r="BH107" s="33" t="n"/>
      <c r="BI107" s="33" t="n"/>
      <c r="BJ107" s="33" t="n">
        <v>50.4</v>
      </c>
      <c r="BK107" s="33" t="n"/>
      <c r="BL107" s="30" t="inlineStr">
        <is>
          <t>China Resources Land Limited | Sun Hung Kai Properties Limited | Mitsubishi Estate Company Limited | Link Real Estate Investment Trust | Sunway Real Estate Investment Trust</t>
        </is>
      </c>
      <c r="BM107" s="33" t="n">
        <v>6.4</v>
      </c>
      <c r="BN107" s="29" t="inlineStr">
        <is>
          <t>Low</t>
        </is>
      </c>
      <c r="BO107" s="30" t="inlineStr">
        <is>
          <t>Mixed Asset MYR Asia</t>
        </is>
      </c>
      <c r="BP107" s="30" t="inlineStr">
        <is>
          <t>The benchmark for PBAREIF is a composite of 60% customised index of Asia PacificRealEstateSectorIndexbyDowJonesIndexesSM(priorto1January2009), 60%customisedindexbasedontheconstituentswithintherealestatesectorofthe Standard&amp;Poor'sBMIAsiaPacificIndexcustomisedbyS&amp;PDowJonesIndices, LLC(w.e.f.1January2009)and40%3-MonthKualaLumpurInterbankOfferedRate (KLIBOR). Underlying indexdata are sourced from S&amp;P Dow Jones Indices, LLC and Bank Negara Malaysia and expressed in Ringgit terms.</t>
        </is>
      </c>
      <c r="BQ107" s="35" t="n">
        <v>0.3441</v>
      </c>
      <c r="BR107" s="29" t="inlineStr">
        <is>
          <t>2017-08-01</t>
        </is>
      </c>
      <c r="BS107" s="35" t="n">
        <v>0.2935</v>
      </c>
      <c r="BT107" s="34" t="n">
        <v>-14.71</v>
      </c>
      <c r="BU107" s="31" t="n">
        <v>3240</v>
      </c>
    </row>
    <row r="108" ht="16" customHeight="1">
      <c r="A108" s="22" t="inlineStr">
        <is>
          <t>PUBLIC e-ASIA PACIFIC REITs FLEXI FUND</t>
        </is>
      </c>
      <c r="B108" s="22" t="inlineStr">
        <is>
          <t>PeAPREITF</t>
        </is>
      </c>
      <c r="C108" s="22" t="inlineStr">
        <is>
          <t>Conventional</t>
        </is>
      </c>
      <c r="D108" s="22" t="inlineStr">
        <is>
          <t>Mixed Asset / Balanced</t>
        </is>
      </c>
      <c r="E108" s="23" t="inlineStr">
        <is>
          <t>Capital Growth + Income</t>
        </is>
      </c>
      <c r="F108" s="24" t="n">
        <v>5</v>
      </c>
      <c r="G108" s="23" t="inlineStr">
        <is>
          <t>Annual</t>
        </is>
      </c>
      <c r="H108" s="25" t="n">
        <v>53.56</v>
      </c>
      <c r="I108" s="22" t="inlineStr">
        <is>
          <t>18.02.2020</t>
        </is>
      </c>
      <c r="J108" s="22" t="inlineStr">
        <is>
          <t>Qualified</t>
        </is>
      </c>
      <c r="K108" s="26" t="n">
        <v>50</v>
      </c>
      <c r="L108" s="22" t="inlineStr">
        <is>
          <t>2/4</t>
        </is>
      </c>
      <c r="M108" s="23" t="inlineStr">
        <is>
          <t>Qualified (WA: +0.09%) — YTD✘ 1Y✘ 3Y✔ 5Y✔</t>
        </is>
      </c>
      <c r="N108" s="27" t="n">
        <v>0.09</v>
      </c>
      <c r="O108" s="27" t="n">
        <v>-1.2</v>
      </c>
      <c r="P108" s="27" t="n">
        <v>-1.14</v>
      </c>
      <c r="Q108" s="27" t="n">
        <v>-0.06</v>
      </c>
      <c r="R108" s="27" t="n">
        <v>4.59</v>
      </c>
      <c r="S108" s="27" t="n">
        <v>6.4</v>
      </c>
      <c r="T108" s="27" t="n">
        <v>-1.81</v>
      </c>
      <c r="U108" s="27" t="n">
        <v>2.22</v>
      </c>
      <c r="V108" s="27" t="n">
        <v>1.73</v>
      </c>
      <c r="W108" s="27" t="n">
        <v>0.49</v>
      </c>
      <c r="X108" s="27" t="n">
        <v>-1.95</v>
      </c>
      <c r="Y108" s="27" t="n">
        <v>-2.58</v>
      </c>
      <c r="Z108" s="27" t="n">
        <v>0.63</v>
      </c>
      <c r="AA108" s="27" t="n"/>
      <c r="AB108" s="27" t="n"/>
      <c r="AC108" s="27" t="n"/>
      <c r="AD108" s="27">
        <f>IF(OR(Q108="",BM108="",BM108=0),"",Q108/BM108)</f>
        <v/>
      </c>
      <c r="AE108" s="27">
        <f>IF(OR(T108="",BM108="",BM108=0),"",T108/BM108)</f>
        <v/>
      </c>
      <c r="AF108" s="27">
        <f>IF(OR(W108="",BM108="",BM108=0),"",W108/BM108)</f>
        <v/>
      </c>
      <c r="AG108" s="27">
        <f>IF(OR(Z108="",BM108="",BM108=0),"",Z108/BM108)</f>
        <v/>
      </c>
      <c r="AH108" s="27">
        <f>IF(OR(AC108="",BM108="",BM108=0),"",AC108/BM108)</f>
        <v/>
      </c>
      <c r="AI108" s="26" t="n">
        <v>9.1</v>
      </c>
      <c r="AJ108" s="26" t="n">
        <v>82.40000000000001</v>
      </c>
      <c r="AK108" s="26" t="n"/>
      <c r="AL108" s="26" t="n">
        <v>8.5</v>
      </c>
      <c r="AM108" s="26" t="n"/>
      <c r="AN108" s="26" t="n"/>
      <c r="AO108" s="26" t="n">
        <v>9.1</v>
      </c>
      <c r="AP108" s="26" t="n"/>
      <c r="AQ108" s="26" t="n"/>
      <c r="AR108" s="26" t="n">
        <v>18.1</v>
      </c>
      <c r="AS108" s="26" t="n"/>
      <c r="AT108" s="26" t="n"/>
      <c r="AU108" s="26" t="n">
        <v>8.699999999999999</v>
      </c>
      <c r="AV108" s="26" t="n">
        <v>14.6</v>
      </c>
      <c r="AW108" s="26" t="n"/>
      <c r="AX108" s="26" t="n"/>
      <c r="AY108" s="26" t="n">
        <v>15.8</v>
      </c>
      <c r="AZ108" s="26" t="n"/>
      <c r="BA108" s="26" t="n"/>
      <c r="BB108" s="26" t="n">
        <v>15.3</v>
      </c>
      <c r="BC108" s="26" t="n">
        <v>62.3</v>
      </c>
      <c r="BD108" s="26" t="n">
        <v>13.9</v>
      </c>
      <c r="BE108" s="26" t="n"/>
      <c r="BF108" s="26" t="n"/>
      <c r="BG108" s="26" t="n"/>
      <c r="BH108" s="26" t="n"/>
      <c r="BI108" s="26" t="n"/>
      <c r="BJ108" s="26" t="n"/>
      <c r="BK108" s="26" t="n"/>
      <c r="BL108" s="23" t="inlineStr">
        <is>
          <t>Goodman Group | CapitaLand Integrated Commercial Trust | Alphabet Incorporated - Class A | Taiwan Semiconductor Manufacturing Company Limited | CapitaLand Ascendas REIT</t>
        </is>
      </c>
      <c r="BM108" s="26" t="n">
        <v>9.1</v>
      </c>
      <c r="BN108" s="22" t="inlineStr">
        <is>
          <t>Moderate</t>
        </is>
      </c>
      <c r="BO108" s="23" t="inlineStr">
        <is>
          <t>Equity Sector Real Estate Asia</t>
        </is>
      </c>
      <c r="BP108" s="23" t="inlineStr">
        <is>
          <t>ThebenchmarkforPeAPREITFisacompositeof70%S&amp;PPanAsiaREITIndex, 20% customised index by S&amp;P Dow Jones Indices, LLC based on the top 30 constituentsoftheS&amp;PBMIAsiaEx-JapanIndexand10%3-MonthKualaLumpur Interbank Offered Rate (KLIBOR). Underlying indexdata are sourced from S&amp;P Dow Jones Indices, LLC and Bank Negara Malaysia and expressed in Ringgit terms.</t>
        </is>
      </c>
      <c r="BQ108" s="28" t="n">
        <v>0.3126</v>
      </c>
      <c r="BR108" s="22" t="inlineStr">
        <is>
          <t>2021-02-16</t>
        </is>
      </c>
      <c r="BS108" s="28" t="n">
        <v>0.2665</v>
      </c>
      <c r="BT108" s="27" t="n">
        <v>-14.75</v>
      </c>
      <c r="BU108" s="24" t="n">
        <v>1945</v>
      </c>
    </row>
    <row r="109" ht="16" customHeight="1">
      <c r="A109" s="29" t="inlineStr">
        <is>
          <t>PUBLIC ENHANCED BOND FUND</t>
        </is>
      </c>
      <c r="B109" s="29" t="inlineStr">
        <is>
          <t>PEBF</t>
        </is>
      </c>
      <c r="C109" s="29" t="inlineStr">
        <is>
          <t>Conventional</t>
        </is>
      </c>
      <c r="D109" s="29" t="inlineStr">
        <is>
          <t>Fixed Income</t>
        </is>
      </c>
      <c r="E109" s="30" t="inlineStr">
        <is>
          <t>Capital Growth + Income</t>
        </is>
      </c>
      <c r="F109" s="31" t="n">
        <v>2</v>
      </c>
      <c r="G109" s="30" t="inlineStr">
        <is>
          <t>Annual</t>
        </is>
      </c>
      <c r="H109" s="32" t="n">
        <v>891.72</v>
      </c>
      <c r="I109" s="29" t="inlineStr">
        <is>
          <t>19.01.2005</t>
        </is>
      </c>
      <c r="J109" s="29" t="inlineStr">
        <is>
          <t>Qualified</t>
        </is>
      </c>
      <c r="K109" s="33" t="n">
        <v>80</v>
      </c>
      <c r="L109" s="29" t="inlineStr">
        <is>
          <t>4/5</t>
        </is>
      </c>
      <c r="M109" s="30" t="inlineStr">
        <is>
          <t>Qualified (WA: +3.20%) — YTD✘ 1Y✔ 3Y✔ 5Y✔ 10Y✔</t>
        </is>
      </c>
      <c r="N109" s="34" t="n">
        <v>3.2</v>
      </c>
      <c r="O109" s="34" t="n">
        <v>-0.89</v>
      </c>
      <c r="P109" s="34" t="n">
        <v>0.67</v>
      </c>
      <c r="Q109" s="34" t="n">
        <v>-1.56</v>
      </c>
      <c r="R109" s="34" t="n">
        <v>5.12</v>
      </c>
      <c r="S109" s="34" t="n">
        <v>2.15</v>
      </c>
      <c r="T109" s="34" t="n">
        <v>2.97</v>
      </c>
      <c r="U109" s="34" t="n">
        <v>7.38</v>
      </c>
      <c r="V109" s="34" t="n">
        <v>2.5</v>
      </c>
      <c r="W109" s="34" t="n">
        <v>4.88</v>
      </c>
      <c r="X109" s="34" t="n">
        <v>4.68</v>
      </c>
      <c r="Y109" s="34" t="n">
        <v>2.38</v>
      </c>
      <c r="Z109" s="34" t="n">
        <v>2.3</v>
      </c>
      <c r="AA109" s="34" t="n">
        <v>4.68</v>
      </c>
      <c r="AB109" s="34" t="n">
        <v>2.65</v>
      </c>
      <c r="AC109" s="34" t="n">
        <v>2.03</v>
      </c>
      <c r="AD109" s="34">
        <f>IF(OR(Q109="",BM109="",BM109=0),"",Q109/BM109)</f>
        <v/>
      </c>
      <c r="AE109" s="34">
        <f>IF(OR(T109="",BM109="",BM109=0),"",T109/BM109)</f>
        <v/>
      </c>
      <c r="AF109" s="34">
        <f>IF(OR(W109="",BM109="",BM109=0),"",W109/BM109)</f>
        <v/>
      </c>
      <c r="AG109" s="34">
        <f>IF(OR(Z109="",BM109="",BM109=0),"",Z109/BM109)</f>
        <v/>
      </c>
      <c r="AH109" s="34">
        <f>IF(OR(AC109="",BM109="",BM109=0),"",AC109/BM109)</f>
        <v/>
      </c>
      <c r="AI109" s="33" t="n">
        <v>2.4</v>
      </c>
      <c r="AJ109" s="33" t="n">
        <v>15.4</v>
      </c>
      <c r="AK109" s="33" t="n">
        <v>69.40000000000001</v>
      </c>
      <c r="AL109" s="33" t="n">
        <v>12.8</v>
      </c>
      <c r="AM109" s="33" t="n"/>
      <c r="AN109" s="33" t="n"/>
      <c r="AO109" s="33" t="n"/>
      <c r="AP109" s="33" t="n"/>
      <c r="AQ109" s="33" t="n"/>
      <c r="AR109" s="33" t="n"/>
      <c r="AS109" s="33" t="n"/>
      <c r="AT109" s="33" t="n"/>
      <c r="AU109" s="33" t="n"/>
      <c r="AV109" s="33" t="n"/>
      <c r="AW109" s="33" t="n"/>
      <c r="AX109" s="33" t="n"/>
      <c r="AY109" s="33" t="n"/>
      <c r="AZ109" s="33" t="n"/>
      <c r="BA109" s="33" t="n"/>
      <c r="BB109" s="33" t="n"/>
      <c r="BC109" s="33" t="n"/>
      <c r="BD109" s="33" t="n"/>
      <c r="BE109" s="33" t="n"/>
      <c r="BF109" s="33" t="n"/>
      <c r="BG109" s="33" t="n"/>
      <c r="BH109" s="33" t="n"/>
      <c r="BI109" s="33" t="n"/>
      <c r="BJ109" s="33" t="n"/>
      <c r="BK109" s="33" t="n"/>
      <c r="BL109" s="30" t="inlineStr">
        <is>
          <t>Government Investment Issue - 4.291% / 2043* | CIMB Islamic Bank Berhad - 4.07% / 2035* | Projek Lebuhraya Usahasama Berhad - 5.00% / 2038* | Danum Capital Berhad - 3.72% / 2040* | Pengurusan Air SPV Berhad - 4.06% / 2039*</t>
        </is>
      </c>
      <c r="BM109" s="33" t="n">
        <v>3.8</v>
      </c>
      <c r="BN109" s="29" t="inlineStr">
        <is>
          <t>Very Low</t>
        </is>
      </c>
      <c r="BO109" s="30" t="inlineStr">
        <is>
          <t>Mixed Asset MYR</t>
        </is>
      </c>
      <c r="BP109" s="30" t="n"/>
      <c r="BQ109" s="35" t="n">
        <v>1.1848</v>
      </c>
      <c r="BR109" s="29" t="inlineStr">
        <is>
          <t>2025-10-06</t>
        </is>
      </c>
      <c r="BS109" s="35" t="n">
        <v>1.0922</v>
      </c>
      <c r="BT109" s="34" t="n">
        <v>-7.82</v>
      </c>
      <c r="BU109" s="31" t="n">
        <v>252</v>
      </c>
    </row>
    <row r="110" ht="16" customHeight="1">
      <c r="A110" s="36" t="inlineStr">
        <is>
          <t>PUBLIC ISLAMIC ENHANCED BOND FUND</t>
        </is>
      </c>
      <c r="B110" s="36" t="inlineStr">
        <is>
          <t>PIEBF</t>
        </is>
      </c>
      <c r="C110" s="36" t="inlineStr">
        <is>
          <t>Shariah</t>
        </is>
      </c>
      <c r="D110" s="36" t="inlineStr">
        <is>
          <t>Fixed Income</t>
        </is>
      </c>
      <c r="E110" s="23" t="inlineStr">
        <is>
          <t>Capital Growth + Income</t>
        </is>
      </c>
      <c r="F110" s="24" t="n">
        <v>2</v>
      </c>
      <c r="G110" s="23" t="inlineStr">
        <is>
          <t>Annual</t>
        </is>
      </c>
      <c r="H110" s="25" t="n">
        <v>633.27</v>
      </c>
      <c r="I110" s="22" t="inlineStr">
        <is>
          <t>28.11.2006</t>
        </is>
      </c>
      <c r="J110" s="22" t="inlineStr">
        <is>
          <t>Qualified</t>
        </is>
      </c>
      <c r="K110" s="26" t="n">
        <v>100</v>
      </c>
      <c r="L110" s="22" t="inlineStr">
        <is>
          <t>5/5</t>
        </is>
      </c>
      <c r="M110" s="23" t="inlineStr">
        <is>
          <t>Qualified (WA: +3.19%) — YTD✔ 1Y✔ 3Y✔ 5Y✔ 10Y✔</t>
        </is>
      </c>
      <c r="N110" s="27" t="n">
        <v>3.19</v>
      </c>
      <c r="O110" s="27" t="n">
        <v>3.21</v>
      </c>
      <c r="P110" s="27" t="n">
        <v>0.66</v>
      </c>
      <c r="Q110" s="27" t="n">
        <v>2.55</v>
      </c>
      <c r="R110" s="27" t="n">
        <v>8.09</v>
      </c>
      <c r="S110" s="27" t="n">
        <v>2.27</v>
      </c>
      <c r="T110" s="27" t="n">
        <v>5.82</v>
      </c>
      <c r="U110" s="27" t="n">
        <v>7.05</v>
      </c>
      <c r="V110" s="27" t="n">
        <v>3.07</v>
      </c>
      <c r="W110" s="27" t="n">
        <v>3.98</v>
      </c>
      <c r="X110" s="27" t="n">
        <v>4.51</v>
      </c>
      <c r="Y110" s="27" t="n">
        <v>2.89</v>
      </c>
      <c r="Z110" s="27" t="n">
        <v>1.62</v>
      </c>
      <c r="AA110" s="27" t="n">
        <v>4.32</v>
      </c>
      <c r="AB110" s="27" t="n">
        <v>3.03</v>
      </c>
      <c r="AC110" s="27" t="n">
        <v>1.29</v>
      </c>
      <c r="AD110" s="27">
        <f>IF(OR(Q110="",BM110="",BM110=0),"",Q110/BM110)</f>
        <v/>
      </c>
      <c r="AE110" s="27">
        <f>IF(OR(T110="",BM110="",BM110=0),"",T110/BM110)</f>
        <v/>
      </c>
      <c r="AF110" s="27">
        <f>IF(OR(W110="",BM110="",BM110=0),"",W110/BM110)</f>
        <v/>
      </c>
      <c r="AG110" s="27">
        <f>IF(OR(Z110="",BM110="",BM110=0),"",Z110/BM110)</f>
        <v/>
      </c>
      <c r="AH110" s="27">
        <f>IF(OR(AC110="",BM110="",BM110=0),"",AC110/BM110)</f>
        <v/>
      </c>
      <c r="AI110" s="26" t="n"/>
      <c r="AJ110" s="26" t="n">
        <v>13.6</v>
      </c>
      <c r="AK110" s="26" t="n">
        <v>67.8</v>
      </c>
      <c r="AL110" s="26" t="n">
        <v>18.6</v>
      </c>
      <c r="AM110" s="26" t="n"/>
      <c r="AN110" s="26" t="n"/>
      <c r="AO110" s="26" t="n"/>
      <c r="AP110" s="26" t="n"/>
      <c r="AQ110" s="26" t="n"/>
      <c r="AR110" s="26" t="n"/>
      <c r="AS110" s="26" t="n"/>
      <c r="AT110" s="26" t="n"/>
      <c r="AU110" s="26" t="n"/>
      <c r="AV110" s="26" t="n"/>
      <c r="AW110" s="26" t="n"/>
      <c r="AX110" s="26" t="n"/>
      <c r="AY110" s="26" t="n"/>
      <c r="AZ110" s="26" t="n"/>
      <c r="BA110" s="26" t="n"/>
      <c r="BB110" s="26" t="n"/>
      <c r="BC110" s="26" t="n"/>
      <c r="BD110" s="26" t="n"/>
      <c r="BE110" s="26" t="n"/>
      <c r="BF110" s="26" t="n"/>
      <c r="BG110" s="26" t="n"/>
      <c r="BH110" s="26" t="n"/>
      <c r="BI110" s="26" t="n"/>
      <c r="BJ110" s="26" t="n"/>
      <c r="BK110" s="26" t="n"/>
      <c r="BL110" s="23" t="inlineStr">
        <is>
          <t>CIMB Islamic Bank Berhad - 4.07% / 2035* | Pengurusan Air SPV Berhad - 4.06% / 2039* | Government Investment Issue - 4.291% / 2043* | Government Investment Issue - 4.724% / 2033* | Projek Lebuhraya Usahasama Berhad - 5.00% / 2038*</t>
        </is>
      </c>
      <c r="BM110" s="26" t="n">
        <v>4.7</v>
      </c>
      <c r="BN110" s="22" t="inlineStr">
        <is>
          <t>Low</t>
        </is>
      </c>
      <c r="BO110" s="23" t="inlineStr">
        <is>
          <t>Mixed Asset MYR</t>
        </is>
      </c>
      <c r="BP110" s="23" t="inlineStr">
        <is>
          <t>12-Month General Investment Account (GIA) rate (prior to 1 July 2025). Public Islamic Bank 12-Month Term Deposit-i (w.e.f. 1 July 2025).</t>
        </is>
      </c>
      <c r="BQ110" s="28" t="n">
        <v>1.2617</v>
      </c>
      <c r="BR110" s="22" t="inlineStr">
        <is>
          <t>2024-12-24</t>
        </is>
      </c>
      <c r="BS110" s="28" t="n">
        <v>1.19</v>
      </c>
      <c r="BT110" s="27" t="n">
        <v>-5.68</v>
      </c>
      <c r="BU110" s="24" t="n">
        <v>538</v>
      </c>
    </row>
    <row r="111" ht="16" customHeight="1">
      <c r="A111" s="29" t="inlineStr">
        <is>
          <t>PB INFRASTRUCTURE BOND FUND</t>
        </is>
      </c>
      <c r="B111" s="29" t="inlineStr">
        <is>
          <t>PBINFBF</t>
        </is>
      </c>
      <c r="C111" s="29" t="inlineStr">
        <is>
          <t>Conventional</t>
        </is>
      </c>
      <c r="D111" s="29" t="inlineStr">
        <is>
          <t>Fixed Income</t>
        </is>
      </c>
      <c r="E111" s="30" t="inlineStr">
        <is>
          <t>Income</t>
        </is>
      </c>
      <c r="F111" s="31" t="n">
        <v>2</v>
      </c>
      <c r="G111" s="30" t="inlineStr">
        <is>
          <t>Annual</t>
        </is>
      </c>
      <c r="H111" s="32" t="n">
        <v>405.76</v>
      </c>
      <c r="I111" s="29" t="inlineStr">
        <is>
          <t>11.05.2010</t>
        </is>
      </c>
      <c r="J111" s="29" t="inlineStr">
        <is>
          <t>Qualified</t>
        </is>
      </c>
      <c r="K111" s="33" t="n">
        <v>80</v>
      </c>
      <c r="L111" s="29" t="inlineStr">
        <is>
          <t>4/5</t>
        </is>
      </c>
      <c r="M111" s="30" t="inlineStr">
        <is>
          <t>Qualified (WA: +1.76%) — YTD✘ 1Y✔ 3Y✔ 5Y✔ 10Y✔</t>
        </is>
      </c>
      <c r="N111" s="34" t="n">
        <v>1.76</v>
      </c>
      <c r="O111" s="34" t="n">
        <v>0.35</v>
      </c>
      <c r="P111" s="34" t="n">
        <v>0.66</v>
      </c>
      <c r="Q111" s="34" t="n">
        <v>-0.31</v>
      </c>
      <c r="R111" s="34" t="n">
        <v>3.16</v>
      </c>
      <c r="S111" s="34" t="n">
        <v>2.12</v>
      </c>
      <c r="T111" s="34" t="n">
        <v>1.04</v>
      </c>
      <c r="U111" s="34" t="n">
        <v>4.94</v>
      </c>
      <c r="V111" s="34" t="n">
        <v>2.46</v>
      </c>
      <c r="W111" s="34" t="n">
        <v>2.48</v>
      </c>
      <c r="X111" s="34" t="n">
        <v>3.94</v>
      </c>
      <c r="Y111" s="34" t="n">
        <v>2.35</v>
      </c>
      <c r="Z111" s="34" t="n">
        <v>1.59</v>
      </c>
      <c r="AA111" s="34" t="n">
        <v>4.17</v>
      </c>
      <c r="AB111" s="34" t="n">
        <v>2.63</v>
      </c>
      <c r="AC111" s="34" t="n">
        <v>1.54</v>
      </c>
      <c r="AD111" s="34">
        <f>IF(OR(Q111="",BM111="",BM111=0),"",Q111/BM111)</f>
        <v/>
      </c>
      <c r="AE111" s="34">
        <f>IF(OR(T111="",BM111="",BM111=0),"",T111/BM111)</f>
        <v/>
      </c>
      <c r="AF111" s="34">
        <f>IF(OR(W111="",BM111="",BM111=0),"",W111/BM111)</f>
        <v/>
      </c>
      <c r="AG111" s="34">
        <f>IF(OR(Z111="",BM111="",BM111=0),"",Z111/BM111)</f>
        <v/>
      </c>
      <c r="AH111" s="34">
        <f>IF(OR(AC111="",BM111="",BM111=0),"",AC111/BM111)</f>
        <v/>
      </c>
      <c r="AI111" s="33" t="n"/>
      <c r="AJ111" s="33" t="n"/>
      <c r="AK111" s="33" t="n">
        <v>71.09999999999999</v>
      </c>
      <c r="AL111" s="33" t="n">
        <v>28.9</v>
      </c>
      <c r="AM111" s="33" t="n"/>
      <c r="AN111" s="33" t="n"/>
      <c r="AO111" s="33" t="n"/>
      <c r="AP111" s="33" t="n"/>
      <c r="AQ111" s="33" t="n"/>
      <c r="AR111" s="33" t="n"/>
      <c r="AS111" s="33" t="n"/>
      <c r="AT111" s="33" t="n"/>
      <c r="AU111" s="33" t="n"/>
      <c r="AV111" s="33" t="n"/>
      <c r="AW111" s="33" t="n"/>
      <c r="AX111" s="33" t="n"/>
      <c r="AY111" s="33" t="n"/>
      <c r="AZ111" s="33" t="n"/>
      <c r="BA111" s="33" t="n"/>
      <c r="BB111" s="33" t="n"/>
      <c r="BC111" s="33" t="n"/>
      <c r="BD111" s="33" t="n"/>
      <c r="BE111" s="33" t="n"/>
      <c r="BF111" s="33" t="n"/>
      <c r="BG111" s="33" t="n"/>
      <c r="BH111" s="33" t="n"/>
      <c r="BI111" s="33" t="n"/>
      <c r="BJ111" s="33" t="n"/>
      <c r="BK111" s="33" t="n"/>
      <c r="BL111" s="30" t="inlineStr">
        <is>
          <t>Sarawak Energy Berhad - 3.88% / 2040* | Pengurusan Air Selangor Sdn Bhd - 4.26% / 2049* | YTL Power International Berhad - 4.74% / 2038* | TNB Power Generation Sdn Bhd - 4.84% / 2043* | Manjung Island Energy Berhad - 4.90% / 2031*</t>
        </is>
      </c>
      <c r="BM111" s="33" t="n">
        <v>1.8</v>
      </c>
      <c r="BN111" s="29" t="inlineStr">
        <is>
          <t>Very Low</t>
        </is>
      </c>
      <c r="BO111" s="30" t="inlineStr">
        <is>
          <t>Bond MYR</t>
        </is>
      </c>
      <c r="BP111" s="30" t="n"/>
      <c r="BQ111" s="35" t="n">
        <v>1.1814</v>
      </c>
      <c r="BR111" s="29" t="inlineStr">
        <is>
          <t>2025-06-30</t>
        </is>
      </c>
      <c r="BS111" s="35" t="n">
        <v>1.1477</v>
      </c>
      <c r="BT111" s="34" t="n">
        <v>-2.85</v>
      </c>
      <c r="BU111" s="31" t="n">
        <v>350</v>
      </c>
    </row>
    <row r="112" ht="16" customHeight="1">
      <c r="A112" s="22" t="inlineStr">
        <is>
          <t>PB AIMAN SUKUK FUND</t>
        </is>
      </c>
      <c r="B112" s="22" t="inlineStr">
        <is>
          <t>PBASF</t>
        </is>
      </c>
      <c r="C112" s="22" t="inlineStr">
        <is>
          <t>Conventional</t>
        </is>
      </c>
      <c r="D112" s="22" t="inlineStr">
        <is>
          <t>Fixed Income</t>
        </is>
      </c>
      <c r="E112" s="23" t="inlineStr">
        <is>
          <t>Income</t>
        </is>
      </c>
      <c r="F112" s="24" t="n">
        <v>2</v>
      </c>
      <c r="G112" s="23" t="inlineStr">
        <is>
          <t>Annual</t>
        </is>
      </c>
      <c r="H112" s="25" t="n">
        <v>794.58</v>
      </c>
      <c r="I112" s="22" t="inlineStr">
        <is>
          <t>10.09.2013</t>
        </is>
      </c>
      <c r="J112" s="22" t="inlineStr">
        <is>
          <t>Qualified</t>
        </is>
      </c>
      <c r="K112" s="26" t="n">
        <v>80</v>
      </c>
      <c r="L112" s="22" t="inlineStr">
        <is>
          <t>4/5</t>
        </is>
      </c>
      <c r="M112" s="23" t="inlineStr">
        <is>
          <t>Qualified (WA: +1.58%) — YTD✘ 1Y✔ 3Y✔ 5Y✔ 10Y✔</t>
        </is>
      </c>
      <c r="N112" s="27" t="n">
        <v>1.58</v>
      </c>
      <c r="O112" s="27" t="n">
        <v>0.34</v>
      </c>
      <c r="P112" s="27" t="n">
        <v>0.66</v>
      </c>
      <c r="Q112" s="27" t="n">
        <v>-0.32</v>
      </c>
      <c r="R112" s="27" t="n">
        <v>3.23</v>
      </c>
      <c r="S112" s="27" t="n">
        <v>2.27</v>
      </c>
      <c r="T112" s="27" t="n">
        <v>0.96</v>
      </c>
      <c r="U112" s="27" t="n">
        <v>5.12</v>
      </c>
      <c r="V112" s="27" t="n">
        <v>3.07</v>
      </c>
      <c r="W112" s="27" t="n">
        <v>2.05</v>
      </c>
      <c r="X112" s="27" t="n">
        <v>4.35</v>
      </c>
      <c r="Y112" s="27" t="n">
        <v>2.89</v>
      </c>
      <c r="Z112" s="27" t="n">
        <v>1.46</v>
      </c>
      <c r="AA112" s="27" t="n">
        <v>4.82</v>
      </c>
      <c r="AB112" s="27" t="n">
        <v>3.03</v>
      </c>
      <c r="AC112" s="27" t="n">
        <v>1.79</v>
      </c>
      <c r="AD112" s="27">
        <f>IF(OR(Q112="",BM112="",BM112=0),"",Q112/BM112)</f>
        <v/>
      </c>
      <c r="AE112" s="27">
        <f>IF(OR(T112="",BM112="",BM112=0),"",T112/BM112)</f>
        <v/>
      </c>
      <c r="AF112" s="27">
        <f>IF(OR(W112="",BM112="",BM112=0),"",W112/BM112)</f>
        <v/>
      </c>
      <c r="AG112" s="27">
        <f>IF(OR(Z112="",BM112="",BM112=0),"",Z112/BM112)</f>
        <v/>
      </c>
      <c r="AH112" s="27">
        <f>IF(OR(AC112="",BM112="",BM112=0),"",AC112/BM112)</f>
        <v/>
      </c>
      <c r="AI112" s="26" t="n"/>
      <c r="AJ112" s="26" t="n"/>
      <c r="AK112" s="26" t="n">
        <v>80</v>
      </c>
      <c r="AL112" s="26" t="n">
        <v>20</v>
      </c>
      <c r="AM112" s="26" t="n"/>
      <c r="AN112" s="26" t="n"/>
      <c r="AO112" s="26" t="n"/>
      <c r="AP112" s="26" t="n"/>
      <c r="AQ112" s="26" t="n"/>
      <c r="AR112" s="26" t="n"/>
      <c r="AS112" s="26" t="n"/>
      <c r="AT112" s="26" t="n"/>
      <c r="AU112" s="26" t="n"/>
      <c r="AV112" s="26" t="n"/>
      <c r="AW112" s="26" t="n"/>
      <c r="AX112" s="26" t="n"/>
      <c r="AY112" s="26" t="n"/>
      <c r="AZ112" s="26" t="n"/>
      <c r="BA112" s="26" t="n"/>
      <c r="BB112" s="26" t="n"/>
      <c r="BC112" s="26" t="n"/>
      <c r="BD112" s="26" t="n"/>
      <c r="BE112" s="26" t="n"/>
      <c r="BF112" s="26" t="n"/>
      <c r="BG112" s="26" t="n"/>
      <c r="BH112" s="26" t="n"/>
      <c r="BI112" s="26" t="n"/>
      <c r="BJ112" s="26" t="n"/>
      <c r="BK112" s="26" t="n"/>
      <c r="BL112" s="23" t="inlineStr">
        <is>
          <t>Government Investment Issue - 3.775% / 2045* | Sarawak Energy Berhad - 3.88% / 2040* | S P Setia Berhad - 4.00% / 2036* | Government Investment Issue - 4.291% / 2043* | IJM Treasury Management Sdn Bhd - 20/05/2026**</t>
        </is>
      </c>
      <c r="BM112" s="26" t="n">
        <v>1.6</v>
      </c>
      <c r="BN112" s="22" t="inlineStr">
        <is>
          <t>Very Low</t>
        </is>
      </c>
      <c r="BO112" s="23" t="inlineStr">
        <is>
          <t>Bond Sukuk Malaysia</t>
        </is>
      </c>
      <c r="BP112" s="23" t="inlineStr">
        <is>
          <t>12-Month General Investment Account (GIA) rate (prior to 1 July 2025). Public Islamic Bank 12-Month Term Deposit-i (w.e.f. 1 July 2025).</t>
        </is>
      </c>
      <c r="BQ112" s="28" t="n">
        <v>1.1679</v>
      </c>
      <c r="BR112" s="22" t="inlineStr">
        <is>
          <t>2020-08-06</t>
        </is>
      </c>
      <c r="BS112" s="28" t="n">
        <v>1.1071</v>
      </c>
      <c r="BT112" s="27" t="n">
        <v>-5.21</v>
      </c>
      <c r="BU112" s="24" t="n">
        <v>2139</v>
      </c>
    </row>
    <row r="113" ht="16" customHeight="1">
      <c r="A113" s="29" t="inlineStr">
        <is>
          <t>PUBLIC ENTERPRISES BOND FUND</t>
        </is>
      </c>
      <c r="B113" s="29" t="inlineStr">
        <is>
          <t>PENTBF</t>
        </is>
      </c>
      <c r="C113" s="29" t="inlineStr">
        <is>
          <t>Conventional</t>
        </is>
      </c>
      <c r="D113" s="29" t="inlineStr">
        <is>
          <t>Fixed Income</t>
        </is>
      </c>
      <c r="E113" s="30" t="inlineStr">
        <is>
          <t>Income</t>
        </is>
      </c>
      <c r="F113" s="31" t="n">
        <v>2</v>
      </c>
      <c r="G113" s="30" t="inlineStr">
        <is>
          <t>Annual</t>
        </is>
      </c>
      <c r="H113" s="32" t="n">
        <v>1297.84</v>
      </c>
      <c r="I113" s="29" t="inlineStr">
        <is>
          <t>20.03.2012</t>
        </is>
      </c>
      <c r="J113" s="29" t="inlineStr">
        <is>
          <t>Qualified</t>
        </is>
      </c>
      <c r="K113" s="33" t="n">
        <v>80</v>
      </c>
      <c r="L113" s="29" t="inlineStr">
        <is>
          <t>4/5</t>
        </is>
      </c>
      <c r="M113" s="30" t="inlineStr">
        <is>
          <t>Qualified (WA: +1.52%) — YTD✘ 1Y✔ 3Y✔ 5Y✔ 10Y✔</t>
        </is>
      </c>
      <c r="N113" s="34" t="n">
        <v>1.52</v>
      </c>
      <c r="O113" s="34" t="n">
        <v>0.45</v>
      </c>
      <c r="P113" s="34" t="n">
        <v>0.66</v>
      </c>
      <c r="Q113" s="34" t="n">
        <v>-0.21</v>
      </c>
      <c r="R113" s="34" t="n">
        <v>2.96</v>
      </c>
      <c r="S113" s="34" t="n">
        <v>2.12</v>
      </c>
      <c r="T113" s="34" t="n">
        <v>0.84</v>
      </c>
      <c r="U113" s="34" t="n">
        <v>4.43</v>
      </c>
      <c r="V113" s="34" t="n">
        <v>2.46</v>
      </c>
      <c r="W113" s="34" t="n">
        <v>1.97</v>
      </c>
      <c r="X113" s="34" t="n">
        <v>3.77</v>
      </c>
      <c r="Y113" s="34" t="n">
        <v>2.35</v>
      </c>
      <c r="Z113" s="34" t="n">
        <v>1.42</v>
      </c>
      <c r="AA113" s="34" t="n">
        <v>4.38</v>
      </c>
      <c r="AB113" s="34" t="n">
        <v>2.63</v>
      </c>
      <c r="AC113" s="34" t="n">
        <v>1.75</v>
      </c>
      <c r="AD113" s="34">
        <f>IF(OR(Q113="",BM113="",BM113=0),"",Q113/BM113)</f>
        <v/>
      </c>
      <c r="AE113" s="34">
        <f>IF(OR(T113="",BM113="",BM113=0),"",T113/BM113)</f>
        <v/>
      </c>
      <c r="AF113" s="34">
        <f>IF(OR(W113="",BM113="",BM113=0),"",W113/BM113)</f>
        <v/>
      </c>
      <c r="AG113" s="34">
        <f>IF(OR(Z113="",BM113="",BM113=0),"",Z113/BM113)</f>
        <v/>
      </c>
      <c r="AH113" s="34">
        <f>IF(OR(AC113="",BM113="",BM113=0),"",AC113/BM113)</f>
        <v/>
      </c>
      <c r="AI113" s="33" t="n"/>
      <c r="AJ113" s="33" t="n"/>
      <c r="AK113" s="33" t="n">
        <v>82.7</v>
      </c>
      <c r="AL113" s="33" t="n">
        <v>17.3</v>
      </c>
      <c r="AM113" s="33" t="n"/>
      <c r="AN113" s="33" t="n"/>
      <c r="AO113" s="33" t="n"/>
      <c r="AP113" s="33" t="n"/>
      <c r="AQ113" s="33" t="n"/>
      <c r="AR113" s="33" t="n"/>
      <c r="AS113" s="33" t="n"/>
      <c r="AT113" s="33" t="n"/>
      <c r="AU113" s="33" t="n"/>
      <c r="AV113" s="33" t="n"/>
      <c r="AW113" s="33" t="n"/>
      <c r="AX113" s="33" t="n"/>
      <c r="AY113" s="33" t="n"/>
      <c r="AZ113" s="33" t="n"/>
      <c r="BA113" s="33" t="n"/>
      <c r="BB113" s="33" t="n"/>
      <c r="BC113" s="33" t="n"/>
      <c r="BD113" s="33" t="n"/>
      <c r="BE113" s="33" t="n"/>
      <c r="BF113" s="33" t="n"/>
      <c r="BG113" s="33" t="n"/>
      <c r="BH113" s="33" t="n"/>
      <c r="BI113" s="33" t="n"/>
      <c r="BJ113" s="33" t="n"/>
      <c r="BK113" s="33" t="n"/>
      <c r="BL113" s="30" t="inlineStr">
        <is>
          <t>CIMB Islamic Bank Berhad - 4.07% / 2035** | Tenaga Nasional Berhad - 4.98% / 2038** | Bank Islam Malaysia Berhad - 3.85% / 2032** | Public Bank Berhad - 3.73% / 2032* | Petroleum Sarawak E&amp;P Sdn Bhd - 3.70% / 2035**</t>
        </is>
      </c>
      <c r="BM113" s="33" t="n">
        <v>1.3</v>
      </c>
      <c r="BN113" s="29" t="inlineStr">
        <is>
          <t>Very Low</t>
        </is>
      </c>
      <c r="BO113" s="30" t="inlineStr">
        <is>
          <t>Bond MYR</t>
        </is>
      </c>
      <c r="BP113" s="30" t="n"/>
      <c r="BQ113" s="35" t="n">
        <v>1.1489</v>
      </c>
      <c r="BR113" s="29" t="inlineStr">
        <is>
          <t>2020-08-25</t>
        </is>
      </c>
      <c r="BS113" s="35" t="n">
        <v>1.0939</v>
      </c>
      <c r="BT113" s="34" t="n">
        <v>-4.79</v>
      </c>
      <c r="BU113" s="31" t="n">
        <v>2120</v>
      </c>
    </row>
    <row r="114" ht="16" customHeight="1">
      <c r="A114" s="22" t="inlineStr">
        <is>
          <t>PB BOND FUND</t>
        </is>
      </c>
      <c r="B114" s="22" t="inlineStr">
        <is>
          <t>PBBOND</t>
        </is>
      </c>
      <c r="C114" s="22" t="inlineStr">
        <is>
          <t>Conventional</t>
        </is>
      </c>
      <c r="D114" s="22" t="inlineStr">
        <is>
          <t>Fixed Income</t>
        </is>
      </c>
      <c r="E114" s="23" t="inlineStr">
        <is>
          <t>Income</t>
        </is>
      </c>
      <c r="F114" s="24" t="n">
        <v>2</v>
      </c>
      <c r="G114" s="23" t="inlineStr">
        <is>
          <t>Annual</t>
        </is>
      </c>
      <c r="H114" s="25" t="n">
        <v>240.03</v>
      </c>
      <c r="I114" s="22" t="inlineStr">
        <is>
          <t>06.09.2011</t>
        </is>
      </c>
      <c r="J114" s="22" t="inlineStr">
        <is>
          <t>Qualified</t>
        </is>
      </c>
      <c r="K114" s="26" t="n">
        <v>80</v>
      </c>
      <c r="L114" s="22" t="inlineStr">
        <is>
          <t>4/5</t>
        </is>
      </c>
      <c r="M114" s="23" t="inlineStr">
        <is>
          <t>Qualified (WA: +1.51%) — YTD✘ 1Y✔ 3Y✔ 5Y✔ 10Y✔</t>
        </is>
      </c>
      <c r="N114" s="27" t="n">
        <v>1.51</v>
      </c>
      <c r="O114" s="27" t="n">
        <v>0.33</v>
      </c>
      <c r="P114" s="27" t="n">
        <v>0.66</v>
      </c>
      <c r="Q114" s="27" t="n">
        <v>-0.33</v>
      </c>
      <c r="R114" s="27" t="n">
        <v>2.98</v>
      </c>
      <c r="S114" s="27" t="n">
        <v>2.12</v>
      </c>
      <c r="T114" s="27" t="n">
        <v>0.86</v>
      </c>
      <c r="U114" s="27" t="n">
        <v>4.48</v>
      </c>
      <c r="V114" s="27" t="n">
        <v>2.46</v>
      </c>
      <c r="W114" s="27" t="n">
        <v>2.02</v>
      </c>
      <c r="X114" s="27" t="n">
        <v>3.8</v>
      </c>
      <c r="Y114" s="27" t="n">
        <v>2.35</v>
      </c>
      <c r="Z114" s="27" t="n">
        <v>1.45</v>
      </c>
      <c r="AA114" s="27" t="n">
        <v>4.12</v>
      </c>
      <c r="AB114" s="27" t="n">
        <v>2.63</v>
      </c>
      <c r="AC114" s="27" t="n">
        <v>1.49</v>
      </c>
      <c r="AD114" s="27">
        <f>IF(OR(Q114="",BM114="",BM114=0),"",Q114/BM114)</f>
        <v/>
      </c>
      <c r="AE114" s="27">
        <f>IF(OR(T114="",BM114="",BM114=0),"",T114/BM114)</f>
        <v/>
      </c>
      <c r="AF114" s="27">
        <f>IF(OR(W114="",BM114="",BM114=0),"",W114/BM114)</f>
        <v/>
      </c>
      <c r="AG114" s="27">
        <f>IF(OR(Z114="",BM114="",BM114=0),"",Z114/BM114)</f>
        <v/>
      </c>
      <c r="AH114" s="27">
        <f>IF(OR(AC114="",BM114="",BM114=0),"",AC114/BM114)</f>
        <v/>
      </c>
      <c r="AI114" s="26" t="n"/>
      <c r="AJ114" s="26" t="n"/>
      <c r="AK114" s="26" t="n">
        <v>85.59999999999999</v>
      </c>
      <c r="AL114" s="26" t="n">
        <v>14.4</v>
      </c>
      <c r="AM114" s="26" t="n"/>
      <c r="AN114" s="26" t="n"/>
      <c r="AO114" s="26" t="n"/>
      <c r="AP114" s="26" t="n"/>
      <c r="AQ114" s="26" t="n"/>
      <c r="AR114" s="26" t="n"/>
      <c r="AS114" s="26" t="n"/>
      <c r="AT114" s="26" t="n"/>
      <c r="AU114" s="26" t="n"/>
      <c r="AV114" s="26" t="n"/>
      <c r="AW114" s="26" t="n"/>
      <c r="AX114" s="26" t="n"/>
      <c r="AY114" s="26" t="n"/>
      <c r="AZ114" s="26" t="n"/>
      <c r="BA114" s="26" t="n"/>
      <c r="BB114" s="26" t="n"/>
      <c r="BC114" s="26" t="n"/>
      <c r="BD114" s="26" t="n"/>
      <c r="BE114" s="26" t="n"/>
      <c r="BF114" s="26" t="n"/>
      <c r="BG114" s="26" t="n"/>
      <c r="BH114" s="26" t="n"/>
      <c r="BI114" s="26" t="n"/>
      <c r="BJ114" s="26" t="n"/>
      <c r="BK114" s="26" t="n"/>
      <c r="BL114" s="23" t="inlineStr">
        <is>
          <t>Government Investment Issue - 4.291% / 2043* | Government Investment Issue - 3.775% / 2045* | IJM Treasury Management Sdn Bhd - 20/05/2026** | Projek Lebuhraya Usahasama Berhad - 5.00% / 2038* | Johor Plantations Group Berhad - 4.19% / 2039*</t>
        </is>
      </c>
      <c r="BM114" s="26" t="n">
        <v>1.5</v>
      </c>
      <c r="BN114" s="22" t="inlineStr">
        <is>
          <t>Very Low</t>
        </is>
      </c>
      <c r="BO114" s="23" t="inlineStr">
        <is>
          <t>Bond MYR</t>
        </is>
      </c>
      <c r="BP114" s="23" t="n"/>
      <c r="BQ114" s="28" t="n">
        <v>1.1466</v>
      </c>
      <c r="BR114" s="22" t="inlineStr">
        <is>
          <t>2020-08-25</t>
        </is>
      </c>
      <c r="BS114" s="28" t="n">
        <v>1.0757</v>
      </c>
      <c r="BT114" s="27" t="n">
        <v>-6.18</v>
      </c>
      <c r="BU114" s="24" t="n">
        <v>2120</v>
      </c>
    </row>
    <row r="115" ht="16" customHeight="1">
      <c r="A115" s="29" t="inlineStr">
        <is>
          <t>PB FIXED INCOME FUND</t>
        </is>
      </c>
      <c r="B115" s="29" t="inlineStr">
        <is>
          <t>PBFI</t>
        </is>
      </c>
      <c r="C115" s="29" t="inlineStr">
        <is>
          <t>Conventional</t>
        </is>
      </c>
      <c r="D115" s="29" t="inlineStr">
        <is>
          <t>Fixed Income</t>
        </is>
      </c>
      <c r="E115" s="30" t="inlineStr">
        <is>
          <t>Income</t>
        </is>
      </c>
      <c r="F115" s="31" t="n">
        <v>2</v>
      </c>
      <c r="G115" s="30" t="inlineStr">
        <is>
          <t>Annual</t>
        </is>
      </c>
      <c r="H115" s="32" t="n">
        <v>625.99</v>
      </c>
      <c r="I115" s="29" t="inlineStr">
        <is>
          <t>03.10.2002</t>
        </is>
      </c>
      <c r="J115" s="29" t="inlineStr">
        <is>
          <t>Qualified</t>
        </is>
      </c>
      <c r="K115" s="33" t="n">
        <v>80</v>
      </c>
      <c r="L115" s="29" t="inlineStr">
        <is>
          <t>4/5</t>
        </is>
      </c>
      <c r="M115" s="30" t="inlineStr">
        <is>
          <t>Qualified (WA: +1.35%) — YTD✘ 1Y✔ 3Y✔ 5Y✔ 10Y✔</t>
        </is>
      </c>
      <c r="N115" s="34" t="n">
        <v>1.35</v>
      </c>
      <c r="O115" s="34" t="n">
        <v>0.43</v>
      </c>
      <c r="P115" s="34" t="n">
        <v>0.67</v>
      </c>
      <c r="Q115" s="34" t="n">
        <v>-0.24</v>
      </c>
      <c r="R115" s="34" t="n">
        <v>2.99</v>
      </c>
      <c r="S115" s="34" t="n">
        <v>2.15</v>
      </c>
      <c r="T115" s="34" t="n">
        <v>0.84</v>
      </c>
      <c r="U115" s="34" t="n">
        <v>4.21</v>
      </c>
      <c r="V115" s="34" t="n">
        <v>2.5</v>
      </c>
      <c r="W115" s="34" t="n">
        <v>1.71</v>
      </c>
      <c r="X115" s="34" t="n">
        <v>3.67</v>
      </c>
      <c r="Y115" s="34" t="n">
        <v>2.38</v>
      </c>
      <c r="Z115" s="34" t="n">
        <v>1.29</v>
      </c>
      <c r="AA115" s="34" t="n">
        <v>4.17</v>
      </c>
      <c r="AB115" s="34" t="n">
        <v>2.65</v>
      </c>
      <c r="AC115" s="34" t="n">
        <v>1.52</v>
      </c>
      <c r="AD115" s="34">
        <f>IF(OR(Q115="",BM115="",BM115=0),"",Q115/BM115)</f>
        <v/>
      </c>
      <c r="AE115" s="34">
        <f>IF(OR(T115="",BM115="",BM115=0),"",T115/BM115)</f>
        <v/>
      </c>
      <c r="AF115" s="34">
        <f>IF(OR(W115="",BM115="",BM115=0),"",W115/BM115)</f>
        <v/>
      </c>
      <c r="AG115" s="34">
        <f>IF(OR(Z115="",BM115="",BM115=0),"",Z115/BM115)</f>
        <v/>
      </c>
      <c r="AH115" s="34">
        <f>IF(OR(AC115="",BM115="",BM115=0),"",AC115/BM115)</f>
        <v/>
      </c>
      <c r="AI115" s="33" t="n"/>
      <c r="AJ115" s="33" t="n"/>
      <c r="AK115" s="33" t="n">
        <v>81.2</v>
      </c>
      <c r="AL115" s="33" t="n">
        <v>18.8</v>
      </c>
      <c r="AM115" s="33" t="n"/>
      <c r="AN115" s="33" t="n"/>
      <c r="AO115" s="33" t="n"/>
      <c r="AP115" s="33" t="n"/>
      <c r="AQ115" s="33" t="n"/>
      <c r="AR115" s="33" t="n"/>
      <c r="AS115" s="33" t="n"/>
      <c r="AT115" s="33" t="n"/>
      <c r="AU115" s="33" t="n"/>
      <c r="AV115" s="33" t="n"/>
      <c r="AW115" s="33" t="n"/>
      <c r="AX115" s="33" t="n"/>
      <c r="AY115" s="33" t="n"/>
      <c r="AZ115" s="33" t="n"/>
      <c r="BA115" s="33" t="n"/>
      <c r="BB115" s="33" t="n"/>
      <c r="BC115" s="33" t="n"/>
      <c r="BD115" s="33" t="n"/>
      <c r="BE115" s="33" t="n"/>
      <c r="BF115" s="33" t="n"/>
      <c r="BG115" s="33" t="n"/>
      <c r="BH115" s="33" t="n"/>
      <c r="BI115" s="33" t="n"/>
      <c r="BJ115" s="33" t="n"/>
      <c r="BK115" s="33" t="n"/>
      <c r="BL115" s="30" t="inlineStr">
        <is>
          <t>Danum Capital Berhad - 3.82% / 2036** | Sabah Credit Corporation - 3.78% / 2035** | AmBank (M) Berhad - 4.15% / 2034* | Johor Plantations Group Berhad - 4.19% / 2039** | Pengurusan Air SPV Berhad - 4.06% / 2039**</t>
        </is>
      </c>
      <c r="BM115" s="33" t="n">
        <v>1.3</v>
      </c>
      <c r="BN115" s="29" t="inlineStr">
        <is>
          <t>Very Low</t>
        </is>
      </c>
      <c r="BO115" s="30" t="inlineStr">
        <is>
          <t>Bond MYR</t>
        </is>
      </c>
      <c r="BP115" s="30" t="n"/>
      <c r="BQ115" s="35" t="n">
        <v>1.1445</v>
      </c>
      <c r="BR115" s="29" t="inlineStr">
        <is>
          <t>2020-06-30</t>
        </is>
      </c>
      <c r="BS115" s="35" t="n">
        <v>1.0927</v>
      </c>
      <c r="BT115" s="34" t="n">
        <v>-4.53</v>
      </c>
      <c r="BU115" s="31" t="n">
        <v>2176</v>
      </c>
    </row>
    <row r="116" ht="16" customHeight="1">
      <c r="A116" s="22" t="inlineStr">
        <is>
          <t>PUBLIC STRATEGIC BOND FUND</t>
        </is>
      </c>
      <c r="B116" s="22" t="inlineStr">
        <is>
          <t>PSTBF</t>
        </is>
      </c>
      <c r="C116" s="22" t="inlineStr">
        <is>
          <t>Conventional</t>
        </is>
      </c>
      <c r="D116" s="22" t="inlineStr">
        <is>
          <t>Fixed Income</t>
        </is>
      </c>
      <c r="E116" s="23" t="inlineStr">
        <is>
          <t>Income</t>
        </is>
      </c>
      <c r="F116" s="24" t="n">
        <v>2</v>
      </c>
      <c r="G116" s="23" t="inlineStr">
        <is>
          <t>Annual</t>
        </is>
      </c>
      <c r="H116" s="25" t="n">
        <v>464.24</v>
      </c>
      <c r="I116" s="22" t="inlineStr">
        <is>
          <t>30.12.2010</t>
        </is>
      </c>
      <c r="J116" s="22" t="inlineStr">
        <is>
          <t>Qualified</t>
        </is>
      </c>
      <c r="K116" s="26" t="n">
        <v>80</v>
      </c>
      <c r="L116" s="22" t="inlineStr">
        <is>
          <t>4/5</t>
        </is>
      </c>
      <c r="M116" s="23" t="inlineStr">
        <is>
          <t>Qualified (WA: +1.29%) — YTD✘ 1Y✔ 3Y✔ 5Y✔ 10Y✔</t>
        </is>
      </c>
      <c r="N116" s="27" t="n">
        <v>1.29</v>
      </c>
      <c r="O116" s="27" t="n">
        <v>0.55</v>
      </c>
      <c r="P116" s="27" t="n">
        <v>0.66</v>
      </c>
      <c r="Q116" s="27" t="n">
        <v>-0.11</v>
      </c>
      <c r="R116" s="27" t="n">
        <v>3.07</v>
      </c>
      <c r="S116" s="27" t="n">
        <v>2.12</v>
      </c>
      <c r="T116" s="27" t="n">
        <v>0.95</v>
      </c>
      <c r="U116" s="27" t="n">
        <v>4.09</v>
      </c>
      <c r="V116" s="27" t="n">
        <v>2.46</v>
      </c>
      <c r="W116" s="27" t="n">
        <v>1.63</v>
      </c>
      <c r="X116" s="27" t="n">
        <v>3.57</v>
      </c>
      <c r="Y116" s="27" t="n">
        <v>2.35</v>
      </c>
      <c r="Z116" s="27" t="n">
        <v>1.22</v>
      </c>
      <c r="AA116" s="27" t="n">
        <v>3.97</v>
      </c>
      <c r="AB116" s="27" t="n">
        <v>2.63</v>
      </c>
      <c r="AC116" s="27" t="n">
        <v>1.34</v>
      </c>
      <c r="AD116" s="27">
        <f>IF(OR(Q116="",BM116="",BM116=0),"",Q116/BM116)</f>
        <v/>
      </c>
      <c r="AE116" s="27">
        <f>IF(OR(T116="",BM116="",BM116=0),"",T116/BM116)</f>
        <v/>
      </c>
      <c r="AF116" s="27">
        <f>IF(OR(W116="",BM116="",BM116=0),"",W116/BM116)</f>
        <v/>
      </c>
      <c r="AG116" s="27">
        <f>IF(OR(Z116="",BM116="",BM116=0),"",Z116/BM116)</f>
        <v/>
      </c>
      <c r="AH116" s="27">
        <f>IF(OR(AC116="",BM116="",BM116=0),"",AC116/BM116)</f>
        <v/>
      </c>
      <c r="AI116" s="26" t="n"/>
      <c r="AJ116" s="26" t="n"/>
      <c r="AK116" s="26" t="n">
        <v>84.90000000000001</v>
      </c>
      <c r="AL116" s="26" t="n">
        <v>15.1</v>
      </c>
      <c r="AM116" s="26" t="n"/>
      <c r="AN116" s="26" t="n"/>
      <c r="AO116" s="26" t="n"/>
      <c r="AP116" s="26" t="n"/>
      <c r="AQ116" s="26" t="n"/>
      <c r="AR116" s="26" t="n"/>
      <c r="AS116" s="26" t="n"/>
      <c r="AT116" s="26" t="n"/>
      <c r="AU116" s="26" t="n"/>
      <c r="AV116" s="26" t="n"/>
      <c r="AW116" s="26" t="n"/>
      <c r="AX116" s="26" t="n"/>
      <c r="AY116" s="26" t="n"/>
      <c r="AZ116" s="26" t="n"/>
      <c r="BA116" s="26" t="n"/>
      <c r="BB116" s="26" t="n"/>
      <c r="BC116" s="26" t="n"/>
      <c r="BD116" s="26" t="n"/>
      <c r="BE116" s="26" t="n"/>
      <c r="BF116" s="26" t="n"/>
      <c r="BG116" s="26" t="n"/>
      <c r="BH116" s="26" t="n"/>
      <c r="BI116" s="26" t="n"/>
      <c r="BJ116" s="26" t="n"/>
      <c r="BK116" s="26" t="n"/>
      <c r="BL116" s="23" t="inlineStr">
        <is>
          <t>PNB Merdeka Ventures Sdn Bhd - 3.64% / 2030** | Public Bank Berhad - 3.79% / 2031* | Danum Capital Berhad - 3.82% / 2036** | Affin Bank Berhad - 4.10% / 2029* | Government Investment Issue - 4.638% / 2049**</t>
        </is>
      </c>
      <c r="BM116" s="26" t="n">
        <v>1.1</v>
      </c>
      <c r="BN116" s="22" t="inlineStr">
        <is>
          <t>Very Low</t>
        </is>
      </c>
      <c r="BO116" s="23" t="inlineStr">
        <is>
          <t>Bond MYR</t>
        </is>
      </c>
      <c r="BP116" s="23" t="n"/>
      <c r="BQ116" s="28" t="n">
        <v>1.1253</v>
      </c>
      <c r="BR116" s="22" t="inlineStr">
        <is>
          <t>2020-11-09</t>
        </is>
      </c>
      <c r="BS116" s="28" t="n">
        <v>1.0676</v>
      </c>
      <c r="BT116" s="27" t="n">
        <v>-5.13</v>
      </c>
      <c r="BU116" s="24" t="n">
        <v>2044</v>
      </c>
    </row>
    <row r="117" ht="16" customHeight="1">
      <c r="A117" s="37" t="inlineStr">
        <is>
          <t>PUBLIC e-SUKUK FUND</t>
        </is>
      </c>
      <c r="B117" s="37" t="inlineStr">
        <is>
          <t>PeSukuk</t>
        </is>
      </c>
      <c r="C117" s="37" t="inlineStr">
        <is>
          <t>Shariah</t>
        </is>
      </c>
      <c r="D117" s="37" t="inlineStr">
        <is>
          <t>Fixed Income</t>
        </is>
      </c>
      <c r="E117" s="30" t="inlineStr">
        <is>
          <t>Income</t>
        </is>
      </c>
      <c r="F117" s="31" t="n">
        <v>2</v>
      </c>
      <c r="G117" s="30" t="inlineStr">
        <is>
          <t>Annual</t>
        </is>
      </c>
      <c r="H117" s="32" t="n">
        <v>671.01</v>
      </c>
      <c r="I117" s="29" t="inlineStr">
        <is>
          <t>09.12.2020</t>
        </is>
      </c>
      <c r="J117" s="29" t="inlineStr">
        <is>
          <t>Qualified</t>
        </is>
      </c>
      <c r="K117" s="33" t="n">
        <v>75</v>
      </c>
      <c r="L117" s="29" t="inlineStr">
        <is>
          <t>3/4</t>
        </is>
      </c>
      <c r="M117" s="30" t="inlineStr">
        <is>
          <t>Qualified (WA: +1.27%) — YTD✘ 1Y✔ 3Y✔ 5Y✔</t>
        </is>
      </c>
      <c r="N117" s="34" t="n">
        <v>1.27</v>
      </c>
      <c r="O117" s="34" t="n">
        <v>0.31</v>
      </c>
      <c r="P117" s="34" t="n">
        <v>0.66</v>
      </c>
      <c r="Q117" s="34" t="n">
        <v>-0.35</v>
      </c>
      <c r="R117" s="34" t="n">
        <v>3.04</v>
      </c>
      <c r="S117" s="34" t="n">
        <v>2.27</v>
      </c>
      <c r="T117" s="34" t="n">
        <v>0.77</v>
      </c>
      <c r="U117" s="34" t="n">
        <v>4.88</v>
      </c>
      <c r="V117" s="34" t="n">
        <v>3.07</v>
      </c>
      <c r="W117" s="34" t="n">
        <v>1.81</v>
      </c>
      <c r="X117" s="34" t="n">
        <v>3.92</v>
      </c>
      <c r="Y117" s="34" t="n">
        <v>2.89</v>
      </c>
      <c r="Z117" s="34" t="n">
        <v>1.03</v>
      </c>
      <c r="AA117" s="34" t="n"/>
      <c r="AB117" s="34" t="n"/>
      <c r="AC117" s="34" t="n"/>
      <c r="AD117" s="34">
        <f>IF(OR(Q117="",BM117="",BM117=0),"",Q117/BM117)</f>
        <v/>
      </c>
      <c r="AE117" s="34">
        <f>IF(OR(T117="",BM117="",BM117=0),"",T117/BM117)</f>
        <v/>
      </c>
      <c r="AF117" s="34">
        <f>IF(OR(W117="",BM117="",BM117=0),"",W117/BM117)</f>
        <v/>
      </c>
      <c r="AG117" s="34">
        <f>IF(OR(Z117="",BM117="",BM117=0),"",Z117/BM117)</f>
        <v/>
      </c>
      <c r="AH117" s="34">
        <f>IF(OR(AC117="",BM117="",BM117=0),"",AC117/BM117)</f>
        <v/>
      </c>
      <c r="AI117" s="33" t="n"/>
      <c r="AJ117" s="33" t="n"/>
      <c r="AK117" s="33" t="n">
        <v>78.5</v>
      </c>
      <c r="AL117" s="33" t="n">
        <v>21.5</v>
      </c>
      <c r="AM117" s="33" t="n"/>
      <c r="AN117" s="33" t="n"/>
      <c r="AO117" s="33" t="n"/>
      <c r="AP117" s="33" t="n"/>
      <c r="AQ117" s="33" t="n"/>
      <c r="AR117" s="33" t="n"/>
      <c r="AS117" s="33" t="n"/>
      <c r="AT117" s="33" t="n"/>
      <c r="AU117" s="33" t="n"/>
      <c r="AV117" s="33" t="n"/>
      <c r="AW117" s="33" t="n"/>
      <c r="AX117" s="33" t="n"/>
      <c r="AY117" s="33" t="n"/>
      <c r="AZ117" s="33" t="n"/>
      <c r="BA117" s="33" t="n"/>
      <c r="BB117" s="33" t="n"/>
      <c r="BC117" s="33" t="n"/>
      <c r="BD117" s="33" t="n"/>
      <c r="BE117" s="33" t="n"/>
      <c r="BF117" s="33" t="n"/>
      <c r="BG117" s="33" t="n"/>
      <c r="BH117" s="33" t="n"/>
      <c r="BI117" s="33" t="n"/>
      <c r="BJ117" s="33" t="n"/>
      <c r="BK117" s="33" t="n"/>
      <c r="BL117" s="30" t="inlineStr">
        <is>
          <t>Government Investment Issue - 3.775% / 2045* | Pengurusan Air SPV Berhad - 4.06% / 2039* | Sarawak Energy Berhad - 3.88% / 2040* | S P Setia Berhad - 4.00% / 2036* | IJM Treasury Management Sdn Bhd - 20/05/2026**</t>
        </is>
      </c>
      <c r="BM117" s="33" t="n">
        <v>1.6</v>
      </c>
      <c r="BN117" s="29" t="inlineStr">
        <is>
          <t>Very Low</t>
        </is>
      </c>
      <c r="BO117" s="30" t="inlineStr">
        <is>
          <t>Bond Sukuk Malaysia</t>
        </is>
      </c>
      <c r="BP117" s="30" t="inlineStr">
        <is>
          <t>12-Month General Investment Account Rate (prior to 1 July 2025). Public Islamic Bank 12-Month Term Deposit-i (w.e.f. 1 July 2025).</t>
        </is>
      </c>
      <c r="BQ117" s="35" t="n">
        <v>1.0812</v>
      </c>
      <c r="BR117" s="29" t="inlineStr">
        <is>
          <t>2026-01-12</t>
        </is>
      </c>
      <c r="BS117" s="35" t="n">
        <v>1.0362</v>
      </c>
      <c r="BT117" s="34" t="n">
        <v>-4.16</v>
      </c>
      <c r="BU117" s="31" t="n">
        <v>154</v>
      </c>
    </row>
    <row r="118" ht="16" customHeight="1">
      <c r="A118" s="36" t="inlineStr">
        <is>
          <t>PUBLIC e-INCOME FUND</t>
        </is>
      </c>
      <c r="B118" s="36" t="inlineStr">
        <is>
          <t>PeINCF</t>
        </is>
      </c>
      <c r="C118" s="36" t="inlineStr">
        <is>
          <t>Shariah</t>
        </is>
      </c>
      <c r="D118" s="36" t="inlineStr">
        <is>
          <t>Fixed Income</t>
        </is>
      </c>
      <c r="E118" s="23" t="inlineStr">
        <is>
          <t>Income</t>
        </is>
      </c>
      <c r="F118" s="24" t="n">
        <v>2</v>
      </c>
      <c r="G118" s="23" t="inlineStr">
        <is>
          <t>Annual</t>
        </is>
      </c>
      <c r="H118" s="25" t="n">
        <v>292.09</v>
      </c>
      <c r="I118" s="22" t="inlineStr">
        <is>
          <t>01.07.2020</t>
        </is>
      </c>
      <c r="J118" s="22" t="inlineStr">
        <is>
          <t>Qualified</t>
        </is>
      </c>
      <c r="K118" s="26" t="n">
        <v>100</v>
      </c>
      <c r="L118" s="22" t="inlineStr">
        <is>
          <t>4/4</t>
        </is>
      </c>
      <c r="M118" s="23" t="inlineStr">
        <is>
          <t>Qualified (WA: +1.27%) — YTD✔ 1Y✔ 3Y✔ 5Y✔</t>
        </is>
      </c>
      <c r="N118" s="27" t="n">
        <v>1.27</v>
      </c>
      <c r="O118" s="27" t="n">
        <v>0.96</v>
      </c>
      <c r="P118" s="27" t="n">
        <v>0.61</v>
      </c>
      <c r="Q118" s="27" t="n">
        <v>0.35</v>
      </c>
      <c r="R118" s="27" t="n">
        <v>3.53</v>
      </c>
      <c r="S118" s="27" t="n">
        <v>1.98</v>
      </c>
      <c r="T118" s="27" t="n">
        <v>1.55</v>
      </c>
      <c r="U118" s="27" t="n">
        <v>3.77</v>
      </c>
      <c r="V118" s="27" t="n">
        <v>2.31</v>
      </c>
      <c r="W118" s="27" t="n">
        <v>1.46</v>
      </c>
      <c r="X118" s="27" t="n">
        <v>3.18</v>
      </c>
      <c r="Y118" s="27" t="n">
        <v>2.19</v>
      </c>
      <c r="Z118" s="27" t="n">
        <v>0.99</v>
      </c>
      <c r="AA118" s="27" t="n"/>
      <c r="AB118" s="27" t="n"/>
      <c r="AC118" s="27" t="n"/>
      <c r="AD118" s="27">
        <f>IF(OR(Q118="",BM118="",BM118=0),"",Q118/BM118)</f>
        <v/>
      </c>
      <c r="AE118" s="27">
        <f>IF(OR(T118="",BM118="",BM118=0),"",T118/BM118)</f>
        <v/>
      </c>
      <c r="AF118" s="27">
        <f>IF(OR(W118="",BM118="",BM118=0),"",W118/BM118)</f>
        <v/>
      </c>
      <c r="AG118" s="27">
        <f>IF(OR(Z118="",BM118="",BM118=0),"",Z118/BM118)</f>
        <v/>
      </c>
      <c r="AH118" s="27">
        <f>IF(OR(AC118="",BM118="",BM118=0),"",AC118/BM118)</f>
        <v/>
      </c>
      <c r="AI118" s="26" t="n"/>
      <c r="AJ118" s="26" t="n"/>
      <c r="AK118" s="26" t="n">
        <v>34.2</v>
      </c>
      <c r="AL118" s="26" t="n">
        <v>65.8</v>
      </c>
      <c r="AM118" s="26" t="n"/>
      <c r="AN118" s="26" t="n"/>
      <c r="AO118" s="26" t="n"/>
      <c r="AP118" s="26" t="n"/>
      <c r="AQ118" s="26" t="n"/>
      <c r="AR118" s="26" t="n"/>
      <c r="AS118" s="26" t="n"/>
      <c r="AT118" s="26" t="n"/>
      <c r="AU118" s="26" t="n"/>
      <c r="AV118" s="26" t="n"/>
      <c r="AW118" s="26" t="n"/>
      <c r="AX118" s="26" t="n"/>
      <c r="AY118" s="26" t="n"/>
      <c r="AZ118" s="26" t="n"/>
      <c r="BA118" s="26" t="n"/>
      <c r="BB118" s="26" t="n"/>
      <c r="BC118" s="26" t="n"/>
      <c r="BD118" s="26" t="n"/>
      <c r="BE118" s="26" t="n"/>
      <c r="BF118" s="26" t="n"/>
      <c r="BG118" s="26" t="n"/>
      <c r="BH118" s="26" t="n"/>
      <c r="BI118" s="26" t="n"/>
      <c r="BJ118" s="26" t="n"/>
      <c r="BK118" s="26" t="n"/>
      <c r="BL118" s="23" t="inlineStr">
        <is>
          <t>Sabah Development Bank Berhad - 4.50% / 2027* | Public Bank Berhad - 3.73% / 2032* | Sabah Credit Corporation - 3.66% / 2032** | CIMB Islamic Bank Berhad - 4.07% / 2035** | Petroleum Sarawak E&amp;P Sdn Bhd - 3.64% / 2032**</t>
        </is>
      </c>
      <c r="BM118" s="26" t="n">
        <v>0.3</v>
      </c>
      <c r="BN118" s="22" t="inlineStr">
        <is>
          <t>Very Low</t>
        </is>
      </c>
      <c r="BO118" s="23" t="inlineStr">
        <is>
          <t>Bond MYR</t>
        </is>
      </c>
      <c r="BP118" s="23" t="inlineStr">
        <is>
          <t>50% Public Bank 12-Month Fixed Deposit Rate (FDR) and 50% Public Bank 1-Month FDR.</t>
        </is>
      </c>
      <c r="BQ118" s="28" t="n">
        <v>1.0486</v>
      </c>
      <c r="BR118" s="22" t="inlineStr">
        <is>
          <t>2024-07-31</t>
        </is>
      </c>
      <c r="BS118" s="28" t="n">
        <v>1.0365</v>
      </c>
      <c r="BT118" s="27" t="n">
        <v>-1.15</v>
      </c>
      <c r="BU118" s="24" t="n">
        <v>684</v>
      </c>
    </row>
    <row r="119" ht="16" customHeight="1">
      <c r="A119" s="37" t="inlineStr">
        <is>
          <t>PUBLIC ISLAMIC INFRASTRUCTURE BOND FUND</t>
        </is>
      </c>
      <c r="B119" s="37" t="inlineStr">
        <is>
          <t>PIINFBF</t>
        </is>
      </c>
      <c r="C119" s="37" t="inlineStr">
        <is>
          <t>Shariah</t>
        </is>
      </c>
      <c r="D119" s="37" t="inlineStr">
        <is>
          <t>Fixed Income</t>
        </is>
      </c>
      <c r="E119" s="30" t="inlineStr">
        <is>
          <t>Income</t>
        </is>
      </c>
      <c r="F119" s="31" t="n">
        <v>2</v>
      </c>
      <c r="G119" s="30" t="inlineStr">
        <is>
          <t>Annual</t>
        </is>
      </c>
      <c r="H119" s="32" t="n">
        <v>1164.4</v>
      </c>
      <c r="I119" s="29" t="inlineStr">
        <is>
          <t>16.11.2010</t>
        </is>
      </c>
      <c r="J119" s="29" t="inlineStr">
        <is>
          <t>Qualified</t>
        </is>
      </c>
      <c r="K119" s="33" t="n">
        <v>80</v>
      </c>
      <c r="L119" s="29" t="inlineStr">
        <is>
          <t>4/5</t>
        </is>
      </c>
      <c r="M119" s="30" t="inlineStr">
        <is>
          <t>Qualified (WA: +1.20%) — YTD✘ 1Y✔ 3Y✔ 5Y✔ 10Y✔</t>
        </is>
      </c>
      <c r="N119" s="34" t="n">
        <v>1.2</v>
      </c>
      <c r="O119" s="34" t="n">
        <v>0.21</v>
      </c>
      <c r="P119" s="34" t="n">
        <v>0.66</v>
      </c>
      <c r="Q119" s="34" t="n">
        <v>-0.45</v>
      </c>
      <c r="R119" s="34" t="n">
        <v>2.99</v>
      </c>
      <c r="S119" s="34" t="n">
        <v>2.27</v>
      </c>
      <c r="T119" s="34" t="n">
        <v>0.72</v>
      </c>
      <c r="U119" s="34" t="n">
        <v>4.88</v>
      </c>
      <c r="V119" s="34" t="n">
        <v>3.07</v>
      </c>
      <c r="W119" s="34" t="n">
        <v>1.81</v>
      </c>
      <c r="X119" s="34" t="n">
        <v>3.86</v>
      </c>
      <c r="Y119" s="34" t="n">
        <v>2.89</v>
      </c>
      <c r="Z119" s="34" t="n">
        <v>0.97</v>
      </c>
      <c r="AA119" s="34" t="n">
        <v>4.03</v>
      </c>
      <c r="AB119" s="34" t="n">
        <v>3.03</v>
      </c>
      <c r="AC119" s="34" t="n">
        <v>1</v>
      </c>
      <c r="AD119" s="34">
        <f>IF(OR(Q119="",BM119="",BM119=0),"",Q119/BM119)</f>
        <v/>
      </c>
      <c r="AE119" s="34">
        <f>IF(OR(T119="",BM119="",BM119=0),"",T119/BM119)</f>
        <v/>
      </c>
      <c r="AF119" s="34">
        <f>IF(OR(W119="",BM119="",BM119=0),"",W119/BM119)</f>
        <v/>
      </c>
      <c r="AG119" s="34">
        <f>IF(OR(Z119="",BM119="",BM119=0),"",Z119/BM119)</f>
        <v/>
      </c>
      <c r="AH119" s="34">
        <f>IF(OR(AC119="",BM119="",BM119=0),"",AC119/BM119)</f>
        <v/>
      </c>
      <c r="AI119" s="33" t="n"/>
      <c r="AJ119" s="33" t="n"/>
      <c r="AK119" s="33" t="n">
        <v>79.2</v>
      </c>
      <c r="AL119" s="33" t="n">
        <v>20.8</v>
      </c>
      <c r="AM119" s="33" t="n"/>
      <c r="AN119" s="33" t="n"/>
      <c r="AO119" s="33" t="n"/>
      <c r="AP119" s="33" t="n"/>
      <c r="AQ119" s="33" t="n"/>
      <c r="AR119" s="33" t="n"/>
      <c r="AS119" s="33" t="n"/>
      <c r="AT119" s="33" t="n"/>
      <c r="AU119" s="33" t="n"/>
      <c r="AV119" s="33" t="n"/>
      <c r="AW119" s="33" t="n"/>
      <c r="AX119" s="33" t="n"/>
      <c r="AY119" s="33" t="n"/>
      <c r="AZ119" s="33" t="n"/>
      <c r="BA119" s="33" t="n"/>
      <c r="BB119" s="33" t="n"/>
      <c r="BC119" s="33" t="n"/>
      <c r="BD119" s="33" t="n"/>
      <c r="BE119" s="33" t="n"/>
      <c r="BF119" s="33" t="n"/>
      <c r="BG119" s="33" t="n"/>
      <c r="BH119" s="33" t="n"/>
      <c r="BI119" s="33" t="n"/>
      <c r="BJ119" s="33" t="n"/>
      <c r="BK119" s="33" t="n"/>
      <c r="BL119" s="30" t="inlineStr">
        <is>
          <t>TNB Power Generation Sdn Bhd - 4.84% / 2043* | Manjung Island Energy Berhad - 4.90% / 2031* | Government Investment Issue - 3.775% / 2045* | Sarawak Energy Berhad - 3.88% / 2040* | YTL Power International Berhad - 4.21% / 2037*</t>
        </is>
      </c>
      <c r="BM119" s="33" t="n">
        <v>1.9</v>
      </c>
      <c r="BN119" s="29" t="inlineStr">
        <is>
          <t>Very Low</t>
        </is>
      </c>
      <c r="BO119" s="30" t="inlineStr">
        <is>
          <t>Bond Sukuk Malaysia</t>
        </is>
      </c>
      <c r="BP119" s="30" t="inlineStr">
        <is>
          <t>12-Month General Investment Account (GIA) rate (prior to 1 July 2025). Public Islamic Bank 12-Month Term Deposit-i (w.e.f. 1 July 2025).</t>
        </is>
      </c>
      <c r="BQ119" s="35" t="n">
        <v>1.1604</v>
      </c>
      <c r="BR119" s="29" t="inlineStr">
        <is>
          <t>2020-08-06</t>
        </is>
      </c>
      <c r="BS119" s="35" t="n">
        <v>1.11</v>
      </c>
      <c r="BT119" s="34" t="n">
        <v>-4.34</v>
      </c>
      <c r="BU119" s="31" t="n">
        <v>2139</v>
      </c>
    </row>
    <row r="120" ht="16" customHeight="1">
      <c r="A120" s="36" t="inlineStr">
        <is>
          <t>PUBLIC ISLAMIC BOND FUND</t>
        </is>
      </c>
      <c r="B120" s="36" t="inlineStr">
        <is>
          <t>PI BOND</t>
        </is>
      </c>
      <c r="C120" s="36" t="inlineStr">
        <is>
          <t>Shariah</t>
        </is>
      </c>
      <c r="D120" s="36" t="inlineStr">
        <is>
          <t>Fixed Income</t>
        </is>
      </c>
      <c r="E120" s="23" t="inlineStr">
        <is>
          <t>Income</t>
        </is>
      </c>
      <c r="F120" s="24" t="n">
        <v>2</v>
      </c>
      <c r="G120" s="23" t="inlineStr">
        <is>
          <t>Annual</t>
        </is>
      </c>
      <c r="H120" s="25" t="n">
        <v>916.79</v>
      </c>
      <c r="I120" s="22" t="inlineStr">
        <is>
          <t>15.08.2001</t>
        </is>
      </c>
      <c r="J120" s="22" t="inlineStr">
        <is>
          <t>Qualified</t>
        </is>
      </c>
      <c r="K120" s="26" t="n">
        <v>80</v>
      </c>
      <c r="L120" s="22" t="inlineStr">
        <is>
          <t>4/5</t>
        </is>
      </c>
      <c r="M120" s="23" t="inlineStr">
        <is>
          <t>Qualified (WA: +1.19%) — YTD✘ 1Y✔ 3Y✔ 5Y✔ 10Y✔</t>
        </is>
      </c>
      <c r="N120" s="27" t="n">
        <v>1.19</v>
      </c>
      <c r="O120" s="27" t="n">
        <v>0.5</v>
      </c>
      <c r="P120" s="27" t="n">
        <v>0.66</v>
      </c>
      <c r="Q120" s="27" t="n">
        <v>-0.16</v>
      </c>
      <c r="R120" s="27" t="n">
        <v>3.06</v>
      </c>
      <c r="S120" s="27" t="n">
        <v>2.27</v>
      </c>
      <c r="T120" s="27" t="n">
        <v>0.79</v>
      </c>
      <c r="U120" s="27" t="n">
        <v>4.63</v>
      </c>
      <c r="V120" s="27" t="n">
        <v>3.07</v>
      </c>
      <c r="W120" s="27" t="n">
        <v>1.56</v>
      </c>
      <c r="X120" s="27" t="n">
        <v>3.96</v>
      </c>
      <c r="Y120" s="27" t="n">
        <v>2.89</v>
      </c>
      <c r="Z120" s="27" t="n">
        <v>1.07</v>
      </c>
      <c r="AA120" s="27" t="n">
        <v>4.27</v>
      </c>
      <c r="AB120" s="27" t="n">
        <v>3.03</v>
      </c>
      <c r="AC120" s="27" t="n">
        <v>1.24</v>
      </c>
      <c r="AD120" s="27">
        <f>IF(OR(Q120="",BM120="",BM120=0),"",Q120/BM120)</f>
        <v/>
      </c>
      <c r="AE120" s="27">
        <f>IF(OR(T120="",BM120="",BM120=0),"",T120/BM120)</f>
        <v/>
      </c>
      <c r="AF120" s="27">
        <f>IF(OR(W120="",BM120="",BM120=0),"",W120/BM120)</f>
        <v/>
      </c>
      <c r="AG120" s="27">
        <f>IF(OR(Z120="",BM120="",BM120=0),"",Z120/BM120)</f>
        <v/>
      </c>
      <c r="AH120" s="27">
        <f>IF(OR(AC120="",BM120="",BM120=0),"",AC120/BM120)</f>
        <v/>
      </c>
      <c r="AI120" s="26" t="n"/>
      <c r="AJ120" s="26" t="n"/>
      <c r="AK120" s="26" t="n">
        <v>80.5</v>
      </c>
      <c r="AL120" s="26" t="n">
        <v>19.5</v>
      </c>
      <c r="AM120" s="26" t="n"/>
      <c r="AN120" s="26" t="n"/>
      <c r="AO120" s="26" t="n"/>
      <c r="AP120" s="26" t="n"/>
      <c r="AQ120" s="26" t="n"/>
      <c r="AR120" s="26" t="n"/>
      <c r="AS120" s="26" t="n"/>
      <c r="AT120" s="26" t="n"/>
      <c r="AU120" s="26" t="n"/>
      <c r="AV120" s="26" t="n"/>
      <c r="AW120" s="26" t="n"/>
      <c r="AX120" s="26" t="n"/>
      <c r="AY120" s="26" t="n"/>
      <c r="AZ120" s="26" t="n"/>
      <c r="BA120" s="26" t="n"/>
      <c r="BB120" s="26" t="n"/>
      <c r="BC120" s="26" t="n"/>
      <c r="BD120" s="26" t="n"/>
      <c r="BE120" s="26" t="n"/>
      <c r="BF120" s="26" t="n"/>
      <c r="BG120" s="26" t="n"/>
      <c r="BH120" s="26" t="n"/>
      <c r="BI120" s="26" t="n"/>
      <c r="BJ120" s="26" t="n"/>
      <c r="BK120" s="26" t="n"/>
      <c r="BL120" s="23" t="inlineStr">
        <is>
          <t>CIMB Islamic Bank Berhad - 4.07% / 2035* | Government Investment Issue - 3.775% / 2045* | Government Investment Issue - 4.291% / 2043* | Pengurusan Air SPV Berhad - 4.06% / 2039* | Petroleum Sarawak E&amp;P Sdn Bhd - 3.70% / 2035*</t>
        </is>
      </c>
      <c r="BM120" s="26" t="n">
        <v>1.6</v>
      </c>
      <c r="BN120" s="22" t="inlineStr">
        <is>
          <t>Very Low</t>
        </is>
      </c>
      <c r="BO120" s="23" t="inlineStr">
        <is>
          <t>Bond Sukuk Malaysia</t>
        </is>
      </c>
      <c r="BP120" s="23" t="inlineStr">
        <is>
          <t>12-Month General Investment Account (GIA) rate (prior to 1 July 2025). Public Islamic Bank 12-Month Term Deposit-i (w.e.f. 1 July 2025).</t>
        </is>
      </c>
      <c r="BQ120" s="28" t="n">
        <v>1.108</v>
      </c>
      <c r="BR120" s="22" t="inlineStr">
        <is>
          <t>2010-10-26</t>
        </is>
      </c>
      <c r="BS120" s="28" t="n">
        <v>0.9722</v>
      </c>
      <c r="BT120" s="27" t="n">
        <v>-12.26</v>
      </c>
      <c r="BU120" s="24" t="n">
        <v>5711</v>
      </c>
    </row>
    <row r="121" ht="16" customHeight="1">
      <c r="A121" s="29" t="inlineStr">
        <is>
          <t>PUBLIC BOND FUND</t>
        </is>
      </c>
      <c r="B121" s="29" t="inlineStr">
        <is>
          <t>P BOND</t>
        </is>
      </c>
      <c r="C121" s="29" t="inlineStr">
        <is>
          <t>Conventional</t>
        </is>
      </c>
      <c r="D121" s="29" t="inlineStr">
        <is>
          <t>Fixed Income</t>
        </is>
      </c>
      <c r="E121" s="30" t="inlineStr">
        <is>
          <t>Income</t>
        </is>
      </c>
      <c r="F121" s="31" t="n">
        <v>2</v>
      </c>
      <c r="G121" s="30" t="inlineStr">
        <is>
          <t>Annual</t>
        </is>
      </c>
      <c r="H121" s="32" t="n">
        <v>1550.34</v>
      </c>
      <c r="I121" s="29" t="inlineStr">
        <is>
          <t>11.06.1996</t>
        </is>
      </c>
      <c r="J121" s="29" t="inlineStr">
        <is>
          <t>Qualified</t>
        </is>
      </c>
      <c r="K121" s="33" t="n">
        <v>80</v>
      </c>
      <c r="L121" s="29" t="inlineStr">
        <is>
          <t>4/5</t>
        </is>
      </c>
      <c r="M121" s="30" t="inlineStr">
        <is>
          <t>Qualified (WA: +1.13%) — YTD✘ 1Y✔ 3Y✔ 5Y✔ 10Y✔</t>
        </is>
      </c>
      <c r="N121" s="34" t="n">
        <v>1.13</v>
      </c>
      <c r="O121" s="34" t="n">
        <v>0.36</v>
      </c>
      <c r="P121" s="34" t="n">
        <v>0.67</v>
      </c>
      <c r="Q121" s="34" t="n">
        <v>-0.31</v>
      </c>
      <c r="R121" s="34" t="n">
        <v>2.7</v>
      </c>
      <c r="S121" s="34" t="n">
        <v>2.15</v>
      </c>
      <c r="T121" s="34" t="n">
        <v>0.55</v>
      </c>
      <c r="U121" s="34" t="n">
        <v>3.92</v>
      </c>
      <c r="V121" s="34" t="n">
        <v>2.5</v>
      </c>
      <c r="W121" s="34" t="n">
        <v>1.42</v>
      </c>
      <c r="X121" s="34" t="n">
        <v>3.56</v>
      </c>
      <c r="Y121" s="34" t="n">
        <v>2.38</v>
      </c>
      <c r="Z121" s="34" t="n">
        <v>1.18</v>
      </c>
      <c r="AA121" s="34" t="n">
        <v>4</v>
      </c>
      <c r="AB121" s="34" t="n">
        <v>2.65</v>
      </c>
      <c r="AC121" s="34" t="n">
        <v>1.35</v>
      </c>
      <c r="AD121" s="34">
        <f>IF(OR(Q121="",BM121="",BM121=0),"",Q121/BM121)</f>
        <v/>
      </c>
      <c r="AE121" s="34">
        <f>IF(OR(T121="",BM121="",BM121=0),"",T121/BM121)</f>
        <v/>
      </c>
      <c r="AF121" s="34">
        <f>IF(OR(W121="",BM121="",BM121=0),"",W121/BM121)</f>
        <v/>
      </c>
      <c r="AG121" s="34">
        <f>IF(OR(Z121="",BM121="",BM121=0),"",Z121/BM121)</f>
        <v/>
      </c>
      <c r="AH121" s="34">
        <f>IF(OR(AC121="",BM121="",BM121=0),"",AC121/BM121)</f>
        <v/>
      </c>
      <c r="AI121" s="33" t="n"/>
      <c r="AJ121" s="33" t="n"/>
      <c r="AK121" s="33" t="n">
        <v>86</v>
      </c>
      <c r="AL121" s="33" t="n">
        <v>14</v>
      </c>
      <c r="AM121" s="33" t="n"/>
      <c r="AN121" s="33" t="n"/>
      <c r="AO121" s="33" t="n"/>
      <c r="AP121" s="33" t="n"/>
      <c r="AQ121" s="33" t="n"/>
      <c r="AR121" s="33" t="n"/>
      <c r="AS121" s="33" t="n"/>
      <c r="AT121" s="33" t="n"/>
      <c r="AU121" s="33" t="n"/>
      <c r="AV121" s="33" t="n"/>
      <c r="AW121" s="33" t="n"/>
      <c r="AX121" s="33" t="n"/>
      <c r="AY121" s="33" t="n"/>
      <c r="AZ121" s="33" t="n"/>
      <c r="BA121" s="33" t="n"/>
      <c r="BB121" s="33" t="n"/>
      <c r="BC121" s="33" t="n"/>
      <c r="BD121" s="33" t="n"/>
      <c r="BE121" s="33" t="n"/>
      <c r="BF121" s="33" t="n"/>
      <c r="BG121" s="33" t="n"/>
      <c r="BH121" s="33" t="n"/>
      <c r="BI121" s="33" t="n"/>
      <c r="BJ121" s="33" t="n"/>
      <c r="BK121" s="33" t="n"/>
      <c r="BL121" s="30" t="inlineStr">
        <is>
          <t>CIMB Islamic Bank Berhad - 4.07% / 2035** | Danum Capital Berhad - 3.82% / 2036** | Sabah Development Bank Berhad - 4.50% / 2027* | Gamuda Berhad - 4.02% / 2036** | Public Bank Berhad - 3.86% / 2033*</t>
        </is>
      </c>
      <c r="BM121" s="33" t="n">
        <v>1.3</v>
      </c>
      <c r="BN121" s="29" t="inlineStr">
        <is>
          <t>Very Low</t>
        </is>
      </c>
      <c r="BO121" s="30" t="inlineStr">
        <is>
          <t>Bond MYR</t>
        </is>
      </c>
      <c r="BP121" s="30" t="n"/>
      <c r="BQ121" s="35" t="n">
        <v>1.1499</v>
      </c>
      <c r="BR121" s="29" t="inlineStr">
        <is>
          <t>2002-07-31</t>
        </is>
      </c>
      <c r="BS121" s="35" t="n">
        <v>0.955</v>
      </c>
      <c r="BT121" s="34" t="n">
        <v>-16.95</v>
      </c>
      <c r="BU121" s="31" t="n">
        <v>8720</v>
      </c>
    </row>
    <row r="122" ht="16" customHeight="1">
      <c r="A122" s="22" t="inlineStr">
        <is>
          <t>PB ISLAMIC BOND FUND</t>
        </is>
      </c>
      <c r="B122" s="22" t="inlineStr">
        <is>
          <t>PBIBF</t>
        </is>
      </c>
      <c r="C122" s="22" t="inlineStr">
        <is>
          <t>Conventional</t>
        </is>
      </c>
      <c r="D122" s="22" t="inlineStr">
        <is>
          <t>Fixed Income</t>
        </is>
      </c>
      <c r="E122" s="23" t="inlineStr">
        <is>
          <t>Income</t>
        </is>
      </c>
      <c r="F122" s="24" t="n">
        <v>2</v>
      </c>
      <c r="G122" s="23" t="inlineStr">
        <is>
          <t>Annual</t>
        </is>
      </c>
      <c r="H122" s="25" t="n">
        <v>600.51</v>
      </c>
      <c r="I122" s="22" t="inlineStr">
        <is>
          <t>16.03.2006</t>
        </is>
      </c>
      <c r="J122" s="22" t="inlineStr">
        <is>
          <t>Qualified</t>
        </is>
      </c>
      <c r="K122" s="26" t="n">
        <v>80</v>
      </c>
      <c r="L122" s="22" t="inlineStr">
        <is>
          <t>4/5</t>
        </is>
      </c>
      <c r="M122" s="23" t="inlineStr">
        <is>
          <t>Qualified (WA: +1.09%) — YTD✘ 1Y✔ 3Y✔ 5Y✔ 10Y✔</t>
        </is>
      </c>
      <c r="N122" s="27" t="n">
        <v>1.09</v>
      </c>
      <c r="O122" s="27" t="n">
        <v>0.42</v>
      </c>
      <c r="P122" s="27" t="n">
        <v>0.66</v>
      </c>
      <c r="Q122" s="27" t="n">
        <v>-0.24</v>
      </c>
      <c r="R122" s="27" t="n">
        <v>2.96</v>
      </c>
      <c r="S122" s="27" t="n">
        <v>2.27</v>
      </c>
      <c r="T122" s="27" t="n">
        <v>0.6899999999999999</v>
      </c>
      <c r="U122" s="27" t="n">
        <v>4.58</v>
      </c>
      <c r="V122" s="27" t="n">
        <v>3.07</v>
      </c>
      <c r="W122" s="27" t="n">
        <v>1.51</v>
      </c>
      <c r="X122" s="27" t="n">
        <v>3.76</v>
      </c>
      <c r="Y122" s="27" t="n">
        <v>2.89</v>
      </c>
      <c r="Z122" s="27" t="n">
        <v>0.87</v>
      </c>
      <c r="AA122" s="27" t="n">
        <v>4.2</v>
      </c>
      <c r="AB122" s="27" t="n">
        <v>3.03</v>
      </c>
      <c r="AC122" s="27" t="n">
        <v>1.17</v>
      </c>
      <c r="AD122" s="27">
        <f>IF(OR(Q122="",BM122="",BM122=0),"",Q122/BM122)</f>
        <v/>
      </c>
      <c r="AE122" s="27">
        <f>IF(OR(T122="",BM122="",BM122=0),"",T122/BM122)</f>
        <v/>
      </c>
      <c r="AF122" s="27">
        <f>IF(OR(W122="",BM122="",BM122=0),"",W122/BM122)</f>
        <v/>
      </c>
      <c r="AG122" s="27">
        <f>IF(OR(Z122="",BM122="",BM122=0),"",Z122/BM122)</f>
        <v/>
      </c>
      <c r="AH122" s="27">
        <f>IF(OR(AC122="",BM122="",BM122=0),"",AC122/BM122)</f>
        <v/>
      </c>
      <c r="AI122" s="26" t="n"/>
      <c r="AJ122" s="26" t="n"/>
      <c r="AK122" s="26" t="n">
        <v>80.90000000000001</v>
      </c>
      <c r="AL122" s="26" t="n">
        <v>19.1</v>
      </c>
      <c r="AM122" s="26" t="n"/>
      <c r="AN122" s="26" t="n"/>
      <c r="AO122" s="26" t="n"/>
      <c r="AP122" s="26" t="n"/>
      <c r="AQ122" s="26" t="n"/>
      <c r="AR122" s="26" t="n"/>
      <c r="AS122" s="26" t="n"/>
      <c r="AT122" s="26" t="n"/>
      <c r="AU122" s="26" t="n"/>
      <c r="AV122" s="26" t="n"/>
      <c r="AW122" s="26" t="n"/>
      <c r="AX122" s="26" t="n"/>
      <c r="AY122" s="26" t="n"/>
      <c r="AZ122" s="26" t="n"/>
      <c r="BA122" s="26" t="n"/>
      <c r="BB122" s="26" t="n"/>
      <c r="BC122" s="26" t="n"/>
      <c r="BD122" s="26" t="n"/>
      <c r="BE122" s="26" t="n"/>
      <c r="BF122" s="26" t="n"/>
      <c r="BG122" s="26" t="n"/>
      <c r="BH122" s="26" t="n"/>
      <c r="BI122" s="26" t="n"/>
      <c r="BJ122" s="26" t="n"/>
      <c r="BK122" s="26" t="n"/>
      <c r="BL122" s="23" t="inlineStr">
        <is>
          <t>CIMB Islamic Bank Berhad - 4.07% / 2035* | Government Investment Issue - 3.775% / 2045* | Government Investment Issue - 4.291% / 2043* | Petroleum Sarawak E&amp;P Sdn Bhd - 3.70% / 2035* | Pengurusan Air SPV Berhad - 4.06% / 2039*</t>
        </is>
      </c>
      <c r="BM122" s="26" t="n">
        <v>1.5</v>
      </c>
      <c r="BN122" s="22" t="inlineStr">
        <is>
          <t>Very Low</t>
        </is>
      </c>
      <c r="BO122" s="23" t="inlineStr">
        <is>
          <t>Bond Sukuk Malaysia</t>
        </is>
      </c>
      <c r="BP122" s="23" t="inlineStr">
        <is>
          <t>12-Month General Investment Account (GIA) rate (prior to 1 July 2025). Public Islamic Bank 12-Month Term Deposit-i (w.e.f. 1 July 2025).</t>
        </is>
      </c>
      <c r="BQ122" s="28" t="n">
        <v>1.2359</v>
      </c>
      <c r="BR122" s="22" t="inlineStr">
        <is>
          <t>2013-06-18</t>
        </is>
      </c>
      <c r="BS122" s="28" t="n">
        <v>1.1581</v>
      </c>
      <c r="BT122" s="27" t="n">
        <v>-6.3</v>
      </c>
      <c r="BU122" s="24" t="n">
        <v>4745</v>
      </c>
    </row>
    <row r="123" ht="16" customHeight="1">
      <c r="A123" s="37" t="inlineStr">
        <is>
          <t>PUBLIC SUKUK FUND</t>
        </is>
      </c>
      <c r="B123" s="37" t="inlineStr">
        <is>
          <t>PSKF</t>
        </is>
      </c>
      <c r="C123" s="37" t="inlineStr">
        <is>
          <t>Shariah</t>
        </is>
      </c>
      <c r="D123" s="37" t="inlineStr">
        <is>
          <t>Fixed Income</t>
        </is>
      </c>
      <c r="E123" s="30" t="inlineStr">
        <is>
          <t>Income</t>
        </is>
      </c>
      <c r="F123" s="31" t="n">
        <v>2</v>
      </c>
      <c r="G123" s="30" t="inlineStr">
        <is>
          <t>Annual</t>
        </is>
      </c>
      <c r="H123" s="32" t="n">
        <v>664.11</v>
      </c>
      <c r="I123" s="29" t="inlineStr">
        <is>
          <t>19.07.2011</t>
        </is>
      </c>
      <c r="J123" s="29" t="inlineStr">
        <is>
          <t>Qualified</t>
        </is>
      </c>
      <c r="K123" s="33" t="n">
        <v>80</v>
      </c>
      <c r="L123" s="29" t="inlineStr">
        <is>
          <t>4/5</t>
        </is>
      </c>
      <c r="M123" s="30" t="inlineStr">
        <is>
          <t>Qualified (WA: +1.07%) — YTD✘ 1Y✔ 3Y✔ 5Y✔ 10Y✔</t>
        </is>
      </c>
      <c r="N123" s="34" t="n">
        <v>1.07</v>
      </c>
      <c r="O123" s="34" t="n">
        <v>0.36</v>
      </c>
      <c r="P123" s="34" t="n">
        <v>0.66</v>
      </c>
      <c r="Q123" s="34" t="n">
        <v>-0.3</v>
      </c>
      <c r="R123" s="34" t="n">
        <v>3.07</v>
      </c>
      <c r="S123" s="34" t="n">
        <v>2.27</v>
      </c>
      <c r="T123" s="34" t="n">
        <v>0.8</v>
      </c>
      <c r="U123" s="34" t="n">
        <v>4.66</v>
      </c>
      <c r="V123" s="34" t="n">
        <v>3.07</v>
      </c>
      <c r="W123" s="34" t="n">
        <v>1.59</v>
      </c>
      <c r="X123" s="34" t="n">
        <v>3.65</v>
      </c>
      <c r="Y123" s="34" t="n">
        <v>2.89</v>
      </c>
      <c r="Z123" s="34" t="n">
        <v>0.76</v>
      </c>
      <c r="AA123" s="34" t="n">
        <v>3.94</v>
      </c>
      <c r="AB123" s="34" t="n">
        <v>3.03</v>
      </c>
      <c r="AC123" s="34" t="n">
        <v>0.91</v>
      </c>
      <c r="AD123" s="34">
        <f>IF(OR(Q123="",BM123="",BM123=0),"",Q123/BM123)</f>
        <v/>
      </c>
      <c r="AE123" s="34">
        <f>IF(OR(T123="",BM123="",BM123=0),"",T123/BM123)</f>
        <v/>
      </c>
      <c r="AF123" s="34">
        <f>IF(OR(W123="",BM123="",BM123=0),"",W123/BM123)</f>
        <v/>
      </c>
      <c r="AG123" s="34">
        <f>IF(OR(Z123="",BM123="",BM123=0),"",Z123/BM123)</f>
        <v/>
      </c>
      <c r="AH123" s="34">
        <f>IF(OR(AC123="",BM123="",BM123=0),"",AC123/BM123)</f>
        <v/>
      </c>
      <c r="AI123" s="33" t="n"/>
      <c r="AJ123" s="33" t="n"/>
      <c r="AK123" s="33" t="n">
        <v>82</v>
      </c>
      <c r="AL123" s="33" t="n">
        <v>18</v>
      </c>
      <c r="AM123" s="33" t="n"/>
      <c r="AN123" s="33" t="n"/>
      <c r="AO123" s="33" t="n"/>
      <c r="AP123" s="33" t="n"/>
      <c r="AQ123" s="33" t="n"/>
      <c r="AR123" s="33" t="n"/>
      <c r="AS123" s="33" t="n"/>
      <c r="AT123" s="33" t="n"/>
      <c r="AU123" s="33" t="n"/>
      <c r="AV123" s="33" t="n"/>
      <c r="AW123" s="33" t="n"/>
      <c r="AX123" s="33" t="n"/>
      <c r="AY123" s="33" t="n"/>
      <c r="AZ123" s="33" t="n"/>
      <c r="BA123" s="33" t="n"/>
      <c r="BB123" s="33" t="n"/>
      <c r="BC123" s="33" t="n"/>
      <c r="BD123" s="33" t="n"/>
      <c r="BE123" s="33" t="n"/>
      <c r="BF123" s="33" t="n"/>
      <c r="BG123" s="33" t="n"/>
      <c r="BH123" s="33" t="n"/>
      <c r="BI123" s="33" t="n"/>
      <c r="BJ123" s="33" t="n"/>
      <c r="BK123" s="33" t="n"/>
      <c r="BL123" s="30" t="inlineStr">
        <is>
          <t>Government Investment Issue - 3.775% / 2045* | Projek Lebuhraya Usahasama Berhad - 5.00% / 2038* | Government Investment Issue - 4.291% / 2043* | IJM Treasury Management Sdn Bhd - 20/05/2026** | Johor Plantations Group Berhad - 4.19% / 2039*</t>
        </is>
      </c>
      <c r="BM123" s="33" t="n">
        <v>1.7</v>
      </c>
      <c r="BN123" s="29" t="inlineStr">
        <is>
          <t>Very Low</t>
        </is>
      </c>
      <c r="BO123" s="30" t="inlineStr">
        <is>
          <t>Bond Sukuk Malaysia</t>
        </is>
      </c>
      <c r="BP123" s="30" t="inlineStr">
        <is>
          <t>12-Month General Investment Account (GIA) rate (prior to 1 July 2025). Public Islamic Bank 12-Month Term Deposit-i (w.e.f. 1 July 2025).</t>
        </is>
      </c>
      <c r="BQ123" s="35" t="n">
        <v>1.1584</v>
      </c>
      <c r="BR123" s="29" t="inlineStr">
        <is>
          <t>2020-08-06</t>
        </is>
      </c>
      <c r="BS123" s="35" t="n">
        <v>1.103</v>
      </c>
      <c r="BT123" s="34" t="n">
        <v>-4.78</v>
      </c>
      <c r="BU123" s="31" t="n">
        <v>2139</v>
      </c>
    </row>
    <row r="124" ht="16" customHeight="1">
      <c r="A124" s="22" t="inlineStr">
        <is>
          <t>PB SUKUK FUND</t>
        </is>
      </c>
      <c r="B124" s="22" t="inlineStr">
        <is>
          <t>PBSKF</t>
        </is>
      </c>
      <c r="C124" s="22" t="inlineStr">
        <is>
          <t>Conventional</t>
        </is>
      </c>
      <c r="D124" s="22" t="inlineStr">
        <is>
          <t>Fixed Income</t>
        </is>
      </c>
      <c r="E124" s="23" t="inlineStr">
        <is>
          <t>Income</t>
        </is>
      </c>
      <c r="F124" s="24" t="n">
        <v>2</v>
      </c>
      <c r="G124" s="23" t="inlineStr">
        <is>
          <t>Annual</t>
        </is>
      </c>
      <c r="H124" s="25" t="n">
        <v>386.64</v>
      </c>
      <c r="I124" s="22" t="inlineStr">
        <is>
          <t>06.09.2011</t>
        </is>
      </c>
      <c r="J124" s="22" t="inlineStr">
        <is>
          <t>Qualified</t>
        </is>
      </c>
      <c r="K124" s="26" t="n">
        <v>80</v>
      </c>
      <c r="L124" s="22" t="inlineStr">
        <is>
          <t>4/5</t>
        </is>
      </c>
      <c r="M124" s="23" t="inlineStr">
        <is>
          <t>Qualified (WA: +1.02%) — YTD✘ 1Y✔ 3Y✔ 5Y✔ 10Y✔</t>
        </is>
      </c>
      <c r="N124" s="27" t="n">
        <v>1.02</v>
      </c>
      <c r="O124" s="27" t="n">
        <v>0.41</v>
      </c>
      <c r="P124" s="27" t="n">
        <v>0.66</v>
      </c>
      <c r="Q124" s="27" t="n">
        <v>-0.25</v>
      </c>
      <c r="R124" s="27" t="n">
        <v>2.99</v>
      </c>
      <c r="S124" s="27" t="n">
        <v>2.27</v>
      </c>
      <c r="T124" s="27" t="n">
        <v>0.72</v>
      </c>
      <c r="U124" s="27" t="n">
        <v>4.52</v>
      </c>
      <c r="V124" s="27" t="n">
        <v>3.07</v>
      </c>
      <c r="W124" s="27" t="n">
        <v>1.45</v>
      </c>
      <c r="X124" s="27" t="n">
        <v>3.65</v>
      </c>
      <c r="Y124" s="27" t="n">
        <v>2.89</v>
      </c>
      <c r="Z124" s="27" t="n">
        <v>0.76</v>
      </c>
      <c r="AA124" s="27" t="n">
        <v>4.04</v>
      </c>
      <c r="AB124" s="27" t="n">
        <v>3.03</v>
      </c>
      <c r="AC124" s="27" t="n">
        <v>1.01</v>
      </c>
      <c r="AD124" s="27">
        <f>IF(OR(Q124="",BM124="",BM124=0),"",Q124/BM124)</f>
        <v/>
      </c>
      <c r="AE124" s="27">
        <f>IF(OR(T124="",BM124="",BM124=0),"",T124/BM124)</f>
        <v/>
      </c>
      <c r="AF124" s="27">
        <f>IF(OR(W124="",BM124="",BM124=0),"",W124/BM124)</f>
        <v/>
      </c>
      <c r="AG124" s="27">
        <f>IF(OR(Z124="",BM124="",BM124=0),"",Z124/BM124)</f>
        <v/>
      </c>
      <c r="AH124" s="27">
        <f>IF(OR(AC124="",BM124="",BM124=0),"",AC124/BM124)</f>
        <v/>
      </c>
      <c r="AI124" s="26" t="n"/>
      <c r="AJ124" s="26" t="n"/>
      <c r="AK124" s="26" t="n">
        <v>82.8</v>
      </c>
      <c r="AL124" s="26" t="n">
        <v>17.2</v>
      </c>
      <c r="AM124" s="26" t="n"/>
      <c r="AN124" s="26" t="n"/>
      <c r="AO124" s="26" t="n"/>
      <c r="AP124" s="26" t="n"/>
      <c r="AQ124" s="26" t="n"/>
      <c r="AR124" s="26" t="n"/>
      <c r="AS124" s="26" t="n"/>
      <c r="AT124" s="26" t="n"/>
      <c r="AU124" s="26" t="n"/>
      <c r="AV124" s="26" t="n"/>
      <c r="AW124" s="26" t="n"/>
      <c r="AX124" s="26" t="n"/>
      <c r="AY124" s="26" t="n"/>
      <c r="AZ124" s="26" t="n"/>
      <c r="BA124" s="26" t="n"/>
      <c r="BB124" s="26" t="n"/>
      <c r="BC124" s="26" t="n"/>
      <c r="BD124" s="26" t="n"/>
      <c r="BE124" s="26" t="n"/>
      <c r="BF124" s="26" t="n"/>
      <c r="BG124" s="26" t="n"/>
      <c r="BH124" s="26" t="n"/>
      <c r="BI124" s="26" t="n"/>
      <c r="BJ124" s="26" t="n"/>
      <c r="BK124" s="26" t="n"/>
      <c r="BL124" s="23" t="inlineStr">
        <is>
          <t>Danum Capital Berhad - 3.82% / 2036* | Projek Lebuhraya Usahasama Berhad - 4.954% / 2037* | Tenaga Nasional Berhad - 4.98% / 2038* | Government Investment Issue - 4.638% / 2049* | Bank Islam Malaysia Berhad - 4.58% / 2029 / 2123*</t>
        </is>
      </c>
      <c r="BM124" s="26" t="n">
        <v>1.5</v>
      </c>
      <c r="BN124" s="22" t="inlineStr">
        <is>
          <t>Very Low</t>
        </is>
      </c>
      <c r="BO124" s="23" t="inlineStr">
        <is>
          <t>Bond Sukuk Malaysia</t>
        </is>
      </c>
      <c r="BP124" s="23" t="inlineStr">
        <is>
          <t>12-Month General Investment Account (GIA) rate (prior to 1 July 2025). Public Islamic Bank 12-Month Term Deposit-i (w.e.f. 1 July 2025).</t>
        </is>
      </c>
      <c r="BQ124" s="28" t="n">
        <v>1.1466</v>
      </c>
      <c r="BR124" s="22" t="inlineStr">
        <is>
          <t>2020-08-06</t>
        </is>
      </c>
      <c r="BS124" s="28" t="n">
        <v>1.0766</v>
      </c>
      <c r="BT124" s="27" t="n">
        <v>-6.11</v>
      </c>
      <c r="BU124" s="24" t="n">
        <v>2139</v>
      </c>
    </row>
    <row r="125" ht="16" customHeight="1">
      <c r="A125" s="37" t="inlineStr">
        <is>
          <t>PUBLIC ISLAMIC STRATEGIC BOND FUND</t>
        </is>
      </c>
      <c r="B125" s="37" t="inlineStr">
        <is>
          <t>PISTBF</t>
        </is>
      </c>
      <c r="C125" s="37" t="inlineStr">
        <is>
          <t>Shariah</t>
        </is>
      </c>
      <c r="D125" s="37" t="inlineStr">
        <is>
          <t>Fixed Income</t>
        </is>
      </c>
      <c r="E125" s="30" t="inlineStr">
        <is>
          <t>Income</t>
        </is>
      </c>
      <c r="F125" s="31" t="n">
        <v>2</v>
      </c>
      <c r="G125" s="30" t="inlineStr">
        <is>
          <t>Annual</t>
        </is>
      </c>
      <c r="H125" s="32" t="n">
        <v>254.45</v>
      </c>
      <c r="I125" s="29" t="inlineStr">
        <is>
          <t>30.12.2010</t>
        </is>
      </c>
      <c r="J125" s="29" t="inlineStr">
        <is>
          <t>Qualified</t>
        </is>
      </c>
      <c r="K125" s="33" t="n">
        <v>80</v>
      </c>
      <c r="L125" s="29" t="inlineStr">
        <is>
          <t>4/5</t>
        </is>
      </c>
      <c r="M125" s="30" t="inlineStr">
        <is>
          <t>Qualified (WA: +0.97%) — YTD✘ 1Y✔ 3Y✔ 5Y✔ 10Y✔</t>
        </is>
      </c>
      <c r="N125" s="34" t="n">
        <v>0.97</v>
      </c>
      <c r="O125" s="34" t="n">
        <v>0.51</v>
      </c>
      <c r="P125" s="34" t="n">
        <v>0.66</v>
      </c>
      <c r="Q125" s="34" t="n">
        <v>-0.15</v>
      </c>
      <c r="R125" s="34" t="n">
        <v>3.16</v>
      </c>
      <c r="S125" s="34" t="n">
        <v>2.27</v>
      </c>
      <c r="T125" s="34" t="n">
        <v>0.89</v>
      </c>
      <c r="U125" s="34" t="n">
        <v>4.33</v>
      </c>
      <c r="V125" s="34" t="n">
        <v>3.07</v>
      </c>
      <c r="W125" s="34" t="n">
        <v>1.26</v>
      </c>
      <c r="X125" s="34" t="n">
        <v>3.73</v>
      </c>
      <c r="Y125" s="34" t="n">
        <v>2.89</v>
      </c>
      <c r="Z125" s="34" t="n">
        <v>0.84</v>
      </c>
      <c r="AA125" s="34" t="n">
        <v>3.87</v>
      </c>
      <c r="AB125" s="34" t="n">
        <v>3.03</v>
      </c>
      <c r="AC125" s="34" t="n">
        <v>0.84</v>
      </c>
      <c r="AD125" s="34">
        <f>IF(OR(Q125="",BM125="",BM125=0),"",Q125/BM125)</f>
        <v/>
      </c>
      <c r="AE125" s="34">
        <f>IF(OR(T125="",BM125="",BM125=0),"",T125/BM125)</f>
        <v/>
      </c>
      <c r="AF125" s="34">
        <f>IF(OR(W125="",BM125="",BM125=0),"",W125/BM125)</f>
        <v/>
      </c>
      <c r="AG125" s="34">
        <f>IF(OR(Z125="",BM125="",BM125=0),"",Z125/BM125)</f>
        <v/>
      </c>
      <c r="AH125" s="34">
        <f>IF(OR(AC125="",BM125="",BM125=0),"",AC125/BM125)</f>
        <v/>
      </c>
      <c r="AI125" s="33" t="n"/>
      <c r="AJ125" s="33" t="n"/>
      <c r="AK125" s="33" t="n">
        <v>80.7</v>
      </c>
      <c r="AL125" s="33" t="n">
        <v>19.3</v>
      </c>
      <c r="AM125" s="33" t="n"/>
      <c r="AN125" s="33" t="n"/>
      <c r="AO125" s="33" t="n"/>
      <c r="AP125" s="33" t="n"/>
      <c r="AQ125" s="33" t="n"/>
      <c r="AR125" s="33" t="n"/>
      <c r="AS125" s="33" t="n"/>
      <c r="AT125" s="33" t="n"/>
      <c r="AU125" s="33" t="n"/>
      <c r="AV125" s="33" t="n"/>
      <c r="AW125" s="33" t="n"/>
      <c r="AX125" s="33" t="n"/>
      <c r="AY125" s="33" t="n"/>
      <c r="AZ125" s="33" t="n"/>
      <c r="BA125" s="33" t="n"/>
      <c r="BB125" s="33" t="n"/>
      <c r="BC125" s="33" t="n"/>
      <c r="BD125" s="33" t="n"/>
      <c r="BE125" s="33" t="n"/>
      <c r="BF125" s="33" t="n"/>
      <c r="BG125" s="33" t="n"/>
      <c r="BH125" s="33" t="n"/>
      <c r="BI125" s="33" t="n"/>
      <c r="BJ125" s="33" t="n"/>
      <c r="BK125" s="33" t="n"/>
      <c r="BL125" s="30" t="inlineStr">
        <is>
          <t>CIMB Islamic Bank Berhad - 4.07% / 2035*</t>
        </is>
      </c>
      <c r="BM125" s="33" t="n">
        <v>1.3</v>
      </c>
      <c r="BN125" s="29" t="inlineStr">
        <is>
          <t>Very Low</t>
        </is>
      </c>
      <c r="BO125" s="30" t="inlineStr">
        <is>
          <t>Bond Sukuk Malaysia</t>
        </is>
      </c>
      <c r="BP125" s="30" t="inlineStr">
        <is>
          <t>12-Month General Investment Account (GIA) rate (prior to 1 July 2025). Public Islamic Bank 12-Month Term Deposit-i (w.e.f. 1 July 2025).</t>
        </is>
      </c>
      <c r="BQ125" s="35" t="n">
        <v>1.111</v>
      </c>
      <c r="BR125" s="29" t="inlineStr">
        <is>
          <t>2020-11-09</t>
        </is>
      </c>
      <c r="BS125" s="35" t="n">
        <v>1.0536</v>
      </c>
      <c r="BT125" s="34" t="n">
        <v>-5.17</v>
      </c>
      <c r="BU125" s="31" t="n">
        <v>2044</v>
      </c>
    </row>
    <row r="126" ht="16" customHeight="1">
      <c r="A126" s="22" t="inlineStr">
        <is>
          <t>PUBLIC SELECT BOND FUND</t>
        </is>
      </c>
      <c r="B126" s="22" t="inlineStr">
        <is>
          <t>PSBF</t>
        </is>
      </c>
      <c r="C126" s="22" t="inlineStr">
        <is>
          <t>Conventional</t>
        </is>
      </c>
      <c r="D126" s="22" t="inlineStr">
        <is>
          <t>Fixed Income</t>
        </is>
      </c>
      <c r="E126" s="23" t="inlineStr">
        <is>
          <t>Income</t>
        </is>
      </c>
      <c r="F126" s="24" t="n">
        <v>2</v>
      </c>
      <c r="G126" s="23" t="inlineStr">
        <is>
          <t>Annual</t>
        </is>
      </c>
      <c r="H126" s="25" t="n">
        <v>305.15</v>
      </c>
      <c r="I126" s="22" t="inlineStr">
        <is>
          <t>22.11.2005</t>
        </is>
      </c>
      <c r="J126" s="22" t="inlineStr">
        <is>
          <t>Qualified</t>
        </is>
      </c>
      <c r="K126" s="26" t="n">
        <v>100</v>
      </c>
      <c r="L126" s="22" t="inlineStr">
        <is>
          <t>5/5</t>
        </is>
      </c>
      <c r="M126" s="23" t="inlineStr">
        <is>
          <t>Qualified (WA: +0.95%) — YTD✔ 1Y✔ 3Y✔ 5Y✔ 10Y✔</t>
        </is>
      </c>
      <c r="N126" s="27" t="n">
        <v>0.95</v>
      </c>
      <c r="O126" s="27" t="n">
        <v>0.77</v>
      </c>
      <c r="P126" s="27" t="n">
        <v>0.67</v>
      </c>
      <c r="Q126" s="27" t="n">
        <v>0.1</v>
      </c>
      <c r="R126" s="27" t="n">
        <v>3.4</v>
      </c>
      <c r="S126" s="27" t="n">
        <v>2.15</v>
      </c>
      <c r="T126" s="27" t="n">
        <v>1.25</v>
      </c>
      <c r="U126" s="27" t="n">
        <v>3.67</v>
      </c>
      <c r="V126" s="27" t="n">
        <v>2.5</v>
      </c>
      <c r="W126" s="27" t="n">
        <v>1.17</v>
      </c>
      <c r="X126" s="27" t="n">
        <v>3</v>
      </c>
      <c r="Y126" s="27" t="n">
        <v>2.38</v>
      </c>
      <c r="Z126" s="27" t="n">
        <v>0.62</v>
      </c>
      <c r="AA126" s="27" t="n">
        <v>3.57</v>
      </c>
      <c r="AB126" s="27" t="n">
        <v>2.65</v>
      </c>
      <c r="AC126" s="27" t="n">
        <v>0.92</v>
      </c>
      <c r="AD126" s="27">
        <f>IF(OR(Q126="",BM126="",BM126=0),"",Q126/BM126)</f>
        <v/>
      </c>
      <c r="AE126" s="27">
        <f>IF(OR(T126="",BM126="",BM126=0),"",T126/BM126)</f>
        <v/>
      </c>
      <c r="AF126" s="27">
        <f>IF(OR(W126="",BM126="",BM126=0),"",W126/BM126)</f>
        <v/>
      </c>
      <c r="AG126" s="27">
        <f>IF(OR(Z126="",BM126="",BM126=0),"",Z126/BM126)</f>
        <v/>
      </c>
      <c r="AH126" s="27">
        <f>IF(OR(AC126="",BM126="",BM126=0),"",AC126/BM126)</f>
        <v/>
      </c>
      <c r="AI126" s="26" t="n"/>
      <c r="AJ126" s="26" t="n"/>
      <c r="AK126" s="26" t="n">
        <v>87.7</v>
      </c>
      <c r="AL126" s="26" t="n">
        <v>12.3</v>
      </c>
      <c r="AM126" s="26" t="n"/>
      <c r="AN126" s="26" t="n"/>
      <c r="AO126" s="26" t="n"/>
      <c r="AP126" s="26" t="n"/>
      <c r="AQ126" s="26" t="n"/>
      <c r="AR126" s="26" t="n"/>
      <c r="AS126" s="26" t="n"/>
      <c r="AT126" s="26" t="n"/>
      <c r="AU126" s="26" t="n"/>
      <c r="AV126" s="26" t="n"/>
      <c r="AW126" s="26" t="n"/>
      <c r="AX126" s="26" t="n"/>
      <c r="AY126" s="26" t="n"/>
      <c r="AZ126" s="26" t="n"/>
      <c r="BA126" s="26" t="n"/>
      <c r="BB126" s="26" t="n"/>
      <c r="BC126" s="26" t="n"/>
      <c r="BD126" s="26" t="n"/>
      <c r="BE126" s="26" t="n"/>
      <c r="BF126" s="26" t="n"/>
      <c r="BG126" s="26" t="n"/>
      <c r="BH126" s="26" t="n"/>
      <c r="BI126" s="26" t="n"/>
      <c r="BJ126" s="26" t="n"/>
      <c r="BK126" s="26" t="n"/>
      <c r="BL126" s="23" t="inlineStr">
        <is>
          <t>CIMB Islamic Bank Berhad - 4.03% / 2031* | Bank Islam Malaysia Berhad - 3.85% / 2032* | PNB Merdeka Ventures Sdn Bhd - 3.79% / 2032*</t>
        </is>
      </c>
      <c r="BM126" s="26" t="n">
        <v>0.9</v>
      </c>
      <c r="BN126" s="22" t="inlineStr">
        <is>
          <t>Very Low</t>
        </is>
      </c>
      <c r="BO126" s="23" t="inlineStr">
        <is>
          <t>Bond MYR</t>
        </is>
      </c>
      <c r="BP126" s="23" t="n"/>
      <c r="BQ126" s="28" t="n">
        <v>1.082</v>
      </c>
      <c r="BR126" s="22" t="inlineStr">
        <is>
          <t>2007-05-23</t>
        </is>
      </c>
      <c r="BS126" s="28" t="n">
        <v>0.9917</v>
      </c>
      <c r="BT126" s="27" t="n">
        <v>-8.35</v>
      </c>
      <c r="BU126" s="24" t="n">
        <v>6963</v>
      </c>
    </row>
    <row r="127" ht="16" customHeight="1">
      <c r="A127" s="37" t="inlineStr">
        <is>
          <t>PUBLICINSTITUTIONAL BOND FUND</t>
        </is>
      </c>
      <c r="B127" s="37" t="inlineStr">
        <is>
          <t>PIN BOND</t>
        </is>
      </c>
      <c r="C127" s="37" t="inlineStr">
        <is>
          <t>Shariah</t>
        </is>
      </c>
      <c r="D127" s="37" t="inlineStr">
        <is>
          <t>Fixed Income</t>
        </is>
      </c>
      <c r="E127" s="30" t="inlineStr">
        <is>
          <t>Income</t>
        </is>
      </c>
      <c r="F127" s="31" t="n">
        <v>2</v>
      </c>
      <c r="G127" s="30" t="inlineStr">
        <is>
          <t>Annual</t>
        </is>
      </c>
      <c r="H127" s="32" t="n">
        <v>2850.29</v>
      </c>
      <c r="I127" s="29" t="inlineStr">
        <is>
          <t>30.04.2003</t>
        </is>
      </c>
      <c r="J127" s="29" t="inlineStr">
        <is>
          <t>Qualified</t>
        </is>
      </c>
      <c r="K127" s="33" t="n">
        <v>80</v>
      </c>
      <c r="L127" s="29" t="inlineStr">
        <is>
          <t>4/5</t>
        </is>
      </c>
      <c r="M127" s="30" t="inlineStr">
        <is>
          <t>Qualified (WA: +0.83%) — YTD✔ 1Y✔ 3Y✔ 5Y✔ 10Y✘</t>
        </is>
      </c>
      <c r="N127" s="34" t="n">
        <v>0.83</v>
      </c>
      <c r="O127" s="34" t="n">
        <v>0.79</v>
      </c>
      <c r="P127" s="34" t="n">
        <v>0.66</v>
      </c>
      <c r="Q127" s="34" t="n">
        <v>0.13</v>
      </c>
      <c r="R127" s="34" t="n">
        <v>3.17</v>
      </c>
      <c r="S127" s="34" t="n">
        <v>2.12</v>
      </c>
      <c r="T127" s="34" t="n">
        <v>1.05</v>
      </c>
      <c r="U127" s="34" t="n">
        <v>3.83</v>
      </c>
      <c r="V127" s="34" t="n">
        <v>2.46</v>
      </c>
      <c r="W127" s="34" t="n">
        <v>1.37</v>
      </c>
      <c r="X127" s="34" t="n">
        <v>3.28</v>
      </c>
      <c r="Y127" s="34" t="n">
        <v>2.35</v>
      </c>
      <c r="Z127" s="34" t="n">
        <v>0.93</v>
      </c>
      <c r="AA127" s="34" t="n">
        <v>3.81</v>
      </c>
      <c r="AB127" s="34" t="n">
        <v>4.59</v>
      </c>
      <c r="AC127" s="34" t="n">
        <v>-0.78</v>
      </c>
      <c r="AD127" s="34">
        <f>IF(OR(Q127="",BM127="",BM127=0),"",Q127/BM127)</f>
        <v/>
      </c>
      <c r="AE127" s="34">
        <f>IF(OR(T127="",BM127="",BM127=0),"",T127/BM127)</f>
        <v/>
      </c>
      <c r="AF127" s="34">
        <f>IF(OR(W127="",BM127="",BM127=0),"",W127/BM127)</f>
        <v/>
      </c>
      <c r="AG127" s="34">
        <f>IF(OR(Z127="",BM127="",BM127=0),"",Z127/BM127)</f>
        <v/>
      </c>
      <c r="AH127" s="34">
        <f>IF(OR(AC127="",BM127="",BM127=0),"",AC127/BM127)</f>
        <v/>
      </c>
      <c r="AI127" s="33" t="n"/>
      <c r="AJ127" s="33" t="n"/>
      <c r="AK127" s="33" t="n">
        <v>80.2</v>
      </c>
      <c r="AL127" s="33" t="n">
        <v>19.8</v>
      </c>
      <c r="AM127" s="33" t="n"/>
      <c r="AN127" s="33" t="n"/>
      <c r="AO127" s="33" t="n"/>
      <c r="AP127" s="33" t="n"/>
      <c r="AQ127" s="33" t="n"/>
      <c r="AR127" s="33" t="n"/>
      <c r="AS127" s="33" t="n"/>
      <c r="AT127" s="33" t="n"/>
      <c r="AU127" s="33" t="n"/>
      <c r="AV127" s="33" t="n"/>
      <c r="AW127" s="33" t="n"/>
      <c r="AX127" s="33" t="n"/>
      <c r="AY127" s="33" t="n"/>
      <c r="AZ127" s="33" t="n"/>
      <c r="BA127" s="33" t="n"/>
      <c r="BB127" s="33" t="n"/>
      <c r="BC127" s="33" t="n"/>
      <c r="BD127" s="33" t="n"/>
      <c r="BE127" s="33" t="n"/>
      <c r="BF127" s="33" t="n"/>
      <c r="BG127" s="33" t="n"/>
      <c r="BH127" s="33" t="n"/>
      <c r="BI127" s="33" t="n"/>
      <c r="BJ127" s="33" t="n"/>
      <c r="BK127" s="33" t="n"/>
      <c r="BL127" s="30" t="inlineStr">
        <is>
          <t>AmBank (M) Berhad - 4.55% / 2028 / 2033* | RHB Bank Berhad - 3.81% / 2032** | AmBank Islamic Berhad - 4.10% / 2031** | Tenaga Nasional Berhad - 4.78% / 2033** | Maybank Islamic Berhad - 3.61% / 2031**</t>
        </is>
      </c>
      <c r="BM127" s="33" t="n">
        <v>0.6</v>
      </c>
      <c r="BN127" s="29" t="inlineStr">
        <is>
          <t>Very Low</t>
        </is>
      </c>
      <c r="BO127" s="30" t="inlineStr">
        <is>
          <t>Bond MYR</t>
        </is>
      </c>
      <c r="BP127" s="30" t="inlineStr">
        <is>
          <t>The benchmark for PIN BOND is Corporate Bond Index - 1 Year and Above (CORP1V)whichisabondindexdevelopedbyCIMBBank Berhadtotrack the changesinvaluesofabasketcomprisingofallcorporatebondswithmaturitiesof 1yearandabove(priorto1December2020),12-Monthfixeddepositrate(12-MFD) quoted by Public Bank Berhad (w.e.f. 1 December 2020).</t>
        </is>
      </c>
      <c r="BQ127" s="35" t="n">
        <v>1.057</v>
      </c>
      <c r="BR127" s="29" t="inlineStr">
        <is>
          <t>2020-09-09</t>
        </is>
      </c>
      <c r="BS127" s="35" t="n">
        <v>1.017</v>
      </c>
      <c r="BT127" s="34" t="n">
        <v>-3.78</v>
      </c>
      <c r="BU127" s="31" t="n">
        <v>2105</v>
      </c>
    </row>
    <row r="128" ht="16" customHeight="1">
      <c r="A128" s="36" t="inlineStr">
        <is>
          <t>PUBLIC e-ISLAMIC INCOME FUND</t>
        </is>
      </c>
      <c r="B128" s="36" t="inlineStr">
        <is>
          <t>PeISINCF</t>
        </is>
      </c>
      <c r="C128" s="36" t="inlineStr">
        <is>
          <t>Shariah</t>
        </is>
      </c>
      <c r="D128" s="36" t="inlineStr">
        <is>
          <t>Fixed Income</t>
        </is>
      </c>
      <c r="E128" s="23" t="inlineStr">
        <is>
          <t>Income</t>
        </is>
      </c>
      <c r="F128" s="24" t="n">
        <v>2</v>
      </c>
      <c r="G128" s="23" t="inlineStr">
        <is>
          <t>Annual</t>
        </is>
      </c>
      <c r="H128" s="25" t="n">
        <v>39.92</v>
      </c>
      <c r="I128" s="22" t="inlineStr">
        <is>
          <t>01.07.2020</t>
        </is>
      </c>
      <c r="J128" s="22" t="inlineStr">
        <is>
          <t>Qualified</t>
        </is>
      </c>
      <c r="K128" s="26" t="n">
        <v>100</v>
      </c>
      <c r="L128" s="22" t="inlineStr">
        <is>
          <t>4/4</t>
        </is>
      </c>
      <c r="M128" s="23" t="inlineStr">
        <is>
          <t>Qualified (WA: +0.72%) — YTD✔ 1Y✔ 3Y✔ 5Y✔</t>
        </is>
      </c>
      <c r="N128" s="27" t="n">
        <v>0.72</v>
      </c>
      <c r="O128" s="27" t="n">
        <v>0.89</v>
      </c>
      <c r="P128" s="27" t="n">
        <v>0.61</v>
      </c>
      <c r="Q128" s="27" t="n">
        <v>0.28</v>
      </c>
      <c r="R128" s="27" t="n">
        <v>3.32</v>
      </c>
      <c r="S128" s="27" t="n">
        <v>2.05</v>
      </c>
      <c r="T128" s="27" t="n">
        <v>1.27</v>
      </c>
      <c r="U128" s="27" t="n">
        <v>3.46</v>
      </c>
      <c r="V128" s="27" t="n">
        <v>2.62</v>
      </c>
      <c r="W128" s="27" t="n">
        <v>0.84</v>
      </c>
      <c r="X128" s="27" t="n">
        <v>2.75</v>
      </c>
      <c r="Y128" s="27" t="n">
        <v>2.46</v>
      </c>
      <c r="Z128" s="27" t="n">
        <v>0.29</v>
      </c>
      <c r="AA128" s="27" t="n"/>
      <c r="AB128" s="27" t="n"/>
      <c r="AC128" s="27" t="n"/>
      <c r="AD128" s="27">
        <f>IF(OR(Q128="",BM128="",BM128=0),"",Q128/BM128)</f>
        <v/>
      </c>
      <c r="AE128" s="27">
        <f>IF(OR(T128="",BM128="",BM128=0),"",T128/BM128)</f>
        <v/>
      </c>
      <c r="AF128" s="27">
        <f>IF(OR(W128="",BM128="",BM128=0),"",W128/BM128)</f>
        <v/>
      </c>
      <c r="AG128" s="27">
        <f>IF(OR(Z128="",BM128="",BM128=0),"",Z128/BM128)</f>
        <v/>
      </c>
      <c r="AH128" s="27">
        <f>IF(OR(AC128="",BM128="",BM128=0),"",AC128/BM128)</f>
        <v/>
      </c>
      <c r="AI128" s="26" t="n"/>
      <c r="AJ128" s="26" t="n"/>
      <c r="AK128" s="26" t="n">
        <v>36.4</v>
      </c>
      <c r="AL128" s="26" t="n">
        <v>63.6</v>
      </c>
      <c r="AM128" s="26" t="n"/>
      <c r="AN128" s="26" t="n"/>
      <c r="AO128" s="26" t="n"/>
      <c r="AP128" s="26" t="n"/>
      <c r="AQ128" s="26" t="n"/>
      <c r="AR128" s="26" t="n"/>
      <c r="AS128" s="26" t="n"/>
      <c r="AT128" s="26" t="n"/>
      <c r="AU128" s="26" t="n"/>
      <c r="AV128" s="26" t="n"/>
      <c r="AW128" s="26" t="n"/>
      <c r="AX128" s="26" t="n"/>
      <c r="AY128" s="26" t="n"/>
      <c r="AZ128" s="26" t="n"/>
      <c r="BA128" s="26" t="n"/>
      <c r="BB128" s="26" t="n"/>
      <c r="BC128" s="26" t="n"/>
      <c r="BD128" s="26" t="n"/>
      <c r="BE128" s="26" t="n"/>
      <c r="BF128" s="26" t="n"/>
      <c r="BG128" s="26" t="n"/>
      <c r="BH128" s="26" t="n"/>
      <c r="BI128" s="26" t="n"/>
      <c r="BJ128" s="26" t="n"/>
      <c r="BK128" s="26" t="n"/>
      <c r="BL128" s="23" t="inlineStr">
        <is>
          <t>IJM Treasury Management Sdn Bhd - 20/05/2026** | Sabah Credit Corporation - 3.66% / 2032* | CIMB Islamic Bank Berhad - 4.07% / 2035* | Bank Islam Malaysia Berhad - 4.58% / 2029 / 2123* | Petroleum Sarawak E&amp;P Sdn Bhd - 3.64% / 2032*</t>
        </is>
      </c>
      <c r="BM128" s="26" t="n">
        <v>0.3</v>
      </c>
      <c r="BN128" s="22" t="inlineStr">
        <is>
          <t>Very Low</t>
        </is>
      </c>
      <c r="BO128" s="23" t="inlineStr">
        <is>
          <t>Bond Sukuk Malaysia</t>
        </is>
      </c>
      <c r="BP128" s="23" t="inlineStr">
        <is>
          <t>50%12-MonthGeneralInvestmentAccountRate(priorto1July2025),50%Public IslamicBank12-MonthTermDeposit-i(w.e.f.1July2025)and50%PublicIslamic Bank 1-Month Term Deposit-i.</t>
        </is>
      </c>
      <c r="BQ128" s="28" t="n">
        <v>1.037</v>
      </c>
      <c r="BR128" s="22" t="inlineStr">
        <is>
          <t>2025-07-31</t>
        </is>
      </c>
      <c r="BS128" s="28" t="n">
        <v>1.0306</v>
      </c>
      <c r="BT128" s="27" t="n">
        <v>-0.62</v>
      </c>
      <c r="BU128" s="24" t="n">
        <v>319</v>
      </c>
    </row>
    <row r="129" ht="16" customHeight="1">
      <c r="A129" s="37" t="inlineStr">
        <is>
          <t>PUBLIC ISLAMIC SELECT BOND</t>
        </is>
      </c>
      <c r="B129" s="37" t="inlineStr">
        <is>
          <t>PISBF</t>
        </is>
      </c>
      <c r="C129" s="37" t="inlineStr">
        <is>
          <t>Shariah</t>
        </is>
      </c>
      <c r="D129" s="37" t="inlineStr">
        <is>
          <t>Fixed Income</t>
        </is>
      </c>
      <c r="E129" s="30" t="inlineStr">
        <is>
          <t>Income</t>
        </is>
      </c>
      <c r="F129" s="31" t="n">
        <v>2</v>
      </c>
      <c r="G129" s="30" t="inlineStr">
        <is>
          <t>Annual</t>
        </is>
      </c>
      <c r="H129" s="32" t="n">
        <v>247.85</v>
      </c>
      <c r="I129" s="29" t="inlineStr">
        <is>
          <t>10.07.2007</t>
        </is>
      </c>
      <c r="J129" s="29" t="inlineStr">
        <is>
          <t>Qualified</t>
        </is>
      </c>
      <c r="K129" s="33" t="n">
        <v>100</v>
      </c>
      <c r="L129" s="29" t="inlineStr">
        <is>
          <t>5/5</t>
        </is>
      </c>
      <c r="M129" s="30" t="inlineStr">
        <is>
          <t>Qualified (WA: +0.62%) — YTD✔ 1Y✔ 3Y✔ 5Y✔ 10Y✔</t>
        </is>
      </c>
      <c r="N129" s="34" t="n">
        <v>0.62</v>
      </c>
      <c r="O129" s="34" t="n">
        <v>0.78</v>
      </c>
      <c r="P129" s="34" t="n">
        <v>0.66</v>
      </c>
      <c r="Q129" s="34" t="n">
        <v>0.12</v>
      </c>
      <c r="R129" s="34" t="n">
        <v>3.41</v>
      </c>
      <c r="S129" s="34" t="n">
        <v>2.27</v>
      </c>
      <c r="T129" s="34" t="n">
        <v>1.14</v>
      </c>
      <c r="U129" s="34" t="n">
        <v>3.79</v>
      </c>
      <c r="V129" s="34" t="n">
        <v>3.07</v>
      </c>
      <c r="W129" s="34" t="n">
        <v>0.72</v>
      </c>
      <c r="X129" s="34" t="n">
        <v>3.14</v>
      </c>
      <c r="Y129" s="34" t="n">
        <v>2.89</v>
      </c>
      <c r="Z129" s="34" t="n">
        <v>0.25</v>
      </c>
      <c r="AA129" s="34" t="n">
        <v>3.63</v>
      </c>
      <c r="AB129" s="34" t="n">
        <v>3.03</v>
      </c>
      <c r="AC129" s="34" t="n">
        <v>0.6</v>
      </c>
      <c r="AD129" s="34">
        <f>IF(OR(Q129="",BM129="",BM129=0),"",Q129/BM129)</f>
        <v/>
      </c>
      <c r="AE129" s="34">
        <f>IF(OR(T129="",BM129="",BM129=0),"",T129/BM129)</f>
        <v/>
      </c>
      <c r="AF129" s="34">
        <f>IF(OR(W129="",BM129="",BM129=0),"",W129/BM129)</f>
        <v/>
      </c>
      <c r="AG129" s="34">
        <f>IF(OR(Z129="",BM129="",BM129=0),"",Z129/BM129)</f>
        <v/>
      </c>
      <c r="AH129" s="34">
        <f>IF(OR(AC129="",BM129="",BM129=0),"",AC129/BM129)</f>
        <v/>
      </c>
      <c r="AI129" s="33" t="n"/>
      <c r="AJ129" s="33" t="n"/>
      <c r="AK129" s="33" t="n">
        <v>81.3</v>
      </c>
      <c r="AL129" s="33" t="n">
        <v>18.7</v>
      </c>
      <c r="AM129" s="33" t="n"/>
      <c r="AN129" s="33" t="n"/>
      <c r="AO129" s="33" t="n"/>
      <c r="AP129" s="33" t="n"/>
      <c r="AQ129" s="33" t="n"/>
      <c r="AR129" s="33" t="n"/>
      <c r="AS129" s="33" t="n"/>
      <c r="AT129" s="33" t="n"/>
      <c r="AU129" s="33" t="n"/>
      <c r="AV129" s="33" t="n"/>
      <c r="AW129" s="33" t="n"/>
      <c r="AX129" s="33" t="n"/>
      <c r="AY129" s="33" t="n"/>
      <c r="AZ129" s="33" t="n"/>
      <c r="BA129" s="33" t="n"/>
      <c r="BB129" s="33" t="n"/>
      <c r="BC129" s="33" t="n"/>
      <c r="BD129" s="33" t="n"/>
      <c r="BE129" s="33" t="n"/>
      <c r="BF129" s="33" t="n"/>
      <c r="BG129" s="33" t="n"/>
      <c r="BH129" s="33" t="n"/>
      <c r="BI129" s="33" t="n"/>
      <c r="BJ129" s="33" t="n"/>
      <c r="BK129" s="33" t="n"/>
      <c r="BL129" s="30" t="inlineStr">
        <is>
          <t>Bank Islam Malaysia Berhad - 3.85% / 2032* | OSK Rated Bond Sdn Bhd - 4.05% / 2032*</t>
        </is>
      </c>
      <c r="BM129" s="33" t="n">
        <v>1</v>
      </c>
      <c r="BN129" s="29" t="inlineStr">
        <is>
          <t>Very Low</t>
        </is>
      </c>
      <c r="BO129" s="30" t="inlineStr">
        <is>
          <t>Bond Sukuk Malaysia</t>
        </is>
      </c>
      <c r="BP129" s="30" t="inlineStr">
        <is>
          <t>12-Month General Investment Account (GIA) rate (prior to 1 July 2025). Public Islamic Bank 12-Month Term Deposit-i (w.e.f. 1 July 2025).</t>
        </is>
      </c>
      <c r="BQ129" s="35" t="n">
        <v>1.098</v>
      </c>
      <c r="BR129" s="29" t="inlineStr">
        <is>
          <t>2020-07-30</t>
        </is>
      </c>
      <c r="BS129" s="35" t="n">
        <v>1.0519</v>
      </c>
      <c r="BT129" s="34" t="n">
        <v>-4.2</v>
      </c>
      <c r="BU129" s="31" t="n">
        <v>2146</v>
      </c>
    </row>
    <row r="130" ht="16" customHeight="1">
      <c r="A130" s="36" t="inlineStr">
        <is>
          <t>PUBLIC ISLAMIC INCOME FUND</t>
        </is>
      </c>
      <c r="B130" s="36" t="inlineStr">
        <is>
          <t>PI INCOME</t>
        </is>
      </c>
      <c r="C130" s="36" t="inlineStr">
        <is>
          <t>Shariah</t>
        </is>
      </c>
      <c r="D130" s="36" t="inlineStr">
        <is>
          <t>Fixed Income</t>
        </is>
      </c>
      <c r="E130" s="23" t="inlineStr">
        <is>
          <t>Income</t>
        </is>
      </c>
      <c r="F130" s="24" t="n">
        <v>2</v>
      </c>
      <c r="G130" s="23" t="inlineStr">
        <is>
          <t>Annual</t>
        </is>
      </c>
      <c r="H130" s="25" t="n">
        <v>116.16</v>
      </c>
      <c r="I130" s="22" t="inlineStr">
        <is>
          <t>14.08.2008</t>
        </is>
      </c>
      <c r="J130" s="22" t="inlineStr">
        <is>
          <t>Qualified</t>
        </is>
      </c>
      <c r="K130" s="26" t="n">
        <v>80</v>
      </c>
      <c r="L130" s="22" t="inlineStr">
        <is>
          <t>4/5</t>
        </is>
      </c>
      <c r="M130" s="23" t="inlineStr">
        <is>
          <t>Qualified (WA: +0.49%) — YTD✘ 1Y✔ 3Y✔ 5Y✔ 10Y✔</t>
        </is>
      </c>
      <c r="N130" s="27" t="n">
        <v>0.49</v>
      </c>
      <c r="O130" s="27" t="n">
        <v>0.63</v>
      </c>
      <c r="P130" s="27" t="n">
        <v>0.66</v>
      </c>
      <c r="Q130" s="27" t="n">
        <v>-0.03</v>
      </c>
      <c r="R130" s="27" t="n">
        <v>3.17</v>
      </c>
      <c r="S130" s="27" t="n">
        <v>2.27</v>
      </c>
      <c r="T130" s="27" t="n">
        <v>0.9</v>
      </c>
      <c r="U130" s="27" t="n">
        <v>3.74</v>
      </c>
      <c r="V130" s="27" t="n">
        <v>3.07</v>
      </c>
      <c r="W130" s="27" t="n">
        <v>0.67</v>
      </c>
      <c r="X130" s="27" t="n">
        <v>3.02</v>
      </c>
      <c r="Y130" s="27" t="n">
        <v>2.89</v>
      </c>
      <c r="Z130" s="27" t="n">
        <v>0.13</v>
      </c>
      <c r="AA130" s="27" t="n">
        <v>3.41</v>
      </c>
      <c r="AB130" s="27" t="n">
        <v>3.03</v>
      </c>
      <c r="AC130" s="27" t="n">
        <v>0.38</v>
      </c>
      <c r="AD130" s="27">
        <f>IF(OR(Q130="",BM130="",BM130=0),"",Q130/BM130)</f>
        <v/>
      </c>
      <c r="AE130" s="27">
        <f>IF(OR(T130="",BM130="",BM130=0),"",T130/BM130)</f>
        <v/>
      </c>
      <c r="AF130" s="27">
        <f>IF(OR(W130="",BM130="",BM130=0),"",W130/BM130)</f>
        <v/>
      </c>
      <c r="AG130" s="27">
        <f>IF(OR(Z130="",BM130="",BM130=0),"",Z130/BM130)</f>
        <v/>
      </c>
      <c r="AH130" s="27">
        <f>IF(OR(AC130="",BM130="",BM130=0),"",AC130/BM130)</f>
        <v/>
      </c>
      <c r="AI130" s="26" t="n"/>
      <c r="AJ130" s="26" t="n"/>
      <c r="AK130" s="26" t="n">
        <v>47.6</v>
      </c>
      <c r="AL130" s="26" t="n">
        <v>52.4</v>
      </c>
      <c r="AM130" s="26" t="n"/>
      <c r="AN130" s="26" t="n"/>
      <c r="AO130" s="26" t="n"/>
      <c r="AP130" s="26" t="n"/>
      <c r="AQ130" s="26" t="n"/>
      <c r="AR130" s="26" t="n"/>
      <c r="AS130" s="26" t="n"/>
      <c r="AT130" s="26" t="n"/>
      <c r="AU130" s="26" t="n"/>
      <c r="AV130" s="26" t="n"/>
      <c r="AW130" s="26" t="n"/>
      <c r="AX130" s="26" t="n"/>
      <c r="AY130" s="26" t="n"/>
      <c r="AZ130" s="26" t="n"/>
      <c r="BA130" s="26" t="n"/>
      <c r="BB130" s="26" t="n"/>
      <c r="BC130" s="26" t="n"/>
      <c r="BD130" s="26" t="n"/>
      <c r="BE130" s="26" t="n"/>
      <c r="BF130" s="26" t="n"/>
      <c r="BG130" s="26" t="n"/>
      <c r="BH130" s="26" t="n"/>
      <c r="BI130" s="26" t="n"/>
      <c r="BJ130" s="26" t="n"/>
      <c r="BK130" s="26" t="n"/>
      <c r="BL130" s="23" t="inlineStr">
        <is>
          <t>Projek Lebuhraya Usahasama Berhad - 5.00% / 2038* | Pengurusan Air SPV Berhad - 4.06% / 2039* | Sabah Credit Corporation - 4.10% / 2035* | CIMB Islamic Bank Berhad - 4.07% / 2035* | Gamuda Berhad - 3.99% / 2035*</t>
        </is>
      </c>
      <c r="BM130" s="26" t="n">
        <v>0.9</v>
      </c>
      <c r="BN130" s="22" t="inlineStr">
        <is>
          <t>Very Low</t>
        </is>
      </c>
      <c r="BO130" s="23" t="inlineStr">
        <is>
          <t>Consistent</t>
        </is>
      </c>
      <c r="BP130" s="23" t="inlineStr">
        <is>
          <t>12-Month General Investment Account (GIA) rate (prior to 1 July 2025). Public Islamic Bank 12-Month Term Deposit-i (w.e.f. 1 July 2025).</t>
        </is>
      </c>
      <c r="BQ130" s="28" t="n">
        <v>1.1306</v>
      </c>
      <c r="BR130" s="22" t="inlineStr">
        <is>
          <t>2020-07-30</t>
        </is>
      </c>
      <c r="BS130" s="28" t="n">
        <v>1.0571</v>
      </c>
      <c r="BT130" s="27" t="n">
        <v>-6.5</v>
      </c>
      <c r="BU130" s="24" t="n">
        <v>2146</v>
      </c>
    </row>
    <row r="131" ht="16" customHeight="1">
      <c r="A131" s="29" t="inlineStr">
        <is>
          <t>PUBLIC e-ENHANCED MONEY MARKET FUND -CLASS A</t>
        </is>
      </c>
      <c r="B131" s="29" t="inlineStr">
        <is>
          <t>PeEMMF-A</t>
        </is>
      </c>
      <c r="C131" s="29" t="inlineStr">
        <is>
          <t>Conventional</t>
        </is>
      </c>
      <c r="D131" s="29" t="inlineStr">
        <is>
          <t>Money Market</t>
        </is>
      </c>
      <c r="E131" s="30" t="inlineStr">
        <is>
          <t>Income</t>
        </is>
      </c>
      <c r="F131" s="31" t="n">
        <v>1</v>
      </c>
      <c r="G131" s="30" t="inlineStr">
        <is>
          <t>Annual</t>
        </is>
      </c>
      <c r="H131" s="32" t="n">
        <v>111.32</v>
      </c>
      <c r="I131" s="29" t="inlineStr">
        <is>
          <t>29.05.2019</t>
        </is>
      </c>
      <c r="J131" s="29" t="inlineStr">
        <is>
          <t>Qualified</t>
        </is>
      </c>
      <c r="K131" s="33" t="n">
        <v>100</v>
      </c>
      <c r="L131" s="29" t="inlineStr">
        <is>
          <t>4/4</t>
        </is>
      </c>
      <c r="M131" s="30" t="inlineStr">
        <is>
          <t>Qualified (WA: +1.27%) — YTD✔ 1Y✔ 3Y✔ 5Y✔</t>
        </is>
      </c>
      <c r="N131" s="34" t="n">
        <v>1.27</v>
      </c>
      <c r="O131" s="34" t="n">
        <v>1.04</v>
      </c>
      <c r="P131" s="34" t="n">
        <v>0.54</v>
      </c>
      <c r="Q131" s="34" t="n">
        <v>0.5</v>
      </c>
      <c r="R131" s="34" t="n">
        <v>3.28</v>
      </c>
      <c r="S131" s="34" t="n">
        <v>1.73</v>
      </c>
      <c r="T131" s="34" t="n">
        <v>1.55</v>
      </c>
      <c r="U131" s="34" t="n">
        <v>3.42</v>
      </c>
      <c r="V131" s="34" t="n">
        <v>2.03</v>
      </c>
      <c r="W131" s="34" t="n">
        <v>1.39</v>
      </c>
      <c r="X131" s="34" t="n">
        <v>2.96</v>
      </c>
      <c r="Y131" s="34" t="n">
        <v>1.91</v>
      </c>
      <c r="Z131" s="34" t="n">
        <v>1.05</v>
      </c>
      <c r="AA131" s="34" t="n"/>
      <c r="AB131" s="34" t="n"/>
      <c r="AC131" s="34" t="n"/>
      <c r="AD131" s="34">
        <f>IF(OR(Q131="",BM131="",BM131=0),"",Q131/BM131)</f>
        <v/>
      </c>
      <c r="AE131" s="34">
        <f>IF(OR(T131="",BM131="",BM131=0),"",T131/BM131)</f>
        <v/>
      </c>
      <c r="AF131" s="34">
        <f>IF(OR(W131="",BM131="",BM131=0),"",W131/BM131)</f>
        <v/>
      </c>
      <c r="AG131" s="34">
        <f>IF(OR(Z131="",BM131="",BM131=0),"",Z131/BM131)</f>
        <v/>
      </c>
      <c r="AH131" s="34">
        <f>IF(OR(AC131="",BM131="",BM131=0),"",AC131/BM131)</f>
        <v/>
      </c>
      <c r="AI131" s="33" t="n"/>
      <c r="AJ131" s="33" t="n"/>
      <c r="AK131" s="33" t="n">
        <v>6.7</v>
      </c>
      <c r="AL131" s="33" t="n">
        <v>93.3</v>
      </c>
      <c r="AM131" s="33" t="n"/>
      <c r="AN131" s="33" t="n"/>
      <c r="AO131" s="33" t="n"/>
      <c r="AP131" s="33" t="n"/>
      <c r="AQ131" s="33" t="n"/>
      <c r="AR131" s="33" t="n"/>
      <c r="AS131" s="33" t="n"/>
      <c r="AT131" s="33" t="n"/>
      <c r="AU131" s="33" t="n"/>
      <c r="AV131" s="33" t="n"/>
      <c r="AW131" s="33" t="n"/>
      <c r="AX131" s="33" t="n"/>
      <c r="AY131" s="33" t="n"/>
      <c r="AZ131" s="33" t="n"/>
      <c r="BA131" s="33" t="n"/>
      <c r="BB131" s="33" t="n"/>
      <c r="BC131" s="33" t="n"/>
      <c r="BD131" s="33" t="n"/>
      <c r="BE131" s="33" t="n"/>
      <c r="BF131" s="33" t="n"/>
      <c r="BG131" s="33" t="n"/>
      <c r="BH131" s="33" t="n"/>
      <c r="BI131" s="33" t="n"/>
      <c r="BJ131" s="33" t="n"/>
      <c r="BK131" s="33" t="n"/>
      <c r="BL131" s="30" t="n"/>
      <c r="BM131" s="33" t="n">
        <v>0.1</v>
      </c>
      <c r="BN131" s="29" t="inlineStr">
        <is>
          <t>Very Low</t>
        </is>
      </c>
      <c r="BO131" s="30" t="n"/>
      <c r="BP131" s="30" t="inlineStr">
        <is>
          <t>90%PublicBank1-MonthFixedDepositRate(FDR)and10%PublicBankSavings Rate - ACE Account.</t>
        </is>
      </c>
      <c r="BQ131" s="35" t="n">
        <v>1.049</v>
      </c>
      <c r="BR131" s="29" t="inlineStr">
        <is>
          <t>2024-11-29</t>
        </is>
      </c>
      <c r="BS131" s="35" t="n">
        <v>1.0198</v>
      </c>
      <c r="BT131" s="34" t="n">
        <v>-2.78</v>
      </c>
      <c r="BU131" s="31" t="n">
        <v>563</v>
      </c>
    </row>
    <row r="132" ht="16" customHeight="1">
      <c r="A132" s="22" t="inlineStr">
        <is>
          <t>PUBLIC e-CASH DEPOSIT FUND -CLASS A</t>
        </is>
      </c>
      <c r="B132" s="22" t="inlineStr">
        <is>
          <t>PeCDF-A</t>
        </is>
      </c>
      <c r="C132" s="22" t="inlineStr">
        <is>
          <t>Conventional</t>
        </is>
      </c>
      <c r="D132" s="22" t="inlineStr">
        <is>
          <t>Money Market</t>
        </is>
      </c>
      <c r="E132" s="23" t="inlineStr">
        <is>
          <t>Income</t>
        </is>
      </c>
      <c r="F132" s="24" t="n">
        <v>1</v>
      </c>
      <c r="G132" s="23" t="inlineStr">
        <is>
          <t>Monthly</t>
        </is>
      </c>
      <c r="H132" s="25" t="n">
        <v>3024.79</v>
      </c>
      <c r="I132" s="22" t="inlineStr">
        <is>
          <t>25.08.2014</t>
        </is>
      </c>
      <c r="J132" s="22" t="inlineStr">
        <is>
          <t>Qualified</t>
        </is>
      </c>
      <c r="K132" s="26" t="n">
        <v>100</v>
      </c>
      <c r="L132" s="22" t="inlineStr">
        <is>
          <t>5/5</t>
        </is>
      </c>
      <c r="M132" s="23" t="inlineStr">
        <is>
          <t>Qualified (WA: +1.25%) — YTD✔ 1Y✔ 3Y✔ 5Y✔ 10Y✔</t>
        </is>
      </c>
      <c r="N132" s="27" t="n">
        <v>1.25</v>
      </c>
      <c r="O132" s="27" t="n">
        <v>1.07</v>
      </c>
      <c r="P132" s="27" t="n">
        <v>0.54</v>
      </c>
      <c r="Q132" s="27" t="n">
        <v>0.53</v>
      </c>
      <c r="R132" s="27" t="n">
        <v>3.39</v>
      </c>
      <c r="S132" s="27" t="n">
        <v>1.73</v>
      </c>
      <c r="T132" s="27" t="n">
        <v>1.66</v>
      </c>
      <c r="U132" s="27" t="n">
        <v>3.51</v>
      </c>
      <c r="V132" s="27" t="n">
        <v>2.03</v>
      </c>
      <c r="W132" s="27" t="n">
        <v>1.48</v>
      </c>
      <c r="X132" s="27" t="n">
        <v>2.98</v>
      </c>
      <c r="Y132" s="27" t="n">
        <v>1.91</v>
      </c>
      <c r="Z132" s="27" t="n">
        <v>1.07</v>
      </c>
      <c r="AA132" s="27" t="n">
        <v>3.04</v>
      </c>
      <c r="AB132" s="27" t="n">
        <v>2.28</v>
      </c>
      <c r="AC132" s="27" t="n">
        <v>0.76</v>
      </c>
      <c r="AD132" s="27">
        <f>IF(OR(Q132="",BM132="",BM132=0),"",Q132/BM132)</f>
        <v/>
      </c>
      <c r="AE132" s="27">
        <f>IF(OR(T132="",BM132="",BM132=0),"",T132/BM132)</f>
        <v/>
      </c>
      <c r="AF132" s="27">
        <f>IF(OR(W132="",BM132="",BM132=0),"",W132/BM132)</f>
        <v/>
      </c>
      <c r="AG132" s="27">
        <f>IF(OR(Z132="",BM132="",BM132=0),"",Z132/BM132)</f>
        <v/>
      </c>
      <c r="AH132" s="27">
        <f>IF(OR(AC132="",BM132="",BM132=0),"",AC132/BM132)</f>
        <v/>
      </c>
      <c r="AI132" s="26" t="n"/>
      <c r="AJ132" s="26" t="n"/>
      <c r="AK132" s="26" t="n"/>
      <c r="AL132" s="26" t="n"/>
      <c r="AM132" s="26" t="n">
        <v>100</v>
      </c>
      <c r="AN132" s="26" t="n"/>
      <c r="AO132" s="26" t="n"/>
      <c r="AP132" s="26" t="n"/>
      <c r="AQ132" s="26" t="n"/>
      <c r="AR132" s="26" t="n"/>
      <c r="AS132" s="26" t="n"/>
      <c r="AT132" s="26" t="n"/>
      <c r="AU132" s="26" t="n"/>
      <c r="AV132" s="26" t="n"/>
      <c r="AW132" s="26" t="n"/>
      <c r="AX132" s="26" t="n"/>
      <c r="AY132" s="26" t="n"/>
      <c r="AZ132" s="26" t="n"/>
      <c r="BA132" s="26" t="n"/>
      <c r="BB132" s="26" t="n"/>
      <c r="BC132" s="26" t="n"/>
      <c r="BD132" s="26" t="n"/>
      <c r="BE132" s="26" t="n"/>
      <c r="BF132" s="26" t="n"/>
      <c r="BG132" s="26" t="n"/>
      <c r="BH132" s="26" t="n"/>
      <c r="BI132" s="26" t="n"/>
      <c r="BJ132" s="26" t="n"/>
      <c r="BK132" s="26" t="n"/>
      <c r="BL132" s="23" t="n"/>
      <c r="BM132" s="26" t="n">
        <v>0.1</v>
      </c>
      <c r="BN132" s="22" t="inlineStr">
        <is>
          <t>Very Low</t>
        </is>
      </c>
      <c r="BO132" s="23" t="n"/>
      <c r="BP132" s="23" t="inlineStr">
        <is>
          <t>90%PublicBank1-MonthFixedDepositRate(FDR)and10%PublicBankSavings Rate - ACE Account.</t>
        </is>
      </c>
      <c r="BQ132" s="28" t="n">
        <v>1.0033</v>
      </c>
      <c r="BR132" s="22" t="inlineStr">
        <is>
          <t>2018-10-31</t>
        </is>
      </c>
      <c r="BS132" s="28" t="n">
        <v>1.0015</v>
      </c>
      <c r="BT132" s="27" t="n">
        <v>-0.18</v>
      </c>
      <c r="BU132" s="24" t="n">
        <v>2784</v>
      </c>
    </row>
    <row r="133" ht="16" customHeight="1">
      <c r="A133" s="29" t="inlineStr">
        <is>
          <t>PUBLIC MONEY MARKET FUND -CLASS A</t>
        </is>
      </c>
      <c r="B133" s="29" t="inlineStr">
        <is>
          <t>PMMF-A</t>
        </is>
      </c>
      <c r="C133" s="29" t="inlineStr">
        <is>
          <t>Conventional</t>
        </is>
      </c>
      <c r="D133" s="29" t="inlineStr">
        <is>
          <t>Money Market</t>
        </is>
      </c>
      <c r="E133" s="30" t="inlineStr">
        <is>
          <t>Income</t>
        </is>
      </c>
      <c r="F133" s="31" t="n">
        <v>1</v>
      </c>
      <c r="G133" s="30" t="inlineStr">
        <is>
          <t>Annual</t>
        </is>
      </c>
      <c r="H133" s="32" t="n">
        <v>554.71</v>
      </c>
      <c r="I133" s="29" t="inlineStr">
        <is>
          <t>16.12.2003</t>
        </is>
      </c>
      <c r="J133" s="29" t="inlineStr">
        <is>
          <t>Qualified</t>
        </is>
      </c>
      <c r="K133" s="33" t="n">
        <v>100</v>
      </c>
      <c r="L133" s="29" t="inlineStr">
        <is>
          <t>5/5</t>
        </is>
      </c>
      <c r="M133" s="30" t="inlineStr">
        <is>
          <t>Qualified (WA: +1.17%) — YTD✔ 1Y✔ 3Y✔ 5Y✔ 10Y✔</t>
        </is>
      </c>
      <c r="N133" s="34" t="n">
        <v>1.17</v>
      </c>
      <c r="O133" s="34" t="n">
        <v>1.05</v>
      </c>
      <c r="P133" s="34" t="n">
        <v>0.54</v>
      </c>
      <c r="Q133" s="34" t="n">
        <v>0.51</v>
      </c>
      <c r="R133" s="34" t="n">
        <v>3.33</v>
      </c>
      <c r="S133" s="34" t="n">
        <v>1.73</v>
      </c>
      <c r="T133" s="34" t="n">
        <v>1.6</v>
      </c>
      <c r="U133" s="34" t="n">
        <v>3.42</v>
      </c>
      <c r="V133" s="34" t="n">
        <v>2.03</v>
      </c>
      <c r="W133" s="34" t="n">
        <v>1.39</v>
      </c>
      <c r="X133" s="34" t="n">
        <v>2.89</v>
      </c>
      <c r="Y133" s="34" t="n">
        <v>1.91</v>
      </c>
      <c r="Z133" s="34" t="n">
        <v>0.98</v>
      </c>
      <c r="AA133" s="34" t="n">
        <v>2.95</v>
      </c>
      <c r="AB133" s="34" t="n">
        <v>2.28</v>
      </c>
      <c r="AC133" s="34" t="n">
        <v>0.67</v>
      </c>
      <c r="AD133" s="34">
        <f>IF(OR(Q133="",BM133="",BM133=0),"",Q133/BM133)</f>
        <v/>
      </c>
      <c r="AE133" s="34">
        <f>IF(OR(T133="",BM133="",BM133=0),"",T133/BM133)</f>
        <v/>
      </c>
      <c r="AF133" s="34">
        <f>IF(OR(W133="",BM133="",BM133=0),"",W133/BM133)</f>
        <v/>
      </c>
      <c r="AG133" s="34">
        <f>IF(OR(Z133="",BM133="",BM133=0),"",Z133/BM133)</f>
        <v/>
      </c>
      <c r="AH133" s="34">
        <f>IF(OR(AC133="",BM133="",BM133=0),"",AC133/BM133)</f>
        <v/>
      </c>
      <c r="AI133" s="33" t="n"/>
      <c r="AJ133" s="33" t="n"/>
      <c r="AK133" s="33" t="n"/>
      <c r="AL133" s="33" t="n">
        <v>100</v>
      </c>
      <c r="AM133" s="33" t="n"/>
      <c r="AN133" s="33" t="n"/>
      <c r="AO133" s="33" t="n"/>
      <c r="AP133" s="33" t="n"/>
      <c r="AQ133" s="33" t="n"/>
      <c r="AR133" s="33" t="n"/>
      <c r="AS133" s="33" t="n"/>
      <c r="AT133" s="33" t="n"/>
      <c r="AU133" s="33" t="n"/>
      <c r="AV133" s="33" t="n"/>
      <c r="AW133" s="33" t="n"/>
      <c r="AX133" s="33" t="n"/>
      <c r="AY133" s="33" t="n"/>
      <c r="AZ133" s="33" t="n"/>
      <c r="BA133" s="33" t="n"/>
      <c r="BB133" s="33" t="n"/>
      <c r="BC133" s="33" t="n"/>
      <c r="BD133" s="33" t="n"/>
      <c r="BE133" s="33" t="n"/>
      <c r="BF133" s="33" t="n"/>
      <c r="BG133" s="33" t="n"/>
      <c r="BH133" s="33" t="n"/>
      <c r="BI133" s="33" t="n"/>
      <c r="BJ133" s="33" t="n"/>
      <c r="BK133" s="33" t="n"/>
      <c r="BL133" s="30" t="n"/>
      <c r="BM133" s="33" t="n">
        <v>0.1</v>
      </c>
      <c r="BN133" s="29" t="inlineStr">
        <is>
          <t>Very Low</t>
        </is>
      </c>
      <c r="BO133" s="30" t="n"/>
      <c r="BP133" s="30" t="inlineStr">
        <is>
          <t>3-Month Kuala Lumpur Interbank Offered Rate (KLIBOR) (prior to 30 April 2010). 1-MonthKualaLumpurInterbankOfferedRate(KLIBOR)(30April2010to29April 2013). 90%PublicBank1-MonthFixedDepositRate(FDR)and10%PublicBankSavings Rate - ACE Account (w.e.f. 30 April 2013).</t>
        </is>
      </c>
      <c r="BQ133" s="35" t="n">
        <v>1.039</v>
      </c>
      <c r="BR133" s="29" t="inlineStr">
        <is>
          <t>2020-01-31</t>
        </is>
      </c>
      <c r="BS133" s="35" t="n">
        <v>0.9962</v>
      </c>
      <c r="BT133" s="34" t="n">
        <v>-4.12</v>
      </c>
      <c r="BU133" s="31" t="n">
        <v>2327</v>
      </c>
    </row>
    <row r="134" ht="16" customHeight="1">
      <c r="A134" s="22" t="inlineStr">
        <is>
          <t>PB CASH MANAGEMENT FUND -CLASS A</t>
        </is>
      </c>
      <c r="B134" s="22" t="inlineStr">
        <is>
          <t>PBCMF-A</t>
        </is>
      </c>
      <c r="C134" s="22" t="inlineStr">
        <is>
          <t>Conventional</t>
        </is>
      </c>
      <c r="D134" s="22" t="inlineStr">
        <is>
          <t>Money Market</t>
        </is>
      </c>
      <c r="E134" s="23" t="inlineStr">
        <is>
          <t>Income</t>
        </is>
      </c>
      <c r="F134" s="24" t="n">
        <v>1</v>
      </c>
      <c r="G134" s="23" t="inlineStr">
        <is>
          <t>Annual</t>
        </is>
      </c>
      <c r="H134" s="25" t="n">
        <v>534.1799999999999</v>
      </c>
      <c r="I134" s="22" t="inlineStr">
        <is>
          <t>08.01.2007</t>
        </is>
      </c>
      <c r="J134" s="22" t="inlineStr">
        <is>
          <t>Qualified</t>
        </is>
      </c>
      <c r="K134" s="26" t="n">
        <v>100</v>
      </c>
      <c r="L134" s="22" t="inlineStr">
        <is>
          <t>5/5</t>
        </is>
      </c>
      <c r="M134" s="23" t="inlineStr">
        <is>
          <t>Qualified (WA: +1.16%) — YTD✔ 1Y✔ 3Y✔ 5Y✔ 10Y✔</t>
        </is>
      </c>
      <c r="N134" s="27" t="n">
        <v>1.16</v>
      </c>
      <c r="O134" s="27" t="n">
        <v>1.03</v>
      </c>
      <c r="P134" s="27" t="n">
        <v>0.54</v>
      </c>
      <c r="Q134" s="27" t="n">
        <v>0.49</v>
      </c>
      <c r="R134" s="27" t="n">
        <v>3.29</v>
      </c>
      <c r="S134" s="27" t="n">
        <v>1.73</v>
      </c>
      <c r="T134" s="27" t="n">
        <v>1.56</v>
      </c>
      <c r="U134" s="27" t="n">
        <v>3.41</v>
      </c>
      <c r="V134" s="27" t="n">
        <v>2.03</v>
      </c>
      <c r="W134" s="27" t="n">
        <v>1.38</v>
      </c>
      <c r="X134" s="27" t="n">
        <v>2.89</v>
      </c>
      <c r="Y134" s="27" t="n">
        <v>1.91</v>
      </c>
      <c r="Z134" s="27" t="n">
        <v>0.98</v>
      </c>
      <c r="AA134" s="27" t="n">
        <v>2.97</v>
      </c>
      <c r="AB134" s="27" t="n">
        <v>2.28</v>
      </c>
      <c r="AC134" s="27" t="n">
        <v>0.6899999999999999</v>
      </c>
      <c r="AD134" s="27">
        <f>IF(OR(Q134="",BM134="",BM134=0),"",Q134/BM134)</f>
        <v/>
      </c>
      <c r="AE134" s="27">
        <f>IF(OR(T134="",BM134="",BM134=0),"",T134/BM134)</f>
        <v/>
      </c>
      <c r="AF134" s="27">
        <f>IF(OR(W134="",BM134="",BM134=0),"",W134/BM134)</f>
        <v/>
      </c>
      <c r="AG134" s="27">
        <f>IF(OR(Z134="",BM134="",BM134=0),"",Z134/BM134)</f>
        <v/>
      </c>
      <c r="AH134" s="27">
        <f>IF(OR(AC134="",BM134="",BM134=0),"",AC134/BM134)</f>
        <v/>
      </c>
      <c r="AI134" s="26" t="n"/>
      <c r="AJ134" s="26" t="n"/>
      <c r="AK134" s="26" t="n"/>
      <c r="AL134" s="26" t="n">
        <v>100</v>
      </c>
      <c r="AM134" s="26" t="n"/>
      <c r="AN134" s="26" t="n"/>
      <c r="AO134" s="26" t="n"/>
      <c r="AP134" s="26" t="n"/>
      <c r="AQ134" s="26" t="n"/>
      <c r="AR134" s="26" t="n"/>
      <c r="AS134" s="26" t="n"/>
      <c r="AT134" s="26" t="n"/>
      <c r="AU134" s="26" t="n"/>
      <c r="AV134" s="26" t="n"/>
      <c r="AW134" s="26" t="n"/>
      <c r="AX134" s="26" t="n"/>
      <c r="AY134" s="26" t="n"/>
      <c r="AZ134" s="26" t="n"/>
      <c r="BA134" s="26" t="n"/>
      <c r="BB134" s="26" t="n"/>
      <c r="BC134" s="26" t="n"/>
      <c r="BD134" s="26" t="n"/>
      <c r="BE134" s="26" t="n"/>
      <c r="BF134" s="26" t="n"/>
      <c r="BG134" s="26" t="n"/>
      <c r="BH134" s="26" t="n"/>
      <c r="BI134" s="26" t="n"/>
      <c r="BJ134" s="26" t="n"/>
      <c r="BK134" s="26" t="n"/>
      <c r="BL134" s="23" t="n"/>
      <c r="BM134" s="26" t="n">
        <v>0.1</v>
      </c>
      <c r="BN134" s="22" t="inlineStr">
        <is>
          <t>Very Low</t>
        </is>
      </c>
      <c r="BO134" s="23" t="n"/>
      <c r="BP134" s="23" t="inlineStr">
        <is>
          <t>1-Month Kuala Lumpur Interbank Offered Rate (KLIBOR) (prior to 30 April 2013). 90% Public Bank 1-Month Fixed Deposit Rate and 10% Public Bank Savings Rate - ACE Account (w.e.f. 30 April 2013). Underlying indexdata are sourced from Bank Negara Malaysia and Public Bank Berhad.</t>
        </is>
      </c>
      <c r="BQ134" s="28" t="n">
        <v>1.046</v>
      </c>
      <c r="BR134" s="22" t="inlineStr">
        <is>
          <t>2016-06-30</t>
        </is>
      </c>
      <c r="BS134" s="28" t="n">
        <v>1.0282</v>
      </c>
      <c r="BT134" s="27" t="n">
        <v>-1.7</v>
      </c>
      <c r="BU134" s="24" t="n">
        <v>3637</v>
      </c>
    </row>
    <row r="135" ht="16" customHeight="1">
      <c r="A135" s="37" t="inlineStr">
        <is>
          <t>PUBLIC ISLAMIC MONEYMARKET FUND -CLASS A</t>
        </is>
      </c>
      <c r="B135" s="37" t="inlineStr">
        <is>
          <t>PIMMF-A</t>
        </is>
      </c>
      <c r="C135" s="37" t="inlineStr">
        <is>
          <t>Shariah</t>
        </is>
      </c>
      <c r="D135" s="37" t="inlineStr">
        <is>
          <t>Money Market</t>
        </is>
      </c>
      <c r="E135" s="30" t="inlineStr">
        <is>
          <t>Income</t>
        </is>
      </c>
      <c r="F135" s="31" t="n">
        <v>1</v>
      </c>
      <c r="G135" s="30" t="inlineStr">
        <is>
          <t>Annual</t>
        </is>
      </c>
      <c r="H135" s="32" t="n">
        <v>258.22</v>
      </c>
      <c r="I135" s="29" t="inlineStr">
        <is>
          <t>05.06.2007</t>
        </is>
      </c>
      <c r="J135" s="29" t="inlineStr">
        <is>
          <t>Qualified</t>
        </is>
      </c>
      <c r="K135" s="33" t="n">
        <v>100</v>
      </c>
      <c r="L135" s="29" t="inlineStr">
        <is>
          <t>5/5</t>
        </is>
      </c>
      <c r="M135" s="30" t="inlineStr">
        <is>
          <t>Qualified (WA: +1.08%) — YTD✔ 1Y✔ 3Y✔ 5Y✔ 10Y✔</t>
        </is>
      </c>
      <c r="N135" s="34" t="n">
        <v>1.08</v>
      </c>
      <c r="O135" s="34" t="n">
        <v>0.98</v>
      </c>
      <c r="P135" s="34" t="n">
        <v>0.52</v>
      </c>
      <c r="Q135" s="34" t="n">
        <v>0.46</v>
      </c>
      <c r="R135" s="34" t="n">
        <v>3.13</v>
      </c>
      <c r="S135" s="34" t="n">
        <v>1.67</v>
      </c>
      <c r="T135" s="34" t="n">
        <v>1.46</v>
      </c>
      <c r="U135" s="34" t="n">
        <v>3.28</v>
      </c>
      <c r="V135" s="34" t="n">
        <v>2.01</v>
      </c>
      <c r="W135" s="34" t="n">
        <v>1.27</v>
      </c>
      <c r="X135" s="34" t="n">
        <v>2.8</v>
      </c>
      <c r="Y135" s="34" t="n">
        <v>1.89</v>
      </c>
      <c r="Z135" s="34" t="n">
        <v>0.91</v>
      </c>
      <c r="AA135" s="34" t="n">
        <v>2.89</v>
      </c>
      <c r="AB135" s="34" t="n">
        <v>2.23</v>
      </c>
      <c r="AC135" s="34" t="n">
        <v>0.66</v>
      </c>
      <c r="AD135" s="34">
        <f>IF(OR(Q135="",BM135="",BM135=0),"",Q135/BM135)</f>
        <v/>
      </c>
      <c r="AE135" s="34">
        <f>IF(OR(T135="",BM135="",BM135=0),"",T135/BM135)</f>
        <v/>
      </c>
      <c r="AF135" s="34">
        <f>IF(OR(W135="",BM135="",BM135=0),"",W135/BM135)</f>
        <v/>
      </c>
      <c r="AG135" s="34">
        <f>IF(OR(Z135="",BM135="",BM135=0),"",Z135/BM135)</f>
        <v/>
      </c>
      <c r="AH135" s="34">
        <f>IF(OR(AC135="",BM135="",BM135=0),"",AC135/BM135)</f>
        <v/>
      </c>
      <c r="AI135" s="33" t="n"/>
      <c r="AJ135" s="33" t="n"/>
      <c r="AK135" s="33" t="n"/>
      <c r="AL135" s="33" t="n">
        <v>100</v>
      </c>
      <c r="AM135" s="33" t="n"/>
      <c r="AN135" s="33" t="n"/>
      <c r="AO135" s="33" t="n"/>
      <c r="AP135" s="33" t="n"/>
      <c r="AQ135" s="33" t="n"/>
      <c r="AR135" s="33" t="n"/>
      <c r="AS135" s="33" t="n"/>
      <c r="AT135" s="33" t="n"/>
      <c r="AU135" s="33" t="n"/>
      <c r="AV135" s="33" t="n"/>
      <c r="AW135" s="33" t="n"/>
      <c r="AX135" s="33" t="n"/>
      <c r="AY135" s="33" t="n"/>
      <c r="AZ135" s="33" t="n"/>
      <c r="BA135" s="33" t="n"/>
      <c r="BB135" s="33" t="n"/>
      <c r="BC135" s="33" t="n"/>
      <c r="BD135" s="33" t="n"/>
      <c r="BE135" s="33" t="n"/>
      <c r="BF135" s="33" t="n"/>
      <c r="BG135" s="33" t="n"/>
      <c r="BH135" s="33" t="n"/>
      <c r="BI135" s="33" t="n"/>
      <c r="BJ135" s="33" t="n"/>
      <c r="BK135" s="33" t="n"/>
      <c r="BL135" s="30" t="n"/>
      <c r="BM135" s="33" t="n">
        <v>0.1</v>
      </c>
      <c r="BN135" s="29" t="inlineStr">
        <is>
          <t>Very Low</t>
        </is>
      </c>
      <c r="BO135" s="30" t="n"/>
      <c r="BP135" s="30" t="inlineStr">
        <is>
          <t>3-Month Islamic Interbank Money Market (IIMM) rate (prior to 30 April 2010). 1-Month Islamic Interbank Money Market (IIMM) rate (30 April 2010 to 29 April 2013). 90%PublicIslamicBank1-MonthMudharabahGeneralInvestmentAccount-i(30 April 2013 to 29 April 2015), 90% Public Islamic Bank 1-Month Term Deposit-i (w.e.f. 30 April 2015) and 10% Public Islamic Bank Savings Account-i.</t>
        </is>
      </c>
      <c r="BQ135" s="35" t="n">
        <v>1.0544</v>
      </c>
      <c r="BR135" s="29" t="inlineStr">
        <is>
          <t>2016-06-30</t>
        </is>
      </c>
      <c r="BS135" s="35" t="n">
        <v>1.0354</v>
      </c>
      <c r="BT135" s="34" t="n">
        <v>-1.8</v>
      </c>
      <c r="BU135" s="31" t="n">
        <v>3637</v>
      </c>
    </row>
    <row r="136" ht="16" customHeight="1">
      <c r="A136" s="36" t="inlineStr">
        <is>
          <t>PUBLIC e-ISLAMIC CASH DEPOSIT FUND -CLASS A</t>
        </is>
      </c>
      <c r="B136" s="36" t="inlineStr">
        <is>
          <t>PeICDF-A</t>
        </is>
      </c>
      <c r="C136" s="36" t="inlineStr">
        <is>
          <t>Shariah</t>
        </is>
      </c>
      <c r="D136" s="36" t="inlineStr">
        <is>
          <t>Money Market</t>
        </is>
      </c>
      <c r="E136" s="23" t="inlineStr">
        <is>
          <t>Income</t>
        </is>
      </c>
      <c r="F136" s="24" t="n">
        <v>1</v>
      </c>
      <c r="G136" s="23" t="inlineStr">
        <is>
          <t>Monthly</t>
        </is>
      </c>
      <c r="H136" s="25" t="n">
        <v>167.74</v>
      </c>
      <c r="I136" s="22" t="inlineStr">
        <is>
          <t>25.08.2014</t>
        </is>
      </c>
      <c r="J136" s="22" t="inlineStr">
        <is>
          <t>Qualified</t>
        </is>
      </c>
      <c r="K136" s="26" t="n">
        <v>100</v>
      </c>
      <c r="L136" s="22" t="inlineStr">
        <is>
          <t>5/5</t>
        </is>
      </c>
      <c r="M136" s="23" t="inlineStr">
        <is>
          <t>Qualified (WA: +1.05%) — YTD✔ 1Y✔ 3Y✔ 5Y✔ 10Y✔</t>
        </is>
      </c>
      <c r="N136" s="27" t="n">
        <v>1.05</v>
      </c>
      <c r="O136" s="27" t="n">
        <v>1</v>
      </c>
      <c r="P136" s="27" t="n">
        <v>0.52</v>
      </c>
      <c r="Q136" s="27" t="n">
        <v>0.48</v>
      </c>
      <c r="R136" s="27" t="n">
        <v>3.14</v>
      </c>
      <c r="S136" s="27" t="n">
        <v>1.67</v>
      </c>
      <c r="T136" s="27" t="n">
        <v>1.47</v>
      </c>
      <c r="U136" s="27" t="n">
        <v>3.24</v>
      </c>
      <c r="V136" s="27" t="n">
        <v>2.01</v>
      </c>
      <c r="W136" s="27" t="n">
        <v>1.23</v>
      </c>
      <c r="X136" s="27" t="n">
        <v>2.75</v>
      </c>
      <c r="Y136" s="27" t="n">
        <v>1.89</v>
      </c>
      <c r="Z136" s="27" t="n">
        <v>0.86</v>
      </c>
      <c r="AA136" s="27" t="n">
        <v>2.86</v>
      </c>
      <c r="AB136" s="27" t="n">
        <v>2.23</v>
      </c>
      <c r="AC136" s="27" t="n">
        <v>0.63</v>
      </c>
      <c r="AD136" s="27">
        <f>IF(OR(Q136="",BM136="",BM136=0),"",Q136/BM136)</f>
        <v/>
      </c>
      <c r="AE136" s="27">
        <f>IF(OR(T136="",BM136="",BM136=0),"",T136/BM136)</f>
        <v/>
      </c>
      <c r="AF136" s="27">
        <f>IF(OR(W136="",BM136="",BM136=0),"",W136/BM136)</f>
        <v/>
      </c>
      <c r="AG136" s="27">
        <f>IF(OR(Z136="",BM136="",BM136=0),"",Z136/BM136)</f>
        <v/>
      </c>
      <c r="AH136" s="27">
        <f>IF(OR(AC136="",BM136="",BM136=0),"",AC136/BM136)</f>
        <v/>
      </c>
      <c r="AI136" s="26" t="n"/>
      <c r="AJ136" s="26" t="n"/>
      <c r="AK136" s="26" t="n"/>
      <c r="AL136" s="26" t="n"/>
      <c r="AM136" s="26" t="n">
        <v>100</v>
      </c>
      <c r="AN136" s="26" t="n"/>
      <c r="AO136" s="26" t="n"/>
      <c r="AP136" s="26" t="n"/>
      <c r="AQ136" s="26" t="n"/>
      <c r="AR136" s="26" t="n"/>
      <c r="AS136" s="26" t="n"/>
      <c r="AT136" s="26" t="n"/>
      <c r="AU136" s="26" t="n"/>
      <c r="AV136" s="26" t="n"/>
      <c r="AW136" s="26" t="n"/>
      <c r="AX136" s="26" t="n"/>
      <c r="AY136" s="26" t="n"/>
      <c r="AZ136" s="26" t="n"/>
      <c r="BA136" s="26" t="n"/>
      <c r="BB136" s="26" t="n"/>
      <c r="BC136" s="26" t="n"/>
      <c r="BD136" s="26" t="n"/>
      <c r="BE136" s="26" t="n"/>
      <c r="BF136" s="26" t="n"/>
      <c r="BG136" s="26" t="n"/>
      <c r="BH136" s="26" t="n"/>
      <c r="BI136" s="26" t="n"/>
      <c r="BJ136" s="26" t="n"/>
      <c r="BK136" s="26" t="n"/>
      <c r="BL136" s="23" t="n"/>
      <c r="BM136" s="26" t="n">
        <v>0.1</v>
      </c>
      <c r="BN136" s="22" t="inlineStr">
        <is>
          <t>Very Low</t>
        </is>
      </c>
      <c r="BO136" s="23" t="n"/>
      <c r="BP136" s="23" t="inlineStr">
        <is>
          <t>90%PublicIslamicBank1-MonthMudharabahGeneralInvestmentAccount-i(prior to30April2015),90%PublicIslamicBank1-MonthTermDeposit-i(w.e.f.30April 2015) and 10% Public Islamic Bank Savings Account-i.</t>
        </is>
      </c>
      <c r="BQ136" s="28" t="n">
        <v>1.0033</v>
      </c>
      <c r="BR136" s="22" t="inlineStr">
        <is>
          <t>2018-07-31</t>
        </is>
      </c>
      <c r="BS136" s="28" t="n">
        <v>1.0013</v>
      </c>
      <c r="BT136" s="27" t="n">
        <v>-0.2</v>
      </c>
      <c r="BU136" s="24" t="n">
        <v>2876</v>
      </c>
    </row>
    <row r="137" ht="16" customHeight="1">
      <c r="A137" s="29" t="inlineStr">
        <is>
          <t>PB ISLAMIC CASH MANAGEMENT FUND -CLASS A</t>
        </is>
      </c>
      <c r="B137" s="29" t="inlineStr">
        <is>
          <t>PBICMF-A</t>
        </is>
      </c>
      <c r="C137" s="29" t="inlineStr">
        <is>
          <t>Conventional</t>
        </is>
      </c>
      <c r="D137" s="29" t="inlineStr">
        <is>
          <t>Money Market</t>
        </is>
      </c>
      <c r="E137" s="30" t="inlineStr">
        <is>
          <t>Income</t>
        </is>
      </c>
      <c r="F137" s="31" t="n">
        <v>1</v>
      </c>
      <c r="G137" s="30" t="inlineStr">
        <is>
          <t>Annual</t>
        </is>
      </c>
      <c r="H137" s="32" t="n">
        <v>18.77</v>
      </c>
      <c r="I137" s="29" t="inlineStr">
        <is>
          <t>08.05.2007</t>
        </is>
      </c>
      <c r="J137" s="29" t="inlineStr">
        <is>
          <t>Qualified</t>
        </is>
      </c>
      <c r="K137" s="33" t="n">
        <v>100</v>
      </c>
      <c r="L137" s="29" t="inlineStr">
        <is>
          <t>5/5</t>
        </is>
      </c>
      <c r="M137" s="30" t="inlineStr">
        <is>
          <t>Qualified (WA: +0.79%) — YTD✔ 1Y✔ 3Y✔ 5Y✔ 10Y✔</t>
        </is>
      </c>
      <c r="N137" s="34" t="n">
        <v>0.79</v>
      </c>
      <c r="O137" s="34" t="n">
        <v>0.86</v>
      </c>
      <c r="P137" s="34" t="n">
        <v>0.52</v>
      </c>
      <c r="Q137" s="34" t="n">
        <v>0.34</v>
      </c>
      <c r="R137" s="34" t="n">
        <v>2.73</v>
      </c>
      <c r="S137" s="34" t="n">
        <v>1.67</v>
      </c>
      <c r="T137" s="34" t="n">
        <v>1.06</v>
      </c>
      <c r="U137" s="34" t="n">
        <v>2.95</v>
      </c>
      <c r="V137" s="34" t="n">
        <v>2.01</v>
      </c>
      <c r="W137" s="34" t="n">
        <v>0.9399999999999999</v>
      </c>
      <c r="X137" s="34" t="n">
        <v>2.56</v>
      </c>
      <c r="Y137" s="34" t="n">
        <v>1.89</v>
      </c>
      <c r="Z137" s="34" t="n">
        <v>0.67</v>
      </c>
      <c r="AA137" s="34" t="n">
        <v>2.71</v>
      </c>
      <c r="AB137" s="34" t="n">
        <v>2.23</v>
      </c>
      <c r="AC137" s="34" t="n">
        <v>0.48</v>
      </c>
      <c r="AD137" s="34">
        <f>IF(OR(Q137="",BM137="",BM137=0),"",Q137/BM137)</f>
        <v/>
      </c>
      <c r="AE137" s="34">
        <f>IF(OR(T137="",BM137="",BM137=0),"",T137/BM137)</f>
        <v/>
      </c>
      <c r="AF137" s="34">
        <f>IF(OR(W137="",BM137="",BM137=0),"",W137/BM137)</f>
        <v/>
      </c>
      <c r="AG137" s="34">
        <f>IF(OR(Z137="",BM137="",BM137=0),"",Z137/BM137)</f>
        <v/>
      </c>
      <c r="AH137" s="34">
        <f>IF(OR(AC137="",BM137="",BM137=0),"",AC137/BM137)</f>
        <v/>
      </c>
      <c r="AI137" s="33" t="n"/>
      <c r="AJ137" s="33" t="n"/>
      <c r="AK137" s="33" t="n"/>
      <c r="AL137" s="33" t="n">
        <v>100</v>
      </c>
      <c r="AM137" s="33" t="n"/>
      <c r="AN137" s="33" t="n"/>
      <c r="AO137" s="33" t="n"/>
      <c r="AP137" s="33" t="n"/>
      <c r="AQ137" s="33" t="n"/>
      <c r="AR137" s="33" t="n"/>
      <c r="AS137" s="33" t="n"/>
      <c r="AT137" s="33" t="n"/>
      <c r="AU137" s="33" t="n"/>
      <c r="AV137" s="33" t="n"/>
      <c r="AW137" s="33" t="n"/>
      <c r="AX137" s="33" t="n"/>
      <c r="AY137" s="33" t="n"/>
      <c r="AZ137" s="33" t="n"/>
      <c r="BA137" s="33" t="n"/>
      <c r="BB137" s="33" t="n"/>
      <c r="BC137" s="33" t="n"/>
      <c r="BD137" s="33" t="n"/>
      <c r="BE137" s="33" t="n"/>
      <c r="BF137" s="33" t="n"/>
      <c r="BG137" s="33" t="n"/>
      <c r="BH137" s="33" t="n"/>
      <c r="BI137" s="33" t="n"/>
      <c r="BJ137" s="33" t="n"/>
      <c r="BK137" s="33" t="n"/>
      <c r="BL137" s="30" t="n"/>
      <c r="BM137" s="33" t="n">
        <v>0.1</v>
      </c>
      <c r="BN137" s="29" t="inlineStr">
        <is>
          <t>Very Low</t>
        </is>
      </c>
      <c r="BO137" s="30" t="n"/>
      <c r="BP137" s="30" t="inlineStr">
        <is>
          <t>1-Month Islamic Interbank Money Market (IIMM) rate (prior to 30 April 2013). 90% Public Islamic Bank 1-Month Mudharabah General Investment Account-i (30April2013to29April2015),90%PublicIslamicBank1-MonthTermDeposit-i (w.e.f. 30 April 2015) and 10% Public Islamic Bank Savings Account-i. UnderlyingindexdataaresourcedfromBankNegaraMalaysiaandPublicIslamic Bank Berhad.</t>
        </is>
      </c>
      <c r="BQ137" s="35" t="n">
        <v>1.0402</v>
      </c>
      <c r="BR137" s="29" t="inlineStr">
        <is>
          <t>2016-06-29</t>
        </is>
      </c>
      <c r="BS137" s="35" t="n">
        <v>1.0207</v>
      </c>
      <c r="BT137" s="34" t="n">
        <v>-1.87</v>
      </c>
      <c r="BU137" s="31" t="n">
        <v>3638</v>
      </c>
    </row>
    <row r="138" ht="16" customHeight="1">
      <c r="A138" s="38" t="inlineStr">
        <is>
          <t>PB ASIA CONSUMER SECTOR FUND</t>
        </is>
      </c>
      <c r="B138" s="38" t="inlineStr">
        <is>
          <t>PBACSF</t>
        </is>
      </c>
      <c r="C138" s="38" t="inlineStr">
        <is>
          <t>Conventional</t>
        </is>
      </c>
      <c r="D138" s="38" t="inlineStr">
        <is>
          <t>Equity</t>
        </is>
      </c>
      <c r="E138" s="39" t="inlineStr">
        <is>
          <t>Capital Growth</t>
        </is>
      </c>
      <c r="F138" s="40" t="n">
        <v>5</v>
      </c>
      <c r="G138" s="39" t="inlineStr">
        <is>
          <t>Incidental</t>
        </is>
      </c>
      <c r="H138" s="41" t="n">
        <v>87.20999999999999</v>
      </c>
      <c r="I138" s="38" t="inlineStr">
        <is>
          <t>03.01.2019</t>
        </is>
      </c>
      <c r="J138" s="38" t="inlineStr">
        <is>
          <t>Disqualified</t>
        </is>
      </c>
      <c r="K138" s="42" t="n">
        <v>50</v>
      </c>
      <c r="L138" s="38" t="inlineStr">
        <is>
          <t>2/4</t>
        </is>
      </c>
      <c r="M138" s="39" t="inlineStr">
        <is>
          <t>Disqualified (WA: -0.01%) — YTD✘ 1Y✘ 3Y✔ 5Y✔</t>
        </is>
      </c>
      <c r="N138" s="43" t="n">
        <v>-0.01</v>
      </c>
      <c r="O138" s="43" t="n">
        <v>-3.43</v>
      </c>
      <c r="P138" s="43" t="n">
        <v>-0.36</v>
      </c>
      <c r="Q138" s="43" t="n">
        <v>-3.07</v>
      </c>
      <c r="R138" s="43" t="n">
        <v>-1.41</v>
      </c>
      <c r="S138" s="43" t="n">
        <v>0.6899999999999999</v>
      </c>
      <c r="T138" s="43" t="n">
        <v>-2.1</v>
      </c>
      <c r="U138" s="43" t="n">
        <v>-3.58</v>
      </c>
      <c r="V138" s="43" t="n">
        <v>-4.3</v>
      </c>
      <c r="W138" s="43" t="n">
        <v>0.72</v>
      </c>
      <c r="X138" s="43" t="n">
        <v>-6.57</v>
      </c>
      <c r="Y138" s="43" t="n">
        <v>-7.26</v>
      </c>
      <c r="Z138" s="43" t="n">
        <v>0.6899999999999999</v>
      </c>
      <c r="AA138" s="43" t="n"/>
      <c r="AB138" s="43" t="n"/>
      <c r="AC138" s="43" t="n"/>
      <c r="AD138" s="43">
        <f>IF(OR(Q138="",BM138="",BM138=0),"",Q138/BM138)</f>
        <v/>
      </c>
      <c r="AE138" s="43">
        <f>IF(OR(T138="",BM138="",BM138=0),"",T138/BM138)</f>
        <v/>
      </c>
      <c r="AF138" s="43">
        <f>IF(OR(W138="",BM138="",BM138=0),"",W138/BM138)</f>
        <v/>
      </c>
      <c r="AG138" s="43">
        <f>IF(OR(Z138="",BM138="",BM138=0),"",Z138/BM138)</f>
        <v/>
      </c>
      <c r="AH138" s="43">
        <f>IF(OR(AC138="",BM138="",BM138=0),"",AC138/BM138)</f>
        <v/>
      </c>
      <c r="AI138" s="42" t="n"/>
      <c r="AJ138" s="42" t="n">
        <v>93.09999999999999</v>
      </c>
      <c r="AK138" s="42" t="n"/>
      <c r="AL138" s="42" t="n">
        <v>6.9</v>
      </c>
      <c r="AM138" s="42" t="n"/>
      <c r="AN138" s="42" t="n"/>
      <c r="AO138" s="42" t="n">
        <v>7.8</v>
      </c>
      <c r="AP138" s="42" t="n"/>
      <c r="AQ138" s="42" t="n">
        <v>30.9</v>
      </c>
      <c r="AR138" s="42" t="n"/>
      <c r="AS138" s="42" t="n">
        <v>4.1</v>
      </c>
      <c r="AT138" s="42" t="n"/>
      <c r="AU138" s="42" t="n">
        <v>9</v>
      </c>
      <c r="AV138" s="42" t="n"/>
      <c r="AW138" s="42" t="n"/>
      <c r="AX138" s="42" t="n"/>
      <c r="AY138" s="42" t="n"/>
      <c r="AZ138" s="42" t="n"/>
      <c r="BA138" s="42" t="n"/>
      <c r="BB138" s="42" t="n">
        <v>15</v>
      </c>
      <c r="BC138" s="42" t="n"/>
      <c r="BD138" s="42" t="n">
        <v>22.9</v>
      </c>
      <c r="BE138" s="42" t="n">
        <v>41.4</v>
      </c>
      <c r="BF138" s="42" t="n">
        <v>13.8</v>
      </c>
      <c r="BG138" s="42" t="n"/>
      <c r="BH138" s="42" t="n"/>
      <c r="BI138" s="42" t="n"/>
      <c r="BJ138" s="42" t="n"/>
      <c r="BK138" s="42" t="n"/>
      <c r="BL138" s="39" t="inlineStr">
        <is>
          <t>Samsung Electronics Company Limited | Hyundai Mobis Company Limited | Alibaba Group Holding Limited - W | Tencent Holdings Limited | MGM China Holdings Limited</t>
        </is>
      </c>
      <c r="BM138" s="42" t="n">
        <v>15.5</v>
      </c>
      <c r="BN138" s="38" t="inlineStr">
        <is>
          <t>Very High</t>
        </is>
      </c>
      <c r="BO138" s="39" t="inlineStr">
        <is>
          <t>Equity Sector Consumer Asia</t>
        </is>
      </c>
      <c r="BP138" s="39" t="inlineStr">
        <is>
          <t>ThebenchmarkforPBACSFisacustomisedindexbyS&amp;PDowJonesIndices,LLC based on consumer sectors of S&amp;P BMI Asia Ex-Japan Index. Underlying index data are sourced from S&amp;P Dow Jones Indices, LLC and expressed in Ringgit terms.</t>
        </is>
      </c>
      <c r="BQ138" s="44" t="n">
        <v>0.3703</v>
      </c>
      <c r="BR138" s="38" t="inlineStr">
        <is>
          <t>2021-01-25</t>
        </is>
      </c>
      <c r="BS138" s="44" t="n">
        <v>0.2527</v>
      </c>
      <c r="BT138" s="43" t="n">
        <v>-31.76</v>
      </c>
      <c r="BU138" s="40" t="n">
        <v>1967</v>
      </c>
    </row>
    <row r="139" ht="16" customHeight="1">
      <c r="A139" s="45" t="inlineStr">
        <is>
          <t>PUBLIC AUSTRALIA EQUITY FUND</t>
        </is>
      </c>
      <c r="B139" s="45" t="inlineStr">
        <is>
          <t>PAUEF</t>
        </is>
      </c>
      <c r="C139" s="45" t="inlineStr">
        <is>
          <t>Conventional</t>
        </is>
      </c>
      <c r="D139" s="45" t="inlineStr">
        <is>
          <t>Equity</t>
        </is>
      </c>
      <c r="E139" s="46" t="inlineStr">
        <is>
          <t>Capital Growth</t>
        </is>
      </c>
      <c r="F139" s="47" t="n">
        <v>5</v>
      </c>
      <c r="G139" s="46" t="inlineStr">
        <is>
          <t>Incidental</t>
        </is>
      </c>
      <c r="H139" s="48" t="n">
        <v>269.58</v>
      </c>
      <c r="I139" s="45" t="inlineStr">
        <is>
          <t>08.09.2009</t>
        </is>
      </c>
      <c r="J139" s="45" t="inlineStr">
        <is>
          <t>Disqualified</t>
        </is>
      </c>
      <c r="K139" s="49" t="n">
        <v>60</v>
      </c>
      <c r="L139" s="45" t="inlineStr">
        <is>
          <t>3/5</t>
        </is>
      </c>
      <c r="M139" s="46" t="inlineStr">
        <is>
          <t>Disqualified (WA: -0.05%) — YTD✔ 1Y✔ 3Y✘ 5Y✔ 10Y✘</t>
        </is>
      </c>
      <c r="N139" s="50" t="n">
        <v>-0.05</v>
      </c>
      <c r="O139" s="50" t="n">
        <v>8.039999999999999</v>
      </c>
      <c r="P139" s="50" t="n">
        <v>4.93</v>
      </c>
      <c r="Q139" s="50" t="n">
        <v>3.11</v>
      </c>
      <c r="R139" s="50" t="n">
        <v>11.37</v>
      </c>
      <c r="S139" s="50" t="n">
        <v>10.28</v>
      </c>
      <c r="T139" s="50" t="n">
        <v>1.09</v>
      </c>
      <c r="U139" s="50" t="n">
        <v>3.54</v>
      </c>
      <c r="V139" s="50" t="n">
        <v>4.71</v>
      </c>
      <c r="W139" s="50" t="n">
        <v>-1.17</v>
      </c>
      <c r="X139" s="50" t="n">
        <v>2.63</v>
      </c>
      <c r="Y139" s="50" t="n">
        <v>2.16</v>
      </c>
      <c r="Z139" s="50" t="n">
        <v>0.47</v>
      </c>
      <c r="AA139" s="50" t="n">
        <v>4.58</v>
      </c>
      <c r="AB139" s="50" t="n">
        <v>4.68</v>
      </c>
      <c r="AC139" s="50" t="n">
        <v>-0.1</v>
      </c>
      <c r="AD139" s="50">
        <f>IF(OR(Q139="",BM139="",BM139=0),"",Q139/BM139)</f>
        <v/>
      </c>
      <c r="AE139" s="50">
        <f>IF(OR(T139="",BM139="",BM139=0),"",T139/BM139)</f>
        <v/>
      </c>
      <c r="AF139" s="50">
        <f>IF(OR(W139="",BM139="",BM139=0),"",W139/BM139)</f>
        <v/>
      </c>
      <c r="AG139" s="50">
        <f>IF(OR(Z139="",BM139="",BM139=0),"",Z139/BM139)</f>
        <v/>
      </c>
      <c r="AH139" s="50">
        <f>IF(OR(AC139="",BM139="",BM139=0),"",AC139/BM139)</f>
        <v/>
      </c>
      <c r="AI139" s="49" t="n"/>
      <c r="AJ139" s="49" t="n">
        <v>91.5</v>
      </c>
      <c r="AK139" s="49" t="n"/>
      <c r="AL139" s="49" t="n">
        <v>8.5</v>
      </c>
      <c r="AM139" s="49" t="n"/>
      <c r="AN139" s="49" t="n"/>
      <c r="AO139" s="49" t="n">
        <v>3.2</v>
      </c>
      <c r="AP139" s="49" t="n"/>
      <c r="AQ139" s="49" t="n"/>
      <c r="AR139" s="49" t="n"/>
      <c r="AS139" s="49" t="n"/>
      <c r="AT139" s="49" t="n"/>
      <c r="AU139" s="49" t="n"/>
      <c r="AV139" s="49" t="n"/>
      <c r="AW139" s="49" t="n">
        <v>3.2</v>
      </c>
      <c r="AX139" s="49" t="n"/>
      <c r="AY139" s="49" t="n">
        <v>85.09999999999999</v>
      </c>
      <c r="AZ139" s="49" t="n"/>
      <c r="BA139" s="49" t="n"/>
      <c r="BB139" s="49" t="n">
        <v>7.6</v>
      </c>
      <c r="BC139" s="49" t="n">
        <v>35.2</v>
      </c>
      <c r="BD139" s="49" t="n">
        <v>4.8</v>
      </c>
      <c r="BE139" s="49" t="n">
        <v>10.7</v>
      </c>
      <c r="BF139" s="49" t="n"/>
      <c r="BG139" s="49" t="n"/>
      <c r="BH139" s="49" t="n"/>
      <c r="BI139" s="49" t="n">
        <v>28.3</v>
      </c>
      <c r="BJ139" s="49" t="n"/>
      <c r="BK139" s="49" t="n"/>
      <c r="BL139" s="46" t="inlineStr">
        <is>
          <t>BHP Group Limited | Commonwealth Bank of Australia | Rio Tinto Limited | ANZ Group Holdings Limited | National Australia Bank Limited</t>
        </is>
      </c>
      <c r="BM139" s="49" t="n">
        <v>12.9</v>
      </c>
      <c r="BN139" s="45" t="inlineStr">
        <is>
          <t>High</t>
        </is>
      </c>
      <c r="BO139" s="46" t="inlineStr">
        <is>
          <t>Equity Australia Global</t>
        </is>
      </c>
      <c r="BP139" s="46" t="n"/>
      <c r="BQ139" s="51" t="n">
        <v>0.316</v>
      </c>
      <c r="BR139" s="45" t="inlineStr">
        <is>
          <t>2022-04-05</t>
        </is>
      </c>
      <c r="BS139" s="51" t="n">
        <v>0.307</v>
      </c>
      <c r="BT139" s="50" t="n">
        <v>-2.85</v>
      </c>
      <c r="BU139" s="47" t="n">
        <v>1532</v>
      </c>
    </row>
    <row r="140" ht="16" customHeight="1">
      <c r="A140" s="52" t="inlineStr">
        <is>
          <t>PUBLIC ISLAMIC OPTIMAL GROWTH FUND</t>
        </is>
      </c>
      <c r="B140" s="52" t="inlineStr">
        <is>
          <t>PIOGF</t>
        </is>
      </c>
      <c r="C140" s="52" t="inlineStr">
        <is>
          <t>Shariah</t>
        </is>
      </c>
      <c r="D140" s="52" t="inlineStr">
        <is>
          <t>Equity</t>
        </is>
      </c>
      <c r="E140" s="39" t="inlineStr">
        <is>
          <t>Capital Growth + Income</t>
        </is>
      </c>
      <c r="F140" s="40" t="n">
        <v>4</v>
      </c>
      <c r="G140" s="39" t="inlineStr">
        <is>
          <t>Annual</t>
        </is>
      </c>
      <c r="H140" s="41" t="n">
        <v>119.64</v>
      </c>
      <c r="I140" s="38" t="inlineStr">
        <is>
          <t>08.04.2008</t>
        </is>
      </c>
      <c r="J140" s="38" t="inlineStr">
        <is>
          <t>Disqualified</t>
        </is>
      </c>
      <c r="K140" s="42" t="n">
        <v>40</v>
      </c>
      <c r="L140" s="38" t="inlineStr">
        <is>
          <t>2/5</t>
        </is>
      </c>
      <c r="M140" s="39" t="inlineStr">
        <is>
          <t>Disqualified (WA: -0.61%) — YTD✘ 1Y✘ 3Y✘ 5Y✔ 10Y✔</t>
        </is>
      </c>
      <c r="N140" s="43" t="n">
        <v>-0.61</v>
      </c>
      <c r="O140" s="43" t="n">
        <v>4.37</v>
      </c>
      <c r="P140" s="43" t="n">
        <v>5.14</v>
      </c>
      <c r="Q140" s="43" t="n">
        <v>-0.77</v>
      </c>
      <c r="R140" s="43" t="n">
        <v>11.04</v>
      </c>
      <c r="S140" s="43" t="n">
        <v>12.81</v>
      </c>
      <c r="T140" s="43" t="n">
        <v>-1.77</v>
      </c>
      <c r="U140" s="43" t="n">
        <v>3.67</v>
      </c>
      <c r="V140" s="43" t="n">
        <v>5.79</v>
      </c>
      <c r="W140" s="43" t="n">
        <v>-2.12</v>
      </c>
      <c r="X140" s="43" t="n">
        <v>0.62</v>
      </c>
      <c r="Y140" s="43" t="n">
        <v>-0.85</v>
      </c>
      <c r="Z140" s="43" t="n">
        <v>1.47</v>
      </c>
      <c r="AA140" s="43" t="n">
        <v>1.59</v>
      </c>
      <c r="AB140" s="43" t="n">
        <v>0.41</v>
      </c>
      <c r="AC140" s="43" t="n">
        <v>1.18</v>
      </c>
      <c r="AD140" s="43">
        <f>IF(OR(Q140="",BM140="",BM140=0),"",Q140/BM140)</f>
        <v/>
      </c>
      <c r="AE140" s="43">
        <f>IF(OR(T140="",BM140="",BM140=0),"",T140/BM140)</f>
        <v/>
      </c>
      <c r="AF140" s="43">
        <f>IF(OR(W140="",BM140="",BM140=0),"",W140/BM140)</f>
        <v/>
      </c>
      <c r="AG140" s="43">
        <f>IF(OR(Z140="",BM140="",BM140=0),"",Z140/BM140)</f>
        <v/>
      </c>
      <c r="AH140" s="43">
        <f>IF(OR(AC140="",BM140="",BM140=0),"",AC140/BM140)</f>
        <v/>
      </c>
      <c r="AI140" s="42" t="n">
        <v>76.8</v>
      </c>
      <c r="AJ140" s="42" t="n">
        <v>21.5</v>
      </c>
      <c r="AK140" s="42" t="n"/>
      <c r="AL140" s="42" t="n">
        <v>1.7</v>
      </c>
      <c r="AM140" s="42" t="n"/>
      <c r="AN140" s="42" t="n"/>
      <c r="AO140" s="42" t="n">
        <v>8.9</v>
      </c>
      <c r="AP140" s="42" t="n">
        <v>8.699999999999999</v>
      </c>
      <c r="AQ140" s="42" t="n"/>
      <c r="AR140" s="42" t="n"/>
      <c r="AS140" s="42" t="n">
        <v>3.9</v>
      </c>
      <c r="AT140" s="42" t="n"/>
      <c r="AU140" s="42" t="n"/>
      <c r="AV140" s="42" t="n"/>
      <c r="AW140" s="42" t="n"/>
      <c r="AX140" s="42" t="n"/>
      <c r="AY140" s="42" t="n"/>
      <c r="AZ140" s="42" t="n"/>
      <c r="BA140" s="42" t="n">
        <v>11.1</v>
      </c>
      <c r="BB140" s="42" t="n"/>
      <c r="BC140" s="42" t="n">
        <v>15.3</v>
      </c>
      <c r="BD140" s="42" t="n">
        <v>17.6</v>
      </c>
      <c r="BE140" s="42" t="n"/>
      <c r="BF140" s="42" t="n">
        <v>12.5</v>
      </c>
      <c r="BG140" s="42" t="n">
        <v>9.9</v>
      </c>
      <c r="BH140" s="42" t="n"/>
      <c r="BI140" s="42" t="n"/>
      <c r="BJ140" s="42" t="n"/>
      <c r="BK140" s="42" t="n"/>
      <c r="BL140" s="39" t="inlineStr">
        <is>
          <t>Tenaga Nasional Berhad | Press Metal Aluminium Holdings Berhad | Taiwan Semiconductor Manufacturing Company Limited | Telekom Malaysia Berhad | IHH Healthcare Berhad</t>
        </is>
      </c>
      <c r="BM140" s="42" t="n">
        <v>7.9</v>
      </c>
      <c r="BN140" s="38" t="inlineStr">
        <is>
          <t>Moderate</t>
        </is>
      </c>
      <c r="BO140" s="39" t="inlineStr">
        <is>
          <t>Equity Malaysia Domestic</t>
        </is>
      </c>
      <c r="BP140" s="39" t="inlineStr">
        <is>
          <t>Index data are sourced from Lipper.</t>
        </is>
      </c>
      <c r="BQ140" s="44" t="n">
        <v>0.3317</v>
      </c>
      <c r="BR140" s="38" t="inlineStr">
        <is>
          <t>2013-12-30</t>
        </is>
      </c>
      <c r="BS140" s="44" t="n">
        <v>0.2745</v>
      </c>
      <c r="BT140" s="43" t="n">
        <v>-17.24</v>
      </c>
      <c r="BU140" s="40" t="n">
        <v>4550</v>
      </c>
    </row>
    <row r="141" ht="16" customHeight="1">
      <c r="A141" s="53" t="inlineStr">
        <is>
          <t>PUBLIC ISLAMIC GLOBAL EQUITY FUND</t>
        </is>
      </c>
      <c r="B141" s="53" t="inlineStr">
        <is>
          <t>PISGEF</t>
        </is>
      </c>
      <c r="C141" s="53" t="inlineStr">
        <is>
          <t>Shariah</t>
        </is>
      </c>
      <c r="D141" s="53" t="inlineStr">
        <is>
          <t>Equity</t>
        </is>
      </c>
      <c r="E141" s="46" t="inlineStr">
        <is>
          <t>Capital Growth</t>
        </is>
      </c>
      <c r="F141" s="47" t="n">
        <v>5</v>
      </c>
      <c r="G141" s="46" t="inlineStr">
        <is>
          <t>Incidental</t>
        </is>
      </c>
      <c r="H141" s="48" t="n">
        <v>1065.42</v>
      </c>
      <c r="I141" s="45" t="inlineStr">
        <is>
          <t>26.09.2017</t>
        </is>
      </c>
      <c r="J141" s="45" t="inlineStr">
        <is>
          <t>Disqualified</t>
        </is>
      </c>
      <c r="K141" s="49" t="n">
        <v>25</v>
      </c>
      <c r="L141" s="45" t="inlineStr">
        <is>
          <t>1/4</t>
        </is>
      </c>
      <c r="M141" s="46" t="inlineStr">
        <is>
          <t>Disqualified (WA: -0.79%) — YTD✘ 1Y✔ 3Y✘ 5Y✘</t>
        </is>
      </c>
      <c r="N141" s="50" t="n">
        <v>-0.79</v>
      </c>
      <c r="O141" s="50" t="n">
        <v>0.36</v>
      </c>
      <c r="P141" s="50" t="n">
        <v>5.08</v>
      </c>
      <c r="Q141" s="50" t="n">
        <v>-4.72</v>
      </c>
      <c r="R141" s="50" t="n">
        <v>24.43</v>
      </c>
      <c r="S141" s="50" t="n">
        <v>23.38</v>
      </c>
      <c r="T141" s="50" t="n">
        <v>1.05</v>
      </c>
      <c r="U141" s="50" t="n">
        <v>14.23</v>
      </c>
      <c r="V141" s="50" t="n">
        <v>14.34</v>
      </c>
      <c r="W141" s="50" t="n">
        <v>-0.11</v>
      </c>
      <c r="X141" s="50" t="n">
        <v>7.64</v>
      </c>
      <c r="Y141" s="50" t="n">
        <v>9.85</v>
      </c>
      <c r="Z141" s="50" t="n">
        <v>-2.21</v>
      </c>
      <c r="AA141" s="50" t="n"/>
      <c r="AB141" s="50" t="n"/>
      <c r="AC141" s="50" t="n"/>
      <c r="AD141" s="50">
        <f>IF(OR(Q141="",BM141="",BM141=0),"",Q141/BM141)</f>
        <v/>
      </c>
      <c r="AE141" s="50">
        <f>IF(OR(T141="",BM141="",BM141=0),"",T141/BM141)</f>
        <v/>
      </c>
      <c r="AF141" s="50">
        <f>IF(OR(W141="",BM141="",BM141=0),"",W141/BM141)</f>
        <v/>
      </c>
      <c r="AG141" s="50">
        <f>IF(OR(Z141="",BM141="",BM141=0),"",Z141/BM141)</f>
        <v/>
      </c>
      <c r="AH141" s="50">
        <f>IF(OR(AC141="",BM141="",BM141=0),"",AC141/BM141)</f>
        <v/>
      </c>
      <c r="AI141" s="49" t="n"/>
      <c r="AJ141" s="49" t="n">
        <v>94.7</v>
      </c>
      <c r="AK141" s="49" t="n"/>
      <c r="AL141" s="49" t="n">
        <v>5.3</v>
      </c>
      <c r="AM141" s="49" t="n"/>
      <c r="AN141" s="49" t="n"/>
      <c r="AO141" s="49" t="n">
        <v>71.09999999999999</v>
      </c>
      <c r="AP141" s="49" t="n">
        <v>5.3</v>
      </c>
      <c r="AQ141" s="49" t="n"/>
      <c r="AR141" s="49" t="n"/>
      <c r="AS141" s="49" t="n">
        <v>4.4</v>
      </c>
      <c r="AT141" s="49" t="n"/>
      <c r="AU141" s="49" t="n">
        <v>4.8</v>
      </c>
      <c r="AV141" s="49" t="n"/>
      <c r="AW141" s="49" t="n">
        <v>5.4</v>
      </c>
      <c r="AX141" s="49" t="n"/>
      <c r="AY141" s="49" t="n"/>
      <c r="AZ141" s="49" t="n"/>
      <c r="BA141" s="49" t="n">
        <v>9.9</v>
      </c>
      <c r="BB141" s="49" t="n">
        <v>41.2</v>
      </c>
      <c r="BC141" s="49" t="n"/>
      <c r="BD141" s="49" t="n">
        <v>32.8</v>
      </c>
      <c r="BE141" s="49" t="n">
        <v>9</v>
      </c>
      <c r="BF141" s="49" t="n">
        <v>1.8</v>
      </c>
      <c r="BG141" s="49" t="n"/>
      <c r="BH141" s="49" t="n"/>
      <c r="BI141" s="49" t="n"/>
      <c r="BJ141" s="49" t="n"/>
      <c r="BK141" s="49" t="n"/>
      <c r="BL141" s="46" t="inlineStr">
        <is>
          <t>Alphabet Incorporated - Class A | Amazon.com Incorporated | Advanced Micro Devices Incorporated | Apple Incorporated | Meta Platforms Incorporated</t>
        </is>
      </c>
      <c r="BM141" s="49" t="n">
        <v>15.9</v>
      </c>
      <c r="BN141" s="45" t="inlineStr">
        <is>
          <t>Very High</t>
        </is>
      </c>
      <c r="BO141" s="46" t="inlineStr">
        <is>
          <t>Equity Global Global</t>
        </is>
      </c>
      <c r="BP141" s="46" t="inlineStr">
        <is>
          <t>ThebenchmarkforPISGEFisacompositeof90%S&amp;PGlobal1200ShariahIndex and 10% 1-Month Islamic Interbank Money Market (IIMM) rate. Underlying index data are sourced from Lipper and Bank Negara Malaysia and expressed in Ringgit terms.</t>
        </is>
      </c>
      <c r="BQ141" s="51" t="n">
        <v>0.4867</v>
      </c>
      <c r="BR141" s="45" t="inlineStr">
        <is>
          <t>2026-05-28</t>
        </is>
      </c>
      <c r="BS141" s="51" t="n">
        <v>0.4775</v>
      </c>
      <c r="BT141" s="50" t="n">
        <v>-1.89</v>
      </c>
      <c r="BU141" s="47" t="n">
        <v>18</v>
      </c>
    </row>
    <row r="142" ht="16" customHeight="1">
      <c r="A142" s="38" t="inlineStr">
        <is>
          <t>PUBLIC FAR-EAST DIVIDEND FUND</t>
        </is>
      </c>
      <c r="B142" s="38" t="inlineStr">
        <is>
          <t>PFEDF</t>
        </is>
      </c>
      <c r="C142" s="38" t="inlineStr">
        <is>
          <t>Conventional</t>
        </is>
      </c>
      <c r="D142" s="38" t="inlineStr">
        <is>
          <t>Equity</t>
        </is>
      </c>
      <c r="E142" s="39" t="inlineStr">
        <is>
          <t>Income</t>
        </is>
      </c>
      <c r="F142" s="40" t="n">
        <v>5</v>
      </c>
      <c r="G142" s="39" t="inlineStr">
        <is>
          <t>Annual</t>
        </is>
      </c>
      <c r="H142" s="41" t="n">
        <v>233.6</v>
      </c>
      <c r="I142" s="38" t="inlineStr">
        <is>
          <t>28.11.2006</t>
        </is>
      </c>
      <c r="J142" s="38" t="inlineStr">
        <is>
          <t>Disqualified</t>
        </is>
      </c>
      <c r="K142" s="42" t="n">
        <v>40</v>
      </c>
      <c r="L142" s="38" t="inlineStr">
        <is>
          <t>2/5</t>
        </is>
      </c>
      <c r="M142" s="39" t="inlineStr">
        <is>
          <t>Disqualified (WA: -0.79%) — YTD✘ 1Y✘ 3Y✘ 5Y✔ 10Y✔</t>
        </is>
      </c>
      <c r="N142" s="43" t="n">
        <v>-0.79</v>
      </c>
      <c r="O142" s="43" t="n">
        <v>6.61</v>
      </c>
      <c r="P142" s="43" t="n">
        <v>13.42</v>
      </c>
      <c r="Q142" s="43" t="n">
        <v>-6.81</v>
      </c>
      <c r="R142" s="43" t="n">
        <v>25.68</v>
      </c>
      <c r="S142" s="43" t="n">
        <v>28.16</v>
      </c>
      <c r="T142" s="43" t="n">
        <v>-2.48</v>
      </c>
      <c r="U142" s="43" t="n">
        <v>13.49</v>
      </c>
      <c r="V142" s="43" t="n">
        <v>14.33</v>
      </c>
      <c r="W142" s="43" t="n">
        <v>-0.84</v>
      </c>
      <c r="X142" s="43" t="n">
        <v>7.44</v>
      </c>
      <c r="Y142" s="43" t="n">
        <v>7.27</v>
      </c>
      <c r="Z142" s="43" t="n">
        <v>0.17</v>
      </c>
      <c r="AA142" s="43" t="n">
        <v>8.09</v>
      </c>
      <c r="AB142" s="43" t="n">
        <v>6.62</v>
      </c>
      <c r="AC142" s="43" t="n">
        <v>1.47</v>
      </c>
      <c r="AD142" s="43">
        <f>IF(OR(Q142="",BM142="",BM142=0),"",Q142/BM142)</f>
        <v/>
      </c>
      <c r="AE142" s="43">
        <f>IF(OR(T142="",BM142="",BM142=0),"",T142/BM142)</f>
        <v/>
      </c>
      <c r="AF142" s="43">
        <f>IF(OR(W142="",BM142="",BM142=0),"",W142/BM142)</f>
        <v/>
      </c>
      <c r="AG142" s="43">
        <f>IF(OR(Z142="",BM142="",BM142=0),"",Z142/BM142)</f>
        <v/>
      </c>
      <c r="AH142" s="43">
        <f>IF(OR(AC142="",BM142="",BM142=0),"",AC142/BM142)</f>
        <v/>
      </c>
      <c r="AI142" s="42" t="n">
        <v>7.4</v>
      </c>
      <c r="AJ142" s="42" t="n">
        <v>73.7</v>
      </c>
      <c r="AK142" s="42" t="n"/>
      <c r="AL142" s="42" t="n">
        <v>18.9</v>
      </c>
      <c r="AM142" s="42" t="n"/>
      <c r="AN142" s="42" t="n"/>
      <c r="AO142" s="42" t="n">
        <v>4.7</v>
      </c>
      <c r="AP142" s="42" t="n">
        <v>25</v>
      </c>
      <c r="AQ142" s="42" t="n"/>
      <c r="AR142" s="42" t="n"/>
      <c r="AS142" s="42" t="n"/>
      <c r="AT142" s="42" t="n"/>
      <c r="AU142" s="42" t="n">
        <v>4.2</v>
      </c>
      <c r="AV142" s="42" t="n">
        <v>4.8</v>
      </c>
      <c r="AW142" s="42" t="n"/>
      <c r="AX142" s="42" t="n"/>
      <c r="AY142" s="42" t="n"/>
      <c r="AZ142" s="42" t="n"/>
      <c r="BA142" s="42" t="n">
        <v>3.6</v>
      </c>
      <c r="BB142" s="42" t="n">
        <v>28.4</v>
      </c>
      <c r="BC142" s="42" t="n">
        <v>28.3</v>
      </c>
      <c r="BD142" s="42" t="n">
        <v>18.4</v>
      </c>
      <c r="BE142" s="42" t="n">
        <v>2.4</v>
      </c>
      <c r="BF142" s="42" t="n"/>
      <c r="BG142" s="42" t="n"/>
      <c r="BH142" s="42" t="n"/>
      <c r="BI142" s="42" t="n"/>
      <c r="BJ142" s="42" t="n"/>
      <c r="BK142" s="42" t="n"/>
      <c r="BL142" s="39" t="inlineStr">
        <is>
          <t>Taiwan Semiconductor Manufacturing Company Limited | China Construction Bank Corporation - H Shares | MediaTek Incorporated | Quanta Computer Incorporated | Oversea-Chinese Banking Corporation Limited</t>
        </is>
      </c>
      <c r="BM142" s="42" t="n">
        <v>11.6</v>
      </c>
      <c r="BN142" s="38" t="inlineStr">
        <is>
          <t>High</t>
        </is>
      </c>
      <c r="BO142" s="39" t="inlineStr">
        <is>
          <t>Asia</t>
        </is>
      </c>
      <c r="BP142" s="39" t="inlineStr">
        <is>
          <t>The benchmark for PFEDF is a composite of 70% MSCIAC Far-EastEx-Japan Index(prior to 30 April 2010) and 30% Kuala Lumpur Composite Index (prior to 6 July 2009), 30% FTSE Bursa Malaysia KLCI (6 July 2009 to 29 April 2010). 90% MSCI AC Far-East Ex-Japan Index (30 April 2010 to 29 April 2013), 90% MSCI ACFar-EastEx-JapanHighDividendYieldIndex(30April2013to29April2021), 90% DowJonesAsia SelectDividend 100Index(w.e.f.30 April 2021) and10% 3-Month Kuala Lumpur Interbank Offered Rate (KLIBOR) (w.e.f. 30 April 2010). UnderlyingindexdataaresourcedfromS&amp;PDowJonesIndices,LLC,Lipperand Bank Negara Malaysia and expressed in Ringgit terms.</t>
        </is>
      </c>
      <c r="BQ142" s="44" t="n">
        <v>0.4205</v>
      </c>
      <c r="BR142" s="38" t="inlineStr">
        <is>
          <t>2026-06-03</t>
        </is>
      </c>
      <c r="BS142" s="44" t="n">
        <v>0.4065</v>
      </c>
      <c r="BT142" s="43" t="n">
        <v>-3.33</v>
      </c>
      <c r="BU142" s="40" t="n">
        <v>12</v>
      </c>
    </row>
    <row r="143" ht="16" customHeight="1">
      <c r="A143" s="45" t="inlineStr">
        <is>
          <t>PUBLIC GLOBAL SELECT FUND</t>
        </is>
      </c>
      <c r="B143" s="45" t="inlineStr">
        <is>
          <t>PGSF</t>
        </is>
      </c>
      <c r="C143" s="45" t="inlineStr">
        <is>
          <t>Conventional</t>
        </is>
      </c>
      <c r="D143" s="45" t="inlineStr">
        <is>
          <t>Equity</t>
        </is>
      </c>
      <c r="E143" s="46" t="inlineStr">
        <is>
          <t>Capital Growth</t>
        </is>
      </c>
      <c r="F143" s="47" t="n">
        <v>5</v>
      </c>
      <c r="G143" s="46" t="inlineStr">
        <is>
          <t>Incidental</t>
        </is>
      </c>
      <c r="H143" s="48" t="n">
        <v>4328.74</v>
      </c>
      <c r="I143" s="45" t="inlineStr">
        <is>
          <t>28.09.2006</t>
        </is>
      </c>
      <c r="J143" s="45" t="inlineStr">
        <is>
          <t>Disqualified</t>
        </is>
      </c>
      <c r="K143" s="49" t="n">
        <v>40</v>
      </c>
      <c r="L143" s="45" t="inlineStr">
        <is>
          <t>2/5</t>
        </is>
      </c>
      <c r="M143" s="46" t="inlineStr">
        <is>
          <t>Disqualified (WA: -0.85%) — YTD✘ 1Y✔ 3Y✘ 5Y✘ 10Y✔</t>
        </is>
      </c>
      <c r="N143" s="50" t="n">
        <v>-0.85</v>
      </c>
      <c r="O143" s="50" t="n">
        <v>1.97</v>
      </c>
      <c r="P143" s="50" t="n">
        <v>3.12</v>
      </c>
      <c r="Q143" s="50" t="n">
        <v>-1.15</v>
      </c>
      <c r="R143" s="50" t="n">
        <v>20.04</v>
      </c>
      <c r="S143" s="50" t="n">
        <v>17.78</v>
      </c>
      <c r="T143" s="50" t="n">
        <v>2.26</v>
      </c>
      <c r="U143" s="50" t="n">
        <v>11.68</v>
      </c>
      <c r="V143" s="50" t="n">
        <v>13.1</v>
      </c>
      <c r="W143" s="50" t="n">
        <v>-1.42</v>
      </c>
      <c r="X143" s="50" t="n">
        <v>5.78</v>
      </c>
      <c r="Y143" s="50" t="n">
        <v>8.140000000000001</v>
      </c>
      <c r="Z143" s="50" t="n">
        <v>-2.36</v>
      </c>
      <c r="AA143" s="50" t="n">
        <v>10.19</v>
      </c>
      <c r="AB143" s="50" t="n">
        <v>9.99</v>
      </c>
      <c r="AC143" s="50" t="n">
        <v>0.2</v>
      </c>
      <c r="AD143" s="50">
        <f>IF(OR(Q143="",BM143="",BM143=0),"",Q143/BM143)</f>
        <v/>
      </c>
      <c r="AE143" s="50">
        <f>IF(OR(T143="",BM143="",BM143=0),"",T143/BM143)</f>
        <v/>
      </c>
      <c r="AF143" s="50">
        <f>IF(OR(W143="",BM143="",BM143=0),"",W143/BM143)</f>
        <v/>
      </c>
      <c r="AG143" s="50">
        <f>IF(OR(Z143="",BM143="",BM143=0),"",Z143/BM143)</f>
        <v/>
      </c>
      <c r="AH143" s="50">
        <f>IF(OR(AC143="",BM143="",BM143=0),"",AC143/BM143)</f>
        <v/>
      </c>
      <c r="AI143" s="49" t="n">
        <v>1</v>
      </c>
      <c r="AJ143" s="49" t="n">
        <v>92.5</v>
      </c>
      <c r="AK143" s="49" t="n"/>
      <c r="AL143" s="49" t="n">
        <v>6.5</v>
      </c>
      <c r="AM143" s="49" t="n"/>
      <c r="AN143" s="49" t="n"/>
      <c r="AO143" s="49" t="n">
        <v>52.3</v>
      </c>
      <c r="AP143" s="49" t="n">
        <v>13.5</v>
      </c>
      <c r="AQ143" s="49" t="n">
        <v>17.8</v>
      </c>
      <c r="AR143" s="49" t="n"/>
      <c r="AS143" s="49" t="n"/>
      <c r="AT143" s="49" t="n"/>
      <c r="AU143" s="49" t="n">
        <v>5</v>
      </c>
      <c r="AV143" s="49" t="n"/>
      <c r="AW143" s="49" t="n">
        <v>3.2</v>
      </c>
      <c r="AX143" s="49" t="n"/>
      <c r="AY143" s="49" t="n"/>
      <c r="AZ143" s="49" t="n"/>
      <c r="BA143" s="49" t="n">
        <v>12.9</v>
      </c>
      <c r="BB143" s="49" t="n">
        <v>48.6</v>
      </c>
      <c r="BC143" s="49" t="n">
        <v>0.9</v>
      </c>
      <c r="BD143" s="49" t="n">
        <v>23.3</v>
      </c>
      <c r="BE143" s="49" t="n">
        <v>7.8</v>
      </c>
      <c r="BF143" s="49" t="n"/>
      <c r="BG143" s="49" t="n"/>
      <c r="BH143" s="49" t="n"/>
      <c r="BI143" s="49" t="n"/>
      <c r="BJ143" s="49" t="n"/>
      <c r="BK143" s="49" t="n"/>
      <c r="BL143" s="46" t="inlineStr">
        <is>
          <t>Alphabet Incorporated - Class A | Taiwan Semiconductor Manufacturing Company Limited | NVIDIA Corporation | Tesla Incorporated | Advanced Micro Devices Incorporated</t>
        </is>
      </c>
      <c r="BM143" s="49" t="n">
        <v>16.3</v>
      </c>
      <c r="BN143" s="45" t="inlineStr">
        <is>
          <t>Very High</t>
        </is>
      </c>
      <c r="BO143" s="46" t="inlineStr">
        <is>
          <t>Equity Global Global</t>
        </is>
      </c>
      <c r="BP143" s="46" t="inlineStr">
        <is>
          <t>2019 0.50 31.5.19 1.6 Thebenchmark forPGSFis a compositeof 90% MSCI All CountryWorldIndex 2020 2.00 29.5.20 5.6 (priorto30April2021),90%S&amp;PGlobalLargeCapIndex(w.e.f.30April2021)and 10% 1-Month Kuala Lumpur Interbank Offered Rate (KLIBOR). 2021 5.00 31.5.21 12.2 UnderlyingindexdataaresourcedfromS&amp;PDowJonesIndices,LLC,Lipperand 2022 4.00 31.5.22 11.4 Bank Negara Malaysia and expressed in Ringgit terms. Note: Distribution yield simply measures the level of distributions and is not a measure of fund performance.</t>
        </is>
      </c>
      <c r="BQ143" s="51" t="n">
        <v>0.6852</v>
      </c>
      <c r="BR143" s="45" t="inlineStr">
        <is>
          <t>2006-11-01</t>
        </is>
      </c>
      <c r="BS143" s="51" t="n">
        <v>0.5325</v>
      </c>
      <c r="BT143" s="50" t="n">
        <v>-22.29</v>
      </c>
      <c r="BU143" s="47" t="n">
        <v>7166</v>
      </c>
    </row>
    <row r="144" ht="16" customHeight="1">
      <c r="A144" s="52" t="inlineStr">
        <is>
          <t>PUBLIC ISLAMIC ENTERPRISES EQUITY FUND</t>
        </is>
      </c>
      <c r="B144" s="52" t="inlineStr">
        <is>
          <t>PIENTEF</t>
        </is>
      </c>
      <c r="C144" s="52" t="inlineStr">
        <is>
          <t>Shariah</t>
        </is>
      </c>
      <c r="D144" s="52" t="inlineStr">
        <is>
          <t>Equity</t>
        </is>
      </c>
      <c r="E144" s="39" t="inlineStr">
        <is>
          <t>Capital Growth</t>
        </is>
      </c>
      <c r="F144" s="40" t="n">
        <v>4</v>
      </c>
      <c r="G144" s="39" t="inlineStr">
        <is>
          <t>Incidental</t>
        </is>
      </c>
      <c r="H144" s="41" t="n">
        <v>277.02</v>
      </c>
      <c r="I144" s="38" t="inlineStr">
        <is>
          <t>18.03.2015</t>
        </is>
      </c>
      <c r="J144" s="38" t="inlineStr">
        <is>
          <t>Disqualified</t>
        </is>
      </c>
      <c r="K144" s="42" t="n">
        <v>40</v>
      </c>
      <c r="L144" s="38" t="inlineStr">
        <is>
          <t>2/5</t>
        </is>
      </c>
      <c r="M144" s="39" t="inlineStr">
        <is>
          <t>Disqualified (WA: -0.90%) — YTD✘ 1Y✘ 3Y✘ 5Y✔ 10Y✔</t>
        </is>
      </c>
      <c r="N144" s="43" t="n">
        <v>-0.9</v>
      </c>
      <c r="O144" s="43" t="n">
        <v>1.36</v>
      </c>
      <c r="P144" s="43" t="n">
        <v>8.68</v>
      </c>
      <c r="Q144" s="43" t="n">
        <v>-7.32</v>
      </c>
      <c r="R144" s="43" t="n">
        <v>14.25</v>
      </c>
      <c r="S144" s="43" t="n">
        <v>20.22</v>
      </c>
      <c r="T144" s="43" t="n">
        <v>-5.97</v>
      </c>
      <c r="U144" s="43" t="n">
        <v>8.75</v>
      </c>
      <c r="V144" s="43" t="n">
        <v>8.83</v>
      </c>
      <c r="W144" s="43" t="n">
        <v>-0.08</v>
      </c>
      <c r="X144" s="43" t="n">
        <v>2.24</v>
      </c>
      <c r="Y144" s="43" t="n">
        <v>1.3</v>
      </c>
      <c r="Z144" s="43" t="n">
        <v>0.9399999999999999</v>
      </c>
      <c r="AA144" s="43" t="n">
        <v>3.35</v>
      </c>
      <c r="AB144" s="43" t="n">
        <v>2.27</v>
      </c>
      <c r="AC144" s="43" t="n">
        <v>1.08</v>
      </c>
      <c r="AD144" s="43">
        <f>IF(OR(Q144="",BM144="",BM144=0),"",Q144/BM144)</f>
        <v/>
      </c>
      <c r="AE144" s="43">
        <f>IF(OR(T144="",BM144="",BM144=0),"",T144/BM144)</f>
        <v/>
      </c>
      <c r="AF144" s="43">
        <f>IF(OR(W144="",BM144="",BM144=0),"",W144/BM144)</f>
        <v/>
      </c>
      <c r="AG144" s="43">
        <f>IF(OR(Z144="",BM144="",BM144=0),"",Z144/BM144)</f>
        <v/>
      </c>
      <c r="AH144" s="43">
        <f>IF(OR(AC144="",BM144="",BM144=0),"",AC144/BM144)</f>
        <v/>
      </c>
      <c r="AI144" s="42" t="n">
        <v>75.90000000000001</v>
      </c>
      <c r="AJ144" s="42" t="n">
        <v>17.9</v>
      </c>
      <c r="AK144" s="42" t="n"/>
      <c r="AL144" s="42" t="n">
        <v>6.2</v>
      </c>
      <c r="AM144" s="42" t="n"/>
      <c r="AN144" s="42" t="n"/>
      <c r="AO144" s="42" t="n">
        <v>13.1</v>
      </c>
      <c r="AP144" s="42" t="n"/>
      <c r="AQ144" s="42" t="n"/>
      <c r="AR144" s="42" t="n"/>
      <c r="AS144" s="42" t="n">
        <v>2</v>
      </c>
      <c r="AT144" s="42" t="n"/>
      <c r="AU144" s="42" t="n">
        <v>2.8</v>
      </c>
      <c r="AV144" s="42" t="n"/>
      <c r="AW144" s="42" t="n"/>
      <c r="AX144" s="42" t="n"/>
      <c r="AY144" s="42" t="n"/>
      <c r="AZ144" s="42" t="n"/>
      <c r="BA144" s="42" t="n"/>
      <c r="BB144" s="42" t="n"/>
      <c r="BC144" s="42" t="n">
        <v>10.3</v>
      </c>
      <c r="BD144" s="42" t="n">
        <v>17.1</v>
      </c>
      <c r="BE144" s="42" t="n">
        <v>7.9</v>
      </c>
      <c r="BF144" s="42" t="n">
        <v>23.8</v>
      </c>
      <c r="BG144" s="42" t="n">
        <v>9.9</v>
      </c>
      <c r="BH144" s="42" t="n"/>
      <c r="BI144" s="42" t="n"/>
      <c r="BJ144" s="42" t="n"/>
      <c r="BK144" s="42" t="n"/>
      <c r="BL144" s="39" t="inlineStr">
        <is>
          <t>Tenaga Nasional Berhad | Telekom Malaysia Berhad | QL Resources Berhad | Press Metal Aluminium Holdings Berhad | NVIDIA Corporation</t>
        </is>
      </c>
      <c r="BM144" s="42" t="n">
        <v>8.699999999999999</v>
      </c>
      <c r="BN144" s="38" t="inlineStr">
        <is>
          <t>Moderate</t>
        </is>
      </c>
      <c r="BO144" s="39" t="inlineStr">
        <is>
          <t>Equity Malaysia Domestic</t>
        </is>
      </c>
      <c r="BP144" s="39" t="inlineStr">
        <is>
          <t>ThebenchmarkforPIENTEFisacompositeof75%FTSEBursaMalaysiaHijrah ShariahIndex,15%customisedindexbyS&amp;PDowJonesIndices,LLCbasedon top 100 constituents bymarket capitalisation of theS&amp;P ShariahBMIAsiaEx- Japan Index and 10% 3-Month Islamic Interbank Money Market (IIMM) rate. UnderlyingindexdataaresourcedfromS&amp;PDowJonesIndices,LLC,Lipperand Bank Negara Malaysia and expressed in Ringgit terms.</t>
        </is>
      </c>
      <c r="BQ144" s="44" t="n">
        <v>0.3212</v>
      </c>
      <c r="BR144" s="38" t="inlineStr">
        <is>
          <t>2026-05-14</t>
        </is>
      </c>
      <c r="BS144" s="44" t="n">
        <v>0.3144</v>
      </c>
      <c r="BT144" s="43" t="n">
        <v>-2.12</v>
      </c>
      <c r="BU144" s="40" t="n">
        <v>32</v>
      </c>
    </row>
    <row r="145" ht="16" customHeight="1">
      <c r="A145" s="45" t="inlineStr">
        <is>
          <t>PB GLOBAL EQUITY FUND</t>
        </is>
      </c>
      <c r="B145" s="45" t="inlineStr">
        <is>
          <t>PBGEF</t>
        </is>
      </c>
      <c r="C145" s="45" t="inlineStr">
        <is>
          <t>Conventional</t>
        </is>
      </c>
      <c r="D145" s="45" t="inlineStr">
        <is>
          <t>Equity</t>
        </is>
      </c>
      <c r="E145" s="46" t="inlineStr">
        <is>
          <t>Capital Growth</t>
        </is>
      </c>
      <c r="F145" s="47" t="n">
        <v>5</v>
      </c>
      <c r="G145" s="46" t="inlineStr">
        <is>
          <t>Incidental</t>
        </is>
      </c>
      <c r="H145" s="48" t="n">
        <v>93.66</v>
      </c>
      <c r="I145" s="45" t="inlineStr">
        <is>
          <t>07.10.2014</t>
        </is>
      </c>
      <c r="J145" s="45" t="inlineStr">
        <is>
          <t>Disqualified</t>
        </is>
      </c>
      <c r="K145" s="49" t="n">
        <v>60</v>
      </c>
      <c r="L145" s="45" t="inlineStr">
        <is>
          <t>3/5</t>
        </is>
      </c>
      <c r="M145" s="46" t="inlineStr">
        <is>
          <t>Disqualified (WA: -0.96%) — YTD✔ 1Y✔ 3Y✔ 5Y✘ 10Y✘</t>
        </is>
      </c>
      <c r="N145" s="50" t="n">
        <v>-0.96</v>
      </c>
      <c r="O145" s="50" t="n">
        <v>5.13</v>
      </c>
      <c r="P145" s="50" t="n">
        <v>3.17</v>
      </c>
      <c r="Q145" s="50" t="n">
        <v>1.96</v>
      </c>
      <c r="R145" s="50" t="n">
        <v>17.91</v>
      </c>
      <c r="S145" s="50" t="n">
        <v>14.82</v>
      </c>
      <c r="T145" s="50" t="n">
        <v>3.09</v>
      </c>
      <c r="U145" s="50" t="n">
        <v>10.95</v>
      </c>
      <c r="V145" s="50" t="n">
        <v>10.08</v>
      </c>
      <c r="W145" s="50" t="n">
        <v>0.87</v>
      </c>
      <c r="X145" s="50" t="n">
        <v>1.02</v>
      </c>
      <c r="Y145" s="50" t="n">
        <v>7.26</v>
      </c>
      <c r="Z145" s="50" t="n">
        <v>-6.24</v>
      </c>
      <c r="AA145" s="50" t="n">
        <v>7.53</v>
      </c>
      <c r="AB145" s="50" t="n">
        <v>9.58</v>
      </c>
      <c r="AC145" s="50" t="n">
        <v>-2.05</v>
      </c>
      <c r="AD145" s="50">
        <f>IF(OR(Q145="",BM145="",BM145=0),"",Q145/BM145)</f>
        <v/>
      </c>
      <c r="AE145" s="50">
        <f>IF(OR(T145="",BM145="",BM145=0),"",T145/BM145)</f>
        <v/>
      </c>
      <c r="AF145" s="50">
        <f>IF(OR(W145="",BM145="",BM145=0),"",W145/BM145)</f>
        <v/>
      </c>
      <c r="AG145" s="50">
        <f>IF(OR(Z145="",BM145="",BM145=0),"",Z145/BM145)</f>
        <v/>
      </c>
      <c r="AH145" s="50">
        <f>IF(OR(AC145="",BM145="",BM145=0),"",AC145/BM145)</f>
        <v/>
      </c>
      <c r="AI145" s="49" t="n">
        <v>0.9</v>
      </c>
      <c r="AJ145" s="49" t="n">
        <v>93.7</v>
      </c>
      <c r="AK145" s="49" t="n"/>
      <c r="AL145" s="49" t="n">
        <v>5.4</v>
      </c>
      <c r="AM145" s="49" t="n"/>
      <c r="AN145" s="49" t="n"/>
      <c r="AO145" s="49" t="n">
        <v>59.5</v>
      </c>
      <c r="AP145" s="49" t="n">
        <v>9.9</v>
      </c>
      <c r="AQ145" s="49" t="n">
        <v>5.6</v>
      </c>
      <c r="AR145" s="49" t="n"/>
      <c r="AS145" s="49" t="n"/>
      <c r="AT145" s="49" t="n"/>
      <c r="AU145" s="49" t="n">
        <v>6.4</v>
      </c>
      <c r="AV145" s="49" t="n"/>
      <c r="AW145" s="49" t="n"/>
      <c r="AX145" s="49" t="n"/>
      <c r="AY145" s="49" t="n"/>
      <c r="AZ145" s="49" t="n"/>
      <c r="BA145" s="49" t="n">
        <v>8.1</v>
      </c>
      <c r="BB145" s="49" t="n">
        <v>40.3</v>
      </c>
      <c r="BC145" s="49" t="n">
        <v>0.9</v>
      </c>
      <c r="BD145" s="49" t="n">
        <v>32.2</v>
      </c>
      <c r="BE145" s="49" t="n">
        <v>12.2</v>
      </c>
      <c r="BF145" s="49" t="n"/>
      <c r="BG145" s="49" t="n"/>
      <c r="BH145" s="49" t="n"/>
      <c r="BI145" s="49" t="n"/>
      <c r="BJ145" s="49" t="n"/>
      <c r="BK145" s="49" t="n"/>
      <c r="BL145" s="46" t="inlineStr">
        <is>
          <t>Alphabet Incorporated - Class A | Taiwan Semiconductor Manufacturing Company Limited | Meta Platforms Incorporated | Tesla Incorporated | Advanced Micro Devices Incorporated</t>
        </is>
      </c>
      <c r="BM145" s="49" t="n">
        <v>13.3</v>
      </c>
      <c r="BN145" s="45" t="inlineStr">
        <is>
          <t>High</t>
        </is>
      </c>
      <c r="BO145" s="46" t="inlineStr">
        <is>
          <t>Equity Global Global</t>
        </is>
      </c>
      <c r="BP145" s="46" t="n"/>
      <c r="BQ145" s="51" t="n">
        <v>0.4158</v>
      </c>
      <c r="BR145" s="45" t="inlineStr">
        <is>
          <t>2026-06-03</t>
        </is>
      </c>
      <c r="BS145" s="51" t="n">
        <v>0.4046</v>
      </c>
      <c r="BT145" s="50" t="n">
        <v>-2.69</v>
      </c>
      <c r="BU145" s="47" t="n">
        <v>12</v>
      </c>
    </row>
    <row r="146" ht="16" customHeight="1">
      <c r="A146" s="38" t="inlineStr">
        <is>
          <t>PUBLIC U.S. EQUITY FUND</t>
        </is>
      </c>
      <c r="B146" s="38" t="inlineStr">
        <is>
          <t>PUSEQF</t>
        </is>
      </c>
      <c r="C146" s="38" t="inlineStr">
        <is>
          <t>Conventional</t>
        </is>
      </c>
      <c r="D146" s="38" t="inlineStr">
        <is>
          <t>Equity</t>
        </is>
      </c>
      <c r="E146" s="39" t="inlineStr">
        <is>
          <t>Capital Growth</t>
        </is>
      </c>
      <c r="F146" s="40" t="n">
        <v>5</v>
      </c>
      <c r="G146" s="39" t="inlineStr">
        <is>
          <t>Incidental</t>
        </is>
      </c>
      <c r="H146" s="41" t="n">
        <v>171.86</v>
      </c>
      <c r="I146" s="38" t="inlineStr">
        <is>
          <t>13.11.2018</t>
        </is>
      </c>
      <c r="J146" s="38" t="inlineStr">
        <is>
          <t>Disqualified</t>
        </is>
      </c>
      <c r="K146" s="42" t="n">
        <v>25</v>
      </c>
      <c r="L146" s="38" t="inlineStr">
        <is>
          <t>1/4</t>
        </is>
      </c>
      <c r="M146" s="39" t="inlineStr">
        <is>
          <t>Disqualified (WA: -1.04%) — YTD✘ 1Y✘ 3Y✔ 5Y✘</t>
        </is>
      </c>
      <c r="N146" s="43" t="n">
        <v>-1.04</v>
      </c>
      <c r="O146" s="43" t="n">
        <v>-7.03</v>
      </c>
      <c r="P146" s="43" t="n">
        <v>1.13</v>
      </c>
      <c r="Q146" s="43" t="n">
        <v>-8.16</v>
      </c>
      <c r="R146" s="43" t="n">
        <v>8.720000000000001</v>
      </c>
      <c r="S146" s="43" t="n">
        <v>11.51</v>
      </c>
      <c r="T146" s="43" t="n">
        <v>-2.79</v>
      </c>
      <c r="U146" s="43" t="n">
        <v>11.3</v>
      </c>
      <c r="V146" s="43" t="n">
        <v>8.56</v>
      </c>
      <c r="W146" s="43" t="n">
        <v>2.74</v>
      </c>
      <c r="X146" s="43" t="n">
        <v>2.36</v>
      </c>
      <c r="Y146" s="43" t="n">
        <v>6.97</v>
      </c>
      <c r="Z146" s="43" t="n">
        <v>-4.61</v>
      </c>
      <c r="AA146" s="43" t="n"/>
      <c r="AB146" s="43" t="n"/>
      <c r="AC146" s="43" t="n"/>
      <c r="AD146" s="43">
        <f>IF(OR(Q146="",BM146="",BM146=0),"",Q146/BM146)</f>
        <v/>
      </c>
      <c r="AE146" s="43">
        <f>IF(OR(T146="",BM146="",BM146=0),"",T146/BM146)</f>
        <v/>
      </c>
      <c r="AF146" s="43">
        <f>IF(OR(W146="",BM146="",BM146=0),"",W146/BM146)</f>
        <v/>
      </c>
      <c r="AG146" s="43">
        <f>IF(OR(Z146="",BM146="",BM146=0),"",Z146/BM146)</f>
        <v/>
      </c>
      <c r="AH146" s="43">
        <f>IF(OR(AC146="",BM146="",BM146=0),"",AC146/BM146)</f>
        <v/>
      </c>
      <c r="AI146" s="42" t="n"/>
      <c r="AJ146" s="42" t="n">
        <v>93.3</v>
      </c>
      <c r="AK146" s="42" t="n"/>
      <c r="AL146" s="42" t="n">
        <v>6.7</v>
      </c>
      <c r="AM146" s="42" t="n"/>
      <c r="AN146" s="42" t="n"/>
      <c r="AO146" s="42" t="n">
        <v>74</v>
      </c>
      <c r="AP146" s="42" t="n"/>
      <c r="AQ146" s="42" t="n">
        <v>10.6</v>
      </c>
      <c r="AR146" s="42" t="n"/>
      <c r="AS146" s="42" t="n">
        <v>1.7</v>
      </c>
      <c r="AT146" s="42" t="n"/>
      <c r="AU146" s="42" t="n">
        <v>2.4</v>
      </c>
      <c r="AV146" s="42" t="n">
        <v>2.9</v>
      </c>
      <c r="AW146" s="42" t="n"/>
      <c r="AX146" s="42" t="n"/>
      <c r="AY146" s="42" t="n"/>
      <c r="AZ146" s="42" t="n"/>
      <c r="BA146" s="42" t="n">
        <v>11.3</v>
      </c>
      <c r="BB146" s="42" t="n">
        <v>26.8</v>
      </c>
      <c r="BC146" s="42" t="n">
        <v>8.9</v>
      </c>
      <c r="BD146" s="42" t="n">
        <v>25.7</v>
      </c>
      <c r="BE146" s="42" t="n">
        <v>15.7</v>
      </c>
      <c r="BF146" s="42" t="n"/>
      <c r="BG146" s="42" t="n"/>
      <c r="BH146" s="42" t="n"/>
      <c r="BI146" s="42" t="n"/>
      <c r="BJ146" s="42" t="n"/>
      <c r="BK146" s="42" t="n"/>
      <c r="BL146" s="39" t="inlineStr">
        <is>
          <t>Tesla Incorporated | Meta Platforms Incorporated | Advanced Micro Devices Incorporated | HD Hyundai Electric Company Limited | Alphabet Incorporated - Class A</t>
        </is>
      </c>
      <c r="BM146" s="42" t="n">
        <v>17.1</v>
      </c>
      <c r="BN146" s="38" t="inlineStr">
        <is>
          <t>Very High</t>
        </is>
      </c>
      <c r="BO146" s="39" t="inlineStr">
        <is>
          <t>Global</t>
        </is>
      </c>
      <c r="BP146" s="39" t="inlineStr">
        <is>
          <t>ThebenchmarkforPUSEQFisacompositeof90%DowJonesIndustrialAverage and 10% 3-Month Kuala Lumpur Interbank Offered Rate (KLIBOR). Underlying index data are sourced from Lipper and Bank Negara Malaysia and expressed in Ringgit terms.</t>
        </is>
      </c>
      <c r="BQ146" s="44" t="n">
        <v>0.5111</v>
      </c>
      <c r="BR146" s="38" t="inlineStr">
        <is>
          <t>2025-11-03</t>
        </is>
      </c>
      <c r="BS146" s="44" t="n">
        <v>0.4402</v>
      </c>
      <c r="BT146" s="43" t="n">
        <v>-13.87</v>
      </c>
      <c r="BU146" s="40" t="n">
        <v>224</v>
      </c>
    </row>
    <row r="147" ht="16" customHeight="1">
      <c r="A147" s="45" t="inlineStr">
        <is>
          <t>PB ASEAN DIVIDEND SEQUEL FUND</t>
        </is>
      </c>
      <c r="B147" s="45" t="inlineStr">
        <is>
          <t>PBADSQF</t>
        </is>
      </c>
      <c r="C147" s="45" t="inlineStr">
        <is>
          <t>Conventional</t>
        </is>
      </c>
      <c r="D147" s="45" t="inlineStr">
        <is>
          <t>Equity</t>
        </is>
      </c>
      <c r="E147" s="46" t="inlineStr">
        <is>
          <t>Income</t>
        </is>
      </c>
      <c r="F147" s="47" t="n">
        <v>5</v>
      </c>
      <c r="G147" s="46" t="inlineStr">
        <is>
          <t>Annual</t>
        </is>
      </c>
      <c r="H147" s="48" t="n">
        <v>290.62</v>
      </c>
      <c r="I147" s="45" t="inlineStr">
        <is>
          <t>18.08.2016</t>
        </is>
      </c>
      <c r="J147" s="45" t="inlineStr">
        <is>
          <t>Disqualified</t>
        </is>
      </c>
      <c r="K147" s="49" t="n">
        <v>50</v>
      </c>
      <c r="L147" s="45" t="inlineStr">
        <is>
          <t>2/4</t>
        </is>
      </c>
      <c r="M147" s="46" t="inlineStr">
        <is>
          <t>Disqualified (WA: -1.04%) — YTD✔ 1Y✔ 3Y✘ 5Y✘</t>
        </is>
      </c>
      <c r="N147" s="50" t="n">
        <v>-1.04</v>
      </c>
      <c r="O147" s="50" t="n">
        <v>9.19</v>
      </c>
      <c r="P147" s="50" t="n">
        <v>1.89</v>
      </c>
      <c r="Q147" s="50" t="n">
        <v>7.3</v>
      </c>
      <c r="R147" s="50" t="n">
        <v>11.92</v>
      </c>
      <c r="S147" s="50" t="n">
        <v>10.67</v>
      </c>
      <c r="T147" s="50" t="n">
        <v>1.25</v>
      </c>
      <c r="U147" s="50" t="n">
        <v>2.18</v>
      </c>
      <c r="V147" s="50" t="n">
        <v>4.42</v>
      </c>
      <c r="W147" s="50" t="n">
        <v>-2.24</v>
      </c>
      <c r="X147" s="50" t="n">
        <v>2.65</v>
      </c>
      <c r="Y147" s="50" t="n">
        <v>4.82</v>
      </c>
      <c r="Z147" s="50" t="n">
        <v>-2.17</v>
      </c>
      <c r="AA147" s="50" t="n"/>
      <c r="AB147" s="50" t="n"/>
      <c r="AC147" s="50" t="n"/>
      <c r="AD147" s="50">
        <f>IF(OR(Q147="",BM147="",BM147=0),"",Q147/BM147)</f>
        <v/>
      </c>
      <c r="AE147" s="50">
        <f>IF(OR(T147="",BM147="",BM147=0),"",T147/BM147)</f>
        <v/>
      </c>
      <c r="AF147" s="50">
        <f>IF(OR(W147="",BM147="",BM147=0),"",W147/BM147)</f>
        <v/>
      </c>
      <c r="AG147" s="50">
        <f>IF(OR(Z147="",BM147="",BM147=0),"",Z147/BM147)</f>
        <v/>
      </c>
      <c r="AH147" s="50">
        <f>IF(OR(AC147="",BM147="",BM147=0),"",AC147/BM147)</f>
        <v/>
      </c>
      <c r="AI147" s="49" t="n">
        <v>15.1</v>
      </c>
      <c r="AJ147" s="49" t="n">
        <v>78</v>
      </c>
      <c r="AK147" s="49" t="n"/>
      <c r="AL147" s="49" t="n">
        <v>6.9</v>
      </c>
      <c r="AM147" s="49" t="n"/>
      <c r="AN147" s="49" t="n"/>
      <c r="AO147" s="49" t="n"/>
      <c r="AP147" s="49" t="n"/>
      <c r="AQ147" s="49" t="n">
        <v>3.6</v>
      </c>
      <c r="AR147" s="49" t="n">
        <v>3.6</v>
      </c>
      <c r="AS147" s="49" t="n"/>
      <c r="AT147" s="49" t="n"/>
      <c r="AU147" s="49" t="n"/>
      <c r="AV147" s="49" t="n">
        <v>39</v>
      </c>
      <c r="AW147" s="49" t="n"/>
      <c r="AX147" s="49" t="n">
        <v>12.3</v>
      </c>
      <c r="AY147" s="49" t="n"/>
      <c r="AZ147" s="49" t="n">
        <v>13.5</v>
      </c>
      <c r="BA147" s="49" t="n">
        <v>29.8</v>
      </c>
      <c r="BB147" s="49" t="n">
        <v>2.7</v>
      </c>
      <c r="BC147" s="49" t="n">
        <v>55.2</v>
      </c>
      <c r="BD147" s="49" t="n"/>
      <c r="BE147" s="49" t="n">
        <v>3.2</v>
      </c>
      <c r="BF147" s="49" t="n"/>
      <c r="BG147" s="49" t="n"/>
      <c r="BH147" s="49" t="n"/>
      <c r="BI147" s="49" t="n"/>
      <c r="BJ147" s="49" t="n"/>
      <c r="BK147" s="49" t="n">
        <v>1.7</v>
      </c>
      <c r="BL147" s="46" t="inlineStr">
        <is>
          <t>DBS Group Holdings Limited | Oversea-Chinese Banking Corporation Limited | Public Bank Berhad | Delta Electronics (Thailand) Public Company Limited - Foreign | Frencken Group Limited</t>
        </is>
      </c>
      <c r="BM147" s="49" t="n">
        <v>8.4</v>
      </c>
      <c r="BN147" s="45" t="inlineStr">
        <is>
          <t>Moderate</t>
        </is>
      </c>
      <c r="BO147" s="46" t="inlineStr">
        <is>
          <t>Equity ASEAN ASEAN</t>
        </is>
      </c>
      <c r="BP147" s="46" t="n"/>
      <c r="BQ147" s="51" t="n">
        <v>0.2865</v>
      </c>
      <c r="BR147" s="45" t="inlineStr">
        <is>
          <t>2018-01-24</t>
        </is>
      </c>
      <c r="BS147" s="51" t="n">
        <v>0.2657</v>
      </c>
      <c r="BT147" s="50" t="n">
        <v>-7.26</v>
      </c>
      <c r="BU147" s="47" t="n">
        <v>3064</v>
      </c>
    </row>
    <row r="148" ht="16" customHeight="1">
      <c r="A148" s="38" t="inlineStr">
        <is>
          <t>PB ASIA PACIFIC DIVIDEND FUND</t>
        </is>
      </c>
      <c r="B148" s="38" t="inlineStr">
        <is>
          <t>PBAPDF</t>
        </is>
      </c>
      <c r="C148" s="38" t="inlineStr">
        <is>
          <t>Conventional</t>
        </is>
      </c>
      <c r="D148" s="38" t="inlineStr">
        <is>
          <t>Equity</t>
        </is>
      </c>
      <c r="E148" s="39" t="inlineStr">
        <is>
          <t>Income</t>
        </is>
      </c>
      <c r="F148" s="40" t="n">
        <v>5</v>
      </c>
      <c r="G148" s="39" t="inlineStr">
        <is>
          <t>Annual</t>
        </is>
      </c>
      <c r="H148" s="41" t="n">
        <v>149.64</v>
      </c>
      <c r="I148" s="38" t="inlineStr">
        <is>
          <t>15.08.2017</t>
        </is>
      </c>
      <c r="J148" s="38" t="inlineStr">
        <is>
          <t>Disqualified</t>
        </is>
      </c>
      <c r="K148" s="42" t="n">
        <v>50</v>
      </c>
      <c r="L148" s="38" t="inlineStr">
        <is>
          <t>2/4</t>
        </is>
      </c>
      <c r="M148" s="39" t="inlineStr">
        <is>
          <t>Disqualified (WA: -1.12%) — YTD✔ 1Y✘ 3Y✘ 5Y✔</t>
        </is>
      </c>
      <c r="N148" s="43" t="n">
        <v>-1.12</v>
      </c>
      <c r="O148" s="43" t="n">
        <v>14.51</v>
      </c>
      <c r="P148" s="43" t="n">
        <v>13.42</v>
      </c>
      <c r="Q148" s="43" t="n">
        <v>1.09</v>
      </c>
      <c r="R148" s="43" t="n">
        <v>25.13</v>
      </c>
      <c r="S148" s="43" t="n">
        <v>28.16</v>
      </c>
      <c r="T148" s="43" t="n">
        <v>-3.03</v>
      </c>
      <c r="U148" s="43" t="n">
        <v>12.53</v>
      </c>
      <c r="V148" s="43" t="n">
        <v>14.33</v>
      </c>
      <c r="W148" s="43" t="n">
        <v>-1.8</v>
      </c>
      <c r="X148" s="43" t="n">
        <v>7.94</v>
      </c>
      <c r="Y148" s="43" t="n">
        <v>7.27</v>
      </c>
      <c r="Z148" s="43" t="n">
        <v>0.67</v>
      </c>
      <c r="AA148" s="43" t="n"/>
      <c r="AB148" s="43" t="n"/>
      <c r="AC148" s="43" t="n"/>
      <c r="AD148" s="43">
        <f>IF(OR(Q148="",BM148="",BM148=0),"",Q148/BM148)</f>
        <v/>
      </c>
      <c r="AE148" s="43">
        <f>IF(OR(T148="",BM148="",BM148=0),"",T148/BM148)</f>
        <v/>
      </c>
      <c r="AF148" s="43">
        <f>IF(OR(W148="",BM148="",BM148=0),"",W148/BM148)</f>
        <v/>
      </c>
      <c r="AG148" s="43">
        <f>IF(OR(Z148="",BM148="",BM148=0),"",Z148/BM148)</f>
        <v/>
      </c>
      <c r="AH148" s="43">
        <f>IF(OR(AC148="",BM148="",BM148=0),"",AC148/BM148)</f>
        <v/>
      </c>
      <c r="AI148" s="42" t="n">
        <v>6.5</v>
      </c>
      <c r="AJ148" s="42" t="n">
        <v>80.09999999999999</v>
      </c>
      <c r="AK148" s="42" t="n"/>
      <c r="AL148" s="42" t="n">
        <v>13.4</v>
      </c>
      <c r="AM148" s="42" t="n"/>
      <c r="AN148" s="42" t="n"/>
      <c r="AO148" s="42" t="n">
        <v>6.2</v>
      </c>
      <c r="AP148" s="42" t="n">
        <v>21.7</v>
      </c>
      <c r="AQ148" s="42" t="n">
        <v>12.2</v>
      </c>
      <c r="AR148" s="42" t="n"/>
      <c r="AS148" s="42" t="n"/>
      <c r="AT148" s="42" t="n"/>
      <c r="AU148" s="42" t="n">
        <v>8.699999999999999</v>
      </c>
      <c r="AV148" s="42" t="n"/>
      <c r="AW148" s="42" t="n"/>
      <c r="AX148" s="42" t="n"/>
      <c r="AY148" s="42" t="n"/>
      <c r="AZ148" s="42" t="n"/>
      <c r="BA148" s="42" t="n">
        <v>6.7</v>
      </c>
      <c r="BB148" s="42" t="n">
        <v>30.3</v>
      </c>
      <c r="BC148" s="42" t="n">
        <v>30.1</v>
      </c>
      <c r="BD148" s="42" t="n">
        <v>15.7</v>
      </c>
      <c r="BE148" s="42" t="n">
        <v>3.8</v>
      </c>
      <c r="BF148" s="42" t="n"/>
      <c r="BG148" s="42" t="n"/>
      <c r="BH148" s="42" t="n"/>
      <c r="BI148" s="42" t="n"/>
      <c r="BJ148" s="42" t="n"/>
      <c r="BK148" s="42" t="n"/>
      <c r="BL148" s="39" t="inlineStr">
        <is>
          <t>Taiwan Semiconductor Manufacturing Company Limited | China Construction Bank Corporation - H Shares | MediaTek Incorporated | Industrial and Commercial Bank of China Limited - H Shares | Sun Hung Kai Properties Limited</t>
        </is>
      </c>
      <c r="BM148" s="42" t="n">
        <v>10.1</v>
      </c>
      <c r="BN148" s="38" t="inlineStr">
        <is>
          <t>Moderate</t>
        </is>
      </c>
      <c r="BO148" s="39" t="inlineStr">
        <is>
          <t>Equity Asia Pacific ex- Asia</t>
        </is>
      </c>
      <c r="BP148" s="39" t="n"/>
      <c r="BQ148" s="44" t="n">
        <v>0.366</v>
      </c>
      <c r="BR148" s="38" t="inlineStr">
        <is>
          <t>2026-05-11</t>
        </is>
      </c>
      <c r="BS148" s="44" t="n">
        <v>0.3621</v>
      </c>
      <c r="BT148" s="43" t="n">
        <v>-1.07</v>
      </c>
      <c r="BU148" s="40" t="n">
        <v>35</v>
      </c>
    </row>
    <row r="149" ht="16" customHeight="1">
      <c r="A149" s="53" t="inlineStr">
        <is>
          <t>PUBLIC ISLAMIC ADVANTAGE GROWTH EQUITY FUND</t>
        </is>
      </c>
      <c r="B149" s="53" t="inlineStr">
        <is>
          <t>PIAVGEF</t>
        </is>
      </c>
      <c r="C149" s="53" t="inlineStr">
        <is>
          <t>Shariah</t>
        </is>
      </c>
      <c r="D149" s="53" t="inlineStr">
        <is>
          <t>Equity</t>
        </is>
      </c>
      <c r="E149" s="46" t="inlineStr">
        <is>
          <t>Capital Growth</t>
        </is>
      </c>
      <c r="F149" s="47" t="n">
        <v>5</v>
      </c>
      <c r="G149" s="46" t="inlineStr">
        <is>
          <t>Incidental</t>
        </is>
      </c>
      <c r="H149" s="48" t="n">
        <v>201.79</v>
      </c>
      <c r="I149" s="45" t="inlineStr">
        <is>
          <t>08.09.2015</t>
        </is>
      </c>
      <c r="J149" s="45" t="inlineStr">
        <is>
          <t>Disqualified</t>
        </is>
      </c>
      <c r="K149" s="49" t="n">
        <v>20</v>
      </c>
      <c r="L149" s="45" t="inlineStr">
        <is>
          <t>1/5</t>
        </is>
      </c>
      <c r="M149" s="46" t="inlineStr">
        <is>
          <t>Disqualified (WA: -1.25%) — YTD✘ 1Y✘ 3Y✘ 5Y✘ 10Y✔</t>
        </is>
      </c>
      <c r="N149" s="50" t="n">
        <v>-1.25</v>
      </c>
      <c r="O149" s="50" t="n">
        <v>-0.61</v>
      </c>
      <c r="P149" s="50" t="n">
        <v>5.28</v>
      </c>
      <c r="Q149" s="50" t="n">
        <v>-5.89</v>
      </c>
      <c r="R149" s="50" t="n">
        <v>8.640000000000001</v>
      </c>
      <c r="S149" s="50" t="n">
        <v>13.61</v>
      </c>
      <c r="T149" s="50" t="n">
        <v>-4.97</v>
      </c>
      <c r="U149" s="50" t="n">
        <v>5.74</v>
      </c>
      <c r="V149" s="50" t="n">
        <v>6.63</v>
      </c>
      <c r="W149" s="50" t="n">
        <v>-0.89</v>
      </c>
      <c r="X149" s="50" t="n">
        <v>-1.35</v>
      </c>
      <c r="Y149" s="50" t="n">
        <v>0.03</v>
      </c>
      <c r="Z149" s="50" t="n">
        <v>-1.38</v>
      </c>
      <c r="AA149" s="50" t="n">
        <v>3.49</v>
      </c>
      <c r="AB149" s="50" t="n">
        <v>0.22</v>
      </c>
      <c r="AC149" s="50" t="n">
        <v>3.27</v>
      </c>
      <c r="AD149" s="50">
        <f>IF(OR(Q149="",BM149="",BM149=0),"",Q149/BM149)</f>
        <v/>
      </c>
      <c r="AE149" s="50">
        <f>IF(OR(T149="",BM149="",BM149=0),"",T149/BM149)</f>
        <v/>
      </c>
      <c r="AF149" s="50">
        <f>IF(OR(W149="",BM149="",BM149=0),"",W149/BM149)</f>
        <v/>
      </c>
      <c r="AG149" s="50">
        <f>IF(OR(Z149="",BM149="",BM149=0),"",Z149/BM149)</f>
        <v/>
      </c>
      <c r="AH149" s="50">
        <f>IF(OR(AC149="",BM149="",BM149=0),"",AC149/BM149)</f>
        <v/>
      </c>
      <c r="AI149" s="49" t="n">
        <v>79.40000000000001</v>
      </c>
      <c r="AJ149" s="49" t="n">
        <v>17.6</v>
      </c>
      <c r="AK149" s="49" t="n"/>
      <c r="AL149" s="49" t="n">
        <v>3</v>
      </c>
      <c r="AM149" s="49" t="n"/>
      <c r="AN149" s="49" t="n"/>
      <c r="AO149" s="49" t="n">
        <v>9.1</v>
      </c>
      <c r="AP149" s="49" t="n">
        <v>5.2</v>
      </c>
      <c r="AQ149" s="49" t="n"/>
      <c r="AR149" s="49" t="n"/>
      <c r="AS149" s="49" t="n"/>
      <c r="AT149" s="49" t="n"/>
      <c r="AU149" s="49" t="n">
        <v>3.3</v>
      </c>
      <c r="AV149" s="49" t="n"/>
      <c r="AW149" s="49" t="n"/>
      <c r="AX149" s="49" t="n"/>
      <c r="AY149" s="49" t="n"/>
      <c r="AZ149" s="49" t="n"/>
      <c r="BA149" s="49" t="n">
        <v>16.2</v>
      </c>
      <c r="BB149" s="49" t="n">
        <v>10.4</v>
      </c>
      <c r="BC149" s="49" t="n">
        <v>16.8</v>
      </c>
      <c r="BD149" s="49" t="n">
        <v>20.7</v>
      </c>
      <c r="BE149" s="49" t="n"/>
      <c r="BF149" s="49" t="n">
        <v>19.8</v>
      </c>
      <c r="BG149" s="49" t="n"/>
      <c r="BH149" s="49" t="n"/>
      <c r="BI149" s="49" t="n"/>
      <c r="BJ149" s="49" t="n"/>
      <c r="BK149" s="49" t="n"/>
      <c r="BL149" s="46" t="inlineStr">
        <is>
          <t>Telekom Malaysia Berhad | IHH Healthcare Berhad | Tenaga Nasional Berhad | TIME dotCom Berhad | Bursa Malaysia Berhad</t>
        </is>
      </c>
      <c r="BM149" s="49" t="n">
        <v>8.199999999999999</v>
      </c>
      <c r="BN149" s="45" t="inlineStr">
        <is>
          <t>Moderate</t>
        </is>
      </c>
      <c r="BO149" s="46" t="inlineStr">
        <is>
          <t>Equity Malaysia Domestic</t>
        </is>
      </c>
      <c r="BP149" s="46" t="inlineStr">
        <is>
          <t>a measure of fund performance.</t>
        </is>
      </c>
      <c r="BQ149" s="51" t="n">
        <v>0.3846</v>
      </c>
      <c r="BR149" s="45" t="inlineStr">
        <is>
          <t>2020-08-06</t>
        </is>
      </c>
      <c r="BS149" s="51" t="n">
        <v>0.3307</v>
      </c>
      <c r="BT149" s="50" t="n">
        <v>-14.01</v>
      </c>
      <c r="BU149" s="47" t="n">
        <v>2139</v>
      </c>
    </row>
    <row r="150" ht="16" customHeight="1">
      <c r="A150" s="38" t="inlineStr">
        <is>
          <t>PUBLIC FAR-EAST CONSUMER THEMES FUND</t>
        </is>
      </c>
      <c r="B150" s="38" t="inlineStr">
        <is>
          <t>PFECTF</t>
        </is>
      </c>
      <c r="C150" s="38" t="inlineStr">
        <is>
          <t>Conventional</t>
        </is>
      </c>
      <c r="D150" s="38" t="inlineStr">
        <is>
          <t>Equity</t>
        </is>
      </c>
      <c r="E150" s="39" t="inlineStr">
        <is>
          <t>Capital Growth</t>
        </is>
      </c>
      <c r="F150" s="40" t="n">
        <v>5</v>
      </c>
      <c r="G150" s="39" t="inlineStr">
        <is>
          <t>Incidental</t>
        </is>
      </c>
      <c r="H150" s="41" t="n">
        <v>140.66</v>
      </c>
      <c r="I150" s="38" t="inlineStr">
        <is>
          <t>08.01.2008</t>
        </is>
      </c>
      <c r="J150" s="38" t="inlineStr">
        <is>
          <t>Disqualified</t>
        </is>
      </c>
      <c r="K150" s="42" t="n">
        <v>20</v>
      </c>
      <c r="L150" s="38" t="inlineStr">
        <is>
          <t>1/5</t>
        </is>
      </c>
      <c r="M150" s="39" t="inlineStr">
        <is>
          <t>Disqualified (WA: -1.50%) — YTD✔ 1Y✘ 3Y✘ 5Y✘ 10Y✘</t>
        </is>
      </c>
      <c r="N150" s="43" t="n">
        <v>-1.5</v>
      </c>
      <c r="O150" s="43" t="n">
        <v>-0.27</v>
      </c>
      <c r="P150" s="43" t="n">
        <v>-0.36</v>
      </c>
      <c r="Q150" s="43" t="n">
        <v>0.09</v>
      </c>
      <c r="R150" s="43" t="n">
        <v>-1.04</v>
      </c>
      <c r="S150" s="43" t="n">
        <v>0.6899999999999999</v>
      </c>
      <c r="T150" s="43" t="n">
        <v>-1.73</v>
      </c>
      <c r="U150" s="43" t="n">
        <v>-6.28</v>
      </c>
      <c r="V150" s="43" t="n">
        <v>-4.3</v>
      </c>
      <c r="W150" s="43" t="n">
        <v>-1.98</v>
      </c>
      <c r="X150" s="43" t="n">
        <v>-9.029999999999999</v>
      </c>
      <c r="Y150" s="43" t="n">
        <v>-7.26</v>
      </c>
      <c r="Z150" s="43" t="n">
        <v>-1.77</v>
      </c>
      <c r="AA150" s="43" t="n">
        <v>0.44</v>
      </c>
      <c r="AB150" s="43" t="n">
        <v>0.48</v>
      </c>
      <c r="AC150" s="43" t="n">
        <v>-0.04</v>
      </c>
      <c r="AD150" s="43">
        <f>IF(OR(Q150="",BM150="",BM150=0),"",Q150/BM150)</f>
        <v/>
      </c>
      <c r="AE150" s="43">
        <f>IF(OR(T150="",BM150="",BM150=0),"",T150/BM150)</f>
        <v/>
      </c>
      <c r="AF150" s="43">
        <f>IF(OR(W150="",BM150="",BM150=0),"",W150/BM150)</f>
        <v/>
      </c>
      <c r="AG150" s="43">
        <f>IF(OR(Z150="",BM150="",BM150=0),"",Z150/BM150)</f>
        <v/>
      </c>
      <c r="AH150" s="43">
        <f>IF(OR(AC150="",BM150="",BM150=0),"",AC150/BM150)</f>
        <v/>
      </c>
      <c r="AI150" s="42" t="n"/>
      <c r="AJ150" s="42" t="n">
        <v>87.09999999999999</v>
      </c>
      <c r="AK150" s="42" t="n"/>
      <c r="AL150" s="42" t="n">
        <v>12.9</v>
      </c>
      <c r="AM150" s="42" t="n"/>
      <c r="AN150" s="42" t="n"/>
      <c r="AO150" s="42" t="n">
        <v>14.6</v>
      </c>
      <c r="AP150" s="42" t="n">
        <v>5.9</v>
      </c>
      <c r="AQ150" s="42" t="n">
        <v>16.8</v>
      </c>
      <c r="AR150" s="42" t="n">
        <v>10.8</v>
      </c>
      <c r="AS150" s="42" t="n"/>
      <c r="AT150" s="42" t="n"/>
      <c r="AU150" s="42" t="n">
        <v>30.9</v>
      </c>
      <c r="AV150" s="42" t="n"/>
      <c r="AW150" s="42" t="n"/>
      <c r="AX150" s="42" t="n"/>
      <c r="AY150" s="42" t="n"/>
      <c r="AZ150" s="42" t="n"/>
      <c r="BA150" s="42" t="n">
        <v>6.4</v>
      </c>
      <c r="BB150" s="42" t="n">
        <v>24</v>
      </c>
      <c r="BC150" s="42" t="n"/>
      <c r="BD150" s="42" t="n">
        <v>21.5</v>
      </c>
      <c r="BE150" s="42" t="n">
        <v>32.6</v>
      </c>
      <c r="BF150" s="42" t="n">
        <v>2.6</v>
      </c>
      <c r="BG150" s="42" t="n"/>
      <c r="BH150" s="42" t="n"/>
      <c r="BI150" s="42" t="n"/>
      <c r="BJ150" s="42" t="n"/>
      <c r="BK150" s="42" t="n"/>
      <c r="BL150" s="39" t="inlineStr">
        <is>
          <t>Samsung Electronics Company Limited | Alibaba Group Holding Limited - W | BYD Company Limited - H Shares | Tencent Holdings Limited | Advanced Micro Devices Incorporated</t>
        </is>
      </c>
      <c r="BM150" s="42" t="n">
        <v>14.2</v>
      </c>
      <c r="BN150" s="38" t="inlineStr">
        <is>
          <t>Very High</t>
        </is>
      </c>
      <c r="BO150" s="39" t="inlineStr">
        <is>
          <t>Equity Sector Consumer Asia</t>
        </is>
      </c>
      <c r="BP150" s="39" t="inlineStr">
        <is>
          <t>Note: Distribution yield simply measures the level of distributions and is ThebenchmarkforPFECTFisacustomisedindexbasedonconsumersectorsby not a measure of fund performance. DowJones IndexesSM (prior to 1 January2009), customised indexby S&amp;P Dow JonesIndices,LLCbasedonconsumersectorsofS&amp;PBMIAsiaEx-JapanIndex (w.e.f. 1 January 2009). Underlying index data are sourced from S&amp;P Dow Jones Indices, LLC and expressed in Ringgit terms.</t>
        </is>
      </c>
      <c r="BQ150" s="44" t="n">
        <v>0.4053</v>
      </c>
      <c r="BR150" s="38" t="inlineStr">
        <is>
          <t>2021-02-17</t>
        </is>
      </c>
      <c r="BS150" s="44" t="n">
        <v>0.2369</v>
      </c>
      <c r="BT150" s="43" t="n">
        <v>-41.55</v>
      </c>
      <c r="BU150" s="40" t="n">
        <v>1944</v>
      </c>
    </row>
    <row r="151" ht="16" customHeight="1">
      <c r="A151" s="45" t="inlineStr">
        <is>
          <t>PUBLIC e-AVANTGARDE FOCUS FUND</t>
        </is>
      </c>
      <c r="B151" s="45" t="inlineStr">
        <is>
          <t>PeAGFF</t>
        </is>
      </c>
      <c r="C151" s="45" t="inlineStr">
        <is>
          <t>Conventional</t>
        </is>
      </c>
      <c r="D151" s="45" t="inlineStr">
        <is>
          <t>Equity</t>
        </is>
      </c>
      <c r="E151" s="46" t="inlineStr">
        <is>
          <t>Capital Growth</t>
        </is>
      </c>
      <c r="F151" s="47" t="n">
        <v>5</v>
      </c>
      <c r="G151" s="46" t="inlineStr">
        <is>
          <t>Incidental</t>
        </is>
      </c>
      <c r="H151" s="48" t="n">
        <v>87.38</v>
      </c>
      <c r="I151" s="45" t="inlineStr">
        <is>
          <t>27.09.2022</t>
        </is>
      </c>
      <c r="J151" s="45" t="inlineStr">
        <is>
          <t>Disqualified</t>
        </is>
      </c>
      <c r="K151" s="49" t="n">
        <v>33.3</v>
      </c>
      <c r="L151" s="45" t="inlineStr">
        <is>
          <t>1/3</t>
        </is>
      </c>
      <c r="M151" s="46" t="inlineStr">
        <is>
          <t>Disqualified (WA: -1.98%) — YTD✘ 1Y✘ 3Y✔</t>
        </is>
      </c>
      <c r="N151" s="50" t="n">
        <v>-1.98</v>
      </c>
      <c r="O151" s="50" t="n">
        <v>0.72</v>
      </c>
      <c r="P151" s="50" t="n">
        <v>4.92</v>
      </c>
      <c r="Q151" s="50" t="n">
        <v>-4.2</v>
      </c>
      <c r="R151" s="50" t="n">
        <v>9.109999999999999</v>
      </c>
      <c r="S151" s="50" t="n">
        <v>17.65</v>
      </c>
      <c r="T151" s="50" t="n">
        <v>-8.539999999999999</v>
      </c>
      <c r="U151" s="50" t="n">
        <v>10.04</v>
      </c>
      <c r="V151" s="50" t="n">
        <v>9.279999999999999</v>
      </c>
      <c r="W151" s="50" t="n">
        <v>0.76</v>
      </c>
      <c r="X151" s="50" t="n"/>
      <c r="Y151" s="50" t="n"/>
      <c r="Z151" s="50" t="n"/>
      <c r="AA151" s="50" t="n"/>
      <c r="AB151" s="50" t="n"/>
      <c r="AC151" s="50" t="n"/>
      <c r="AD151" s="50">
        <f>IF(OR(Q151="",BM151="",BM151=0),"",Q151/BM151)</f>
        <v/>
      </c>
      <c r="AE151" s="50">
        <f>IF(OR(T151="",BM151="",BM151=0),"",T151/BM151)</f>
        <v/>
      </c>
      <c r="AF151" s="50">
        <f>IF(OR(W151="",BM151="",BM151=0),"",W151/BM151)</f>
        <v/>
      </c>
      <c r="AG151" s="50">
        <f>IF(OR(Z151="",BM151="",BM151=0),"",Z151/BM151)</f>
        <v/>
      </c>
      <c r="AH151" s="50">
        <f>IF(OR(AC151="",BM151="",BM151=0),"",AC151/BM151)</f>
        <v/>
      </c>
      <c r="AI151" s="49" t="n">
        <v>60.5</v>
      </c>
      <c r="AJ151" s="49" t="n">
        <v>30.1</v>
      </c>
      <c r="AK151" s="49" t="n"/>
      <c r="AL151" s="49" t="n">
        <v>9.4</v>
      </c>
      <c r="AM151" s="49" t="n"/>
      <c r="AN151" s="49" t="n"/>
      <c r="AO151" s="49" t="n">
        <v>16</v>
      </c>
      <c r="AP151" s="49" t="n">
        <v>5.5</v>
      </c>
      <c r="AQ151" s="49" t="n">
        <v>4.7</v>
      </c>
      <c r="AR151" s="49" t="n"/>
      <c r="AS151" s="49" t="n"/>
      <c r="AT151" s="49" t="n"/>
      <c r="AU151" s="49" t="n">
        <v>3.9</v>
      </c>
      <c r="AV151" s="49" t="n"/>
      <c r="AW151" s="49" t="n"/>
      <c r="AX151" s="49" t="n"/>
      <c r="AY151" s="49" t="n"/>
      <c r="AZ151" s="49" t="n"/>
      <c r="BA151" s="49" t="n">
        <v>25.1</v>
      </c>
      <c r="BB151" s="49" t="n">
        <v>12.9</v>
      </c>
      <c r="BC151" s="49" t="n">
        <v>24</v>
      </c>
      <c r="BD151" s="49" t="n">
        <v>17.4</v>
      </c>
      <c r="BE151" s="49" t="n"/>
      <c r="BF151" s="49" t="n">
        <v>6.8</v>
      </c>
      <c r="BG151" s="49" t="n"/>
      <c r="BH151" s="49" t="n"/>
      <c r="BI151" s="49" t="n"/>
      <c r="BJ151" s="49" t="n"/>
      <c r="BK151" s="49" t="n"/>
      <c r="BL151" s="46" t="inlineStr">
        <is>
          <t>Public Bank Berhad | Frontken Corporation Berhad | Gamuda Berhad | Sunway Berhad | Malayan Cement Berhad</t>
        </is>
      </c>
      <c r="BM151" s="49" t="n">
        <v>10.4</v>
      </c>
      <c r="BN151" s="45" t="inlineStr">
        <is>
          <t>High</t>
        </is>
      </c>
      <c r="BO151" s="46" t="inlineStr">
        <is>
          <t>Equity Malaysia Domestic</t>
        </is>
      </c>
      <c r="BP151" s="46" t="inlineStr">
        <is>
          <t>The benchmark for PeAGFF is acomposite of70% FTSE Bursa MalaysiaKLCI, 20% customised index by S&amp;P Dow Jones Indices, LLC based on the top 30 constituentsoftheS&amp;PBMIAsiaEx-JapanIndexand10%3-MonthKualaLumpur Interbank Offered Rate (KLIBOR). UnderlyingindexdataaresourcedfromLipper,S&amp;PDowJonesIndices,LLCand Bank Negara Malaysia and expressed in Ringgit terms.</t>
        </is>
      </c>
      <c r="BQ151" s="51" t="n">
        <v>0.3637</v>
      </c>
      <c r="BR151" s="45" t="inlineStr">
        <is>
          <t>2026-06-03</t>
        </is>
      </c>
      <c r="BS151" s="51" t="n">
        <v>0.3572</v>
      </c>
      <c r="BT151" s="50" t="n">
        <v>-1.79</v>
      </c>
      <c r="BU151" s="47" t="n">
        <v>12</v>
      </c>
    </row>
    <row r="152" ht="16" customHeight="1">
      <c r="A152" s="38" t="inlineStr">
        <is>
          <t>PUBLIC JAPAN GLOBAL EQUITY FUND</t>
        </is>
      </c>
      <c r="B152" s="38" t="inlineStr">
        <is>
          <t>PJGEF</t>
        </is>
      </c>
      <c r="C152" s="38" t="inlineStr">
        <is>
          <t>Conventional</t>
        </is>
      </c>
      <c r="D152" s="38" t="inlineStr">
        <is>
          <t>Equity</t>
        </is>
      </c>
      <c r="E152" s="39" t="inlineStr">
        <is>
          <t>Capital Growth</t>
        </is>
      </c>
      <c r="F152" s="40" t="n">
        <v>5</v>
      </c>
      <c r="G152" s="39" t="inlineStr">
        <is>
          <t>Incidental</t>
        </is>
      </c>
      <c r="H152" s="41" t="n">
        <v>47.37</v>
      </c>
      <c r="I152" s="38" t="inlineStr">
        <is>
          <t>03.12.2019</t>
        </is>
      </c>
      <c r="J152" s="38" t="inlineStr">
        <is>
          <t>Disqualified</t>
        </is>
      </c>
      <c r="K152" s="42" t="n">
        <v>0</v>
      </c>
      <c r="L152" s="38" t="inlineStr">
        <is>
          <t>0/4</t>
        </is>
      </c>
      <c r="M152" s="39" t="inlineStr">
        <is>
          <t>Disqualified (WA: -2.08%) — YTD✘ 1Y✘ 3Y✘ 5Y✘</t>
        </is>
      </c>
      <c r="N152" s="43" t="n">
        <v>-2.08</v>
      </c>
      <c r="O152" s="43" t="n">
        <v>4.42</v>
      </c>
      <c r="P152" s="43" t="n">
        <v>6.83</v>
      </c>
      <c r="Q152" s="43" t="n">
        <v>-2.41</v>
      </c>
      <c r="R152" s="43" t="n">
        <v>18.31</v>
      </c>
      <c r="S152" s="43" t="n">
        <v>21.21</v>
      </c>
      <c r="T152" s="43" t="n">
        <v>-2.9</v>
      </c>
      <c r="U152" s="43" t="n">
        <v>13.19</v>
      </c>
      <c r="V152" s="43" t="n">
        <v>14.14</v>
      </c>
      <c r="W152" s="43" t="n">
        <v>-0.95</v>
      </c>
      <c r="X152" s="43" t="n">
        <v>3.72</v>
      </c>
      <c r="Y152" s="43" t="n">
        <v>7.06</v>
      </c>
      <c r="Z152" s="43" t="n">
        <v>-3.34</v>
      </c>
      <c r="AA152" s="43" t="n"/>
      <c r="AB152" s="43" t="n"/>
      <c r="AC152" s="43" t="n"/>
      <c r="AD152" s="43">
        <f>IF(OR(Q152="",BM152="",BM152=0),"",Q152/BM152)</f>
        <v/>
      </c>
      <c r="AE152" s="43">
        <f>IF(OR(T152="",BM152="",BM152=0),"",T152/BM152)</f>
        <v/>
      </c>
      <c r="AF152" s="43">
        <f>IF(OR(W152="",BM152="",BM152=0),"",W152/BM152)</f>
        <v/>
      </c>
      <c r="AG152" s="43">
        <f>IF(OR(Z152="",BM152="",BM152=0),"",Z152/BM152)</f>
        <v/>
      </c>
      <c r="AH152" s="43">
        <f>IF(OR(AC152="",BM152="",BM152=0),"",AC152/BM152)</f>
        <v/>
      </c>
      <c r="AI152" s="42" t="n">
        <v>1</v>
      </c>
      <c r="AJ152" s="42" t="n">
        <v>92</v>
      </c>
      <c r="AK152" s="42" t="n"/>
      <c r="AL152" s="42" t="n">
        <v>7</v>
      </c>
      <c r="AM152" s="42" t="n"/>
      <c r="AN152" s="42" t="n"/>
      <c r="AO152" s="42" t="n">
        <v>18.4</v>
      </c>
      <c r="AP152" s="42" t="n">
        <v>14.6</v>
      </c>
      <c r="AQ152" s="42" t="n">
        <v>9.300000000000001</v>
      </c>
      <c r="AR152" s="42" t="n">
        <v>34.1</v>
      </c>
      <c r="AS152" s="42" t="n"/>
      <c r="AT152" s="42" t="n"/>
      <c r="AU152" s="42" t="n">
        <v>6.9</v>
      </c>
      <c r="AV152" s="42" t="n"/>
      <c r="AW152" s="42" t="n"/>
      <c r="AX152" s="42" t="n"/>
      <c r="AY152" s="42" t="n"/>
      <c r="AZ152" s="42" t="n"/>
      <c r="BA152" s="42" t="n">
        <v>18.7</v>
      </c>
      <c r="BB152" s="42" t="n">
        <v>29.3</v>
      </c>
      <c r="BC152" s="42" t="n">
        <v>11.9</v>
      </c>
      <c r="BD152" s="42" t="n">
        <v>17.6</v>
      </c>
      <c r="BE152" s="42" t="n">
        <v>15.5</v>
      </c>
      <c r="BF152" s="42" t="n"/>
      <c r="BG152" s="42" t="n"/>
      <c r="BH152" s="42" t="n"/>
      <c r="BI152" s="42" t="n"/>
      <c r="BJ152" s="42" t="n"/>
      <c r="BK152" s="42" t="n"/>
      <c r="BL152" s="39" t="inlineStr">
        <is>
          <t>Mitsubishi UFJ Financial Group Incorporated | Meta Platforms Incorporated | Fast Retailing Company Limited | Taiwan Semiconductor Manufacturing Company Limited | SK Hynix Incorporated</t>
        </is>
      </c>
      <c r="BM152" s="42" t="n">
        <v>14.3</v>
      </c>
      <c r="BN152" s="38" t="inlineStr">
        <is>
          <t>Very High</t>
        </is>
      </c>
      <c r="BO152" s="39" t="inlineStr">
        <is>
          <t>Equity Global Global</t>
        </is>
      </c>
      <c r="BP152" s="39" t="n"/>
      <c r="BQ152" s="44" t="n">
        <v>0.4268</v>
      </c>
      <c r="BR152" s="38" t="inlineStr">
        <is>
          <t>2026-06-04</t>
        </is>
      </c>
      <c r="BS152" s="44" t="n">
        <v>0.4192</v>
      </c>
      <c r="BT152" s="43" t="n">
        <v>-1.78</v>
      </c>
      <c r="BU152" s="40" t="n">
        <v>11</v>
      </c>
    </row>
    <row r="153" ht="16" customHeight="1">
      <c r="A153" s="45" t="inlineStr">
        <is>
          <t>PB CHINA AUSTRALIA EQUITY FUND</t>
        </is>
      </c>
      <c r="B153" s="45" t="inlineStr">
        <is>
          <t>PBCAUEF</t>
        </is>
      </c>
      <c r="C153" s="45" t="inlineStr">
        <is>
          <t>Conventional</t>
        </is>
      </c>
      <c r="D153" s="45" t="inlineStr">
        <is>
          <t>Equity</t>
        </is>
      </c>
      <c r="E153" s="46" t="inlineStr">
        <is>
          <t>Capital Growth</t>
        </is>
      </c>
      <c r="F153" s="47" t="n">
        <v>5</v>
      </c>
      <c r="G153" s="46" t="inlineStr">
        <is>
          <t>Incidental</t>
        </is>
      </c>
      <c r="H153" s="48" t="n">
        <v>146.78</v>
      </c>
      <c r="I153" s="45" t="inlineStr">
        <is>
          <t>02.03.2010</t>
        </is>
      </c>
      <c r="J153" s="45" t="inlineStr">
        <is>
          <t>Disqualified</t>
        </is>
      </c>
      <c r="K153" s="49" t="n">
        <v>20</v>
      </c>
      <c r="L153" s="45" t="inlineStr">
        <is>
          <t>1/5</t>
        </is>
      </c>
      <c r="M153" s="46" t="inlineStr">
        <is>
          <t>Disqualified (WA: -2.23%) — YTD✘ 1Y✘ 3Y✘ 5Y✔ 10Y✘</t>
        </is>
      </c>
      <c r="N153" s="50" t="n">
        <v>-2.23</v>
      </c>
      <c r="O153" s="50" t="n">
        <v>-0.78</v>
      </c>
      <c r="P153" s="50" t="n">
        <v>-0.31</v>
      </c>
      <c r="Q153" s="50" t="n">
        <v>-0.47</v>
      </c>
      <c r="R153" s="50" t="n">
        <v>1.56</v>
      </c>
      <c r="S153" s="50" t="n">
        <v>7.85</v>
      </c>
      <c r="T153" s="50" t="n">
        <v>-6.29</v>
      </c>
      <c r="U153" s="50" t="n">
        <v>1.77</v>
      </c>
      <c r="V153" s="50" t="n">
        <v>4.78</v>
      </c>
      <c r="W153" s="50" t="n">
        <v>-3.01</v>
      </c>
      <c r="X153" s="50" t="n">
        <v>-1.42</v>
      </c>
      <c r="Y153" s="50" t="n">
        <v>-1.66</v>
      </c>
      <c r="Z153" s="50" t="n">
        <v>0.24</v>
      </c>
      <c r="AA153" s="50" t="n">
        <v>4.09</v>
      </c>
      <c r="AB153" s="50" t="n">
        <v>4.86</v>
      </c>
      <c r="AC153" s="50" t="n">
        <v>-0.77</v>
      </c>
      <c r="AD153" s="50">
        <f>IF(OR(Q153="",BM153="",BM153=0),"",Q153/BM153)</f>
        <v/>
      </c>
      <c r="AE153" s="50">
        <f>IF(OR(T153="",BM153="",BM153=0),"",T153/BM153)</f>
        <v/>
      </c>
      <c r="AF153" s="50">
        <f>IF(OR(W153="",BM153="",BM153=0),"",W153/BM153)</f>
        <v/>
      </c>
      <c r="AG153" s="50">
        <f>IF(OR(Z153="",BM153="",BM153=0),"",Z153/BM153)</f>
        <v/>
      </c>
      <c r="AH153" s="50">
        <f>IF(OR(AC153="",BM153="",BM153=0),"",AC153/BM153)</f>
        <v/>
      </c>
      <c r="AI153" s="49" t="n"/>
      <c r="AJ153" s="49" t="n">
        <v>97.3</v>
      </c>
      <c r="AK153" s="49" t="n"/>
      <c r="AL153" s="49" t="n">
        <v>2.7</v>
      </c>
      <c r="AM153" s="49" t="n"/>
      <c r="AN153" s="49" t="n"/>
      <c r="AO153" s="49" t="n">
        <v>3.7</v>
      </c>
      <c r="AP153" s="49" t="n">
        <v>4.7</v>
      </c>
      <c r="AQ153" s="49" t="n">
        <v>6</v>
      </c>
      <c r="AR153" s="49" t="n"/>
      <c r="AS153" s="49" t="n"/>
      <c r="AT153" s="49" t="n"/>
      <c r="AU153" s="49" t="n">
        <v>49</v>
      </c>
      <c r="AV153" s="49" t="n"/>
      <c r="AW153" s="49" t="n"/>
      <c r="AX153" s="49" t="n"/>
      <c r="AY153" s="49" t="n">
        <v>28.4</v>
      </c>
      <c r="AZ153" s="49" t="n"/>
      <c r="BA153" s="49" t="n"/>
      <c r="BB153" s="49" t="n">
        <v>16.7</v>
      </c>
      <c r="BC153" s="49" t="n">
        <v>21.2</v>
      </c>
      <c r="BD153" s="49" t="n">
        <v>21.9</v>
      </c>
      <c r="BE153" s="49" t="n">
        <v>19.8</v>
      </c>
      <c r="BF153" s="49" t="n"/>
      <c r="BG153" s="49" t="n"/>
      <c r="BH153" s="49" t="n"/>
      <c r="BI153" s="49" t="n">
        <v>11.4</v>
      </c>
      <c r="BJ153" s="49" t="n"/>
      <c r="BK153" s="49" t="n"/>
      <c r="BL153" s="46" t="inlineStr">
        <is>
          <t>Alibaba Group Holding Limited - W | BHP Group Limited | Tencent Holdings Limited | Contemporary Amperex Technology Company Limited - H Shares | Commonwealth Bank of Australia</t>
        </is>
      </c>
      <c r="BM153" s="49" t="n">
        <v>15</v>
      </c>
      <c r="BN153" s="45" t="inlineStr">
        <is>
          <t>Very High</t>
        </is>
      </c>
      <c r="BO153" s="46" t="inlineStr">
        <is>
          <t>Equity Asia Pacific ex- Asia</t>
        </is>
      </c>
      <c r="BP153" s="46" t="n"/>
      <c r="BQ153" s="51" t="n">
        <v>0.3197</v>
      </c>
      <c r="BR153" s="45" t="inlineStr">
        <is>
          <t>2011-04-21</t>
        </is>
      </c>
      <c r="BS153" s="51" t="n">
        <v>0.2587</v>
      </c>
      <c r="BT153" s="50" t="n">
        <v>-19.08</v>
      </c>
      <c r="BU153" s="47" t="n">
        <v>5534</v>
      </c>
    </row>
    <row r="154" ht="16" customHeight="1">
      <c r="A154" s="38" t="inlineStr">
        <is>
          <t>PUBLIC e-ARTIFICIAL INTELLIGENCE TECHNOLOGY FUND</t>
        </is>
      </c>
      <c r="B154" s="38" t="inlineStr">
        <is>
          <t>PeAITF</t>
        </is>
      </c>
      <c r="C154" s="38" t="inlineStr">
        <is>
          <t>Conventional</t>
        </is>
      </c>
      <c r="D154" s="38" t="inlineStr">
        <is>
          <t>Equity</t>
        </is>
      </c>
      <c r="E154" s="39" t="inlineStr">
        <is>
          <t>Capital Growth</t>
        </is>
      </c>
      <c r="F154" s="40" t="n">
        <v>5</v>
      </c>
      <c r="G154" s="39" t="inlineStr">
        <is>
          <t>Incidental</t>
        </is>
      </c>
      <c r="H154" s="41" t="n">
        <v>2404.7</v>
      </c>
      <c r="I154" s="38" t="inlineStr">
        <is>
          <t>18.08.2020</t>
        </is>
      </c>
      <c r="J154" s="38" t="inlineStr">
        <is>
          <t>Disqualified</t>
        </is>
      </c>
      <c r="K154" s="42" t="n">
        <v>0</v>
      </c>
      <c r="L154" s="38" t="inlineStr">
        <is>
          <t>0/4</t>
        </is>
      </c>
      <c r="M154" s="39" t="inlineStr">
        <is>
          <t>Disqualified (WA: -2.75%) — YTD✘ 1Y✘ 3Y✘ 5Y✘</t>
        </is>
      </c>
      <c r="N154" s="43" t="n">
        <v>-2.75</v>
      </c>
      <c r="O154" s="43" t="n">
        <v>10.2</v>
      </c>
      <c r="P154" s="43" t="n">
        <v>12.83</v>
      </c>
      <c r="Q154" s="43" t="n">
        <v>-2.63</v>
      </c>
      <c r="R154" s="43" t="n">
        <v>45.55</v>
      </c>
      <c r="S154" s="43" t="n">
        <v>46.6</v>
      </c>
      <c r="T154" s="43" t="n">
        <v>-1.05</v>
      </c>
      <c r="U154" s="43" t="n">
        <v>27.81</v>
      </c>
      <c r="V154" s="43" t="n">
        <v>29.28</v>
      </c>
      <c r="W154" s="43" t="n">
        <v>-1.47</v>
      </c>
      <c r="X154" s="43" t="n">
        <v>11.56</v>
      </c>
      <c r="Y154" s="43" t="n">
        <v>17.4</v>
      </c>
      <c r="Z154" s="43" t="n">
        <v>-5.84</v>
      </c>
      <c r="AA154" s="43" t="n"/>
      <c r="AB154" s="43" t="n"/>
      <c r="AC154" s="43" t="n"/>
      <c r="AD154" s="43">
        <f>IF(OR(Q154="",BM154="",BM154=0),"",Q154/BM154)</f>
        <v/>
      </c>
      <c r="AE154" s="43">
        <f>IF(OR(T154="",BM154="",BM154=0),"",T154/BM154)</f>
        <v/>
      </c>
      <c r="AF154" s="43">
        <f>IF(OR(W154="",BM154="",BM154=0),"",W154/BM154)</f>
        <v/>
      </c>
      <c r="AG154" s="43">
        <f>IF(OR(Z154="",BM154="",BM154=0),"",Z154/BM154)</f>
        <v/>
      </c>
      <c r="AH154" s="43">
        <f>IF(OR(AC154="",BM154="",BM154=0),"",AC154/BM154)</f>
        <v/>
      </c>
      <c r="AI154" s="42" t="n"/>
      <c r="AJ154" s="42" t="n">
        <v>96.90000000000001</v>
      </c>
      <c r="AK154" s="42" t="n"/>
      <c r="AL154" s="42" t="n">
        <v>3.1</v>
      </c>
      <c r="AM154" s="42" t="n"/>
      <c r="AN154" s="42" t="n"/>
      <c r="AO154" s="42" t="n">
        <v>69.7</v>
      </c>
      <c r="AP154" s="42" t="n">
        <v>6.2</v>
      </c>
      <c r="AQ154" s="42" t="n">
        <v>5.9</v>
      </c>
      <c r="AR154" s="42" t="n"/>
      <c r="AS154" s="42" t="n"/>
      <c r="AT154" s="42" t="n"/>
      <c r="AU154" s="42" t="n">
        <v>4.2</v>
      </c>
      <c r="AV154" s="42" t="n"/>
      <c r="AW154" s="42" t="n">
        <v>5.2</v>
      </c>
      <c r="AX154" s="42" t="n"/>
      <c r="AY154" s="42" t="n"/>
      <c r="AZ154" s="42" t="n"/>
      <c r="BA154" s="42" t="n">
        <v>2.5</v>
      </c>
      <c r="BB154" s="42" t="n">
        <v>62.1</v>
      </c>
      <c r="BC154" s="42" t="n">
        <v>1.4</v>
      </c>
      <c r="BD154" s="42" t="n">
        <v>27.4</v>
      </c>
      <c r="BE154" s="42" t="n">
        <v>3.5</v>
      </c>
      <c r="BF154" s="42" t="n"/>
      <c r="BG154" s="42" t="n"/>
      <c r="BH154" s="42" t="n"/>
      <c r="BI154" s="42" t="n"/>
      <c r="BJ154" s="42" t="n"/>
      <c r="BK154" s="42" t="n"/>
      <c r="BL154" s="39" t="inlineStr">
        <is>
          <t>Advanced Micro Devices Incorporated | Alphabet Incorporated - Class A | NVIDIA Corporation | Broadcom Incorporated | Meta Platforms Incorporated</t>
        </is>
      </c>
      <c r="BM154" s="42" t="n">
        <v>22.5</v>
      </c>
      <c r="BN154" s="38" t="inlineStr">
        <is>
          <t>Very High</t>
        </is>
      </c>
      <c r="BO154" s="39" t="inlineStr">
        <is>
          <t>Equity Sector Global</t>
        </is>
      </c>
      <c r="BP154" s="39" t="inlineStr">
        <is>
          <t>The benchmark for PeAITF is a composite of 50% STOXX Global Artificial IntelligenceIndex,40%S&amp;PGlobal1200InformationTechnologyIndexand10%3- Month Kuala Lumpur Interbank Offered Rate (KLIBOR). Underlying index data are sourced from Lipper and Bank Negara Malaysia and expressed in Ringgit terms.</t>
        </is>
      </c>
      <c r="BQ154" s="44" t="n">
        <v>0.5812</v>
      </c>
      <c r="BR154" s="38" t="inlineStr">
        <is>
          <t>2026-06-03</t>
        </is>
      </c>
      <c r="BS154" s="44" t="n">
        <v>0.5583</v>
      </c>
      <c r="BT154" s="43" t="n">
        <v>-3.94</v>
      </c>
      <c r="BU154" s="40" t="n">
        <v>12</v>
      </c>
    </row>
    <row r="155" ht="16" customHeight="1">
      <c r="A155" s="45" t="inlineStr">
        <is>
          <t>PUBLIC VIETNAM-GLOBAL EQUITY FUND</t>
        </is>
      </c>
      <c r="B155" s="45" t="inlineStr">
        <is>
          <t>PVGEF</t>
        </is>
      </c>
      <c r="C155" s="45" t="inlineStr">
        <is>
          <t>Conventional</t>
        </is>
      </c>
      <c r="D155" s="45" t="inlineStr">
        <is>
          <t>Equity</t>
        </is>
      </c>
      <c r="E155" s="46" t="inlineStr">
        <is>
          <t>Capital Growth</t>
        </is>
      </c>
      <c r="F155" s="47" t="n">
        <v>5</v>
      </c>
      <c r="G155" s="46" t="inlineStr">
        <is>
          <t>Incidental</t>
        </is>
      </c>
      <c r="H155" s="48" t="n">
        <v>202.17</v>
      </c>
      <c r="I155" s="45" t="inlineStr">
        <is>
          <t>02.10.2019</t>
        </is>
      </c>
      <c r="J155" s="45" t="inlineStr">
        <is>
          <t>Disqualified</t>
        </is>
      </c>
      <c r="K155" s="49" t="n">
        <v>0</v>
      </c>
      <c r="L155" s="45" t="inlineStr">
        <is>
          <t>0/4</t>
        </is>
      </c>
      <c r="M155" s="46" t="inlineStr">
        <is>
          <t>Disqualified (WA: -3.02%) — YTD✘ 1Y✘ 3Y✘ 5Y✘</t>
        </is>
      </c>
      <c r="N155" s="50" t="n">
        <v>-3.02</v>
      </c>
      <c r="O155" s="50" t="n">
        <v>0.2</v>
      </c>
      <c r="P155" s="50" t="n">
        <v>2.68</v>
      </c>
      <c r="Q155" s="50" t="n">
        <v>-2.48</v>
      </c>
      <c r="R155" s="50" t="n">
        <v>25.36</v>
      </c>
      <c r="S155" s="50" t="n">
        <v>31.07</v>
      </c>
      <c r="T155" s="50" t="n">
        <v>-5.71</v>
      </c>
      <c r="U155" s="50" t="n">
        <v>11.72</v>
      </c>
      <c r="V155" s="50" t="n">
        <v>14.36</v>
      </c>
      <c r="W155" s="50" t="n">
        <v>-2.64</v>
      </c>
      <c r="X155" s="50" t="n">
        <v>4.02</v>
      </c>
      <c r="Y155" s="50" t="n">
        <v>6.15</v>
      </c>
      <c r="Z155" s="50" t="n">
        <v>-2.13</v>
      </c>
      <c r="AA155" s="50" t="n"/>
      <c r="AB155" s="50" t="n"/>
      <c r="AC155" s="50" t="n"/>
      <c r="AD155" s="50">
        <f>IF(OR(Q155="",BM155="",BM155=0),"",Q155/BM155)</f>
        <v/>
      </c>
      <c r="AE155" s="50">
        <f>IF(OR(T155="",BM155="",BM155=0),"",T155/BM155)</f>
        <v/>
      </c>
      <c r="AF155" s="50">
        <f>IF(OR(W155="",BM155="",BM155=0),"",W155/BM155)</f>
        <v/>
      </c>
      <c r="AG155" s="50">
        <f>IF(OR(Z155="",BM155="",BM155=0),"",Z155/BM155)</f>
        <v/>
      </c>
      <c r="AH155" s="50">
        <f>IF(OR(AC155="",BM155="",BM155=0),"",AC155/BM155)</f>
        <v/>
      </c>
      <c r="AI155" s="49" t="n">
        <v>1.5</v>
      </c>
      <c r="AJ155" s="49" t="n">
        <v>95.59999999999999</v>
      </c>
      <c r="AK155" s="49" t="n"/>
      <c r="AL155" s="49" t="n">
        <v>2.9</v>
      </c>
      <c r="AM155" s="49" t="n"/>
      <c r="AN155" s="49" t="n"/>
      <c r="AO155" s="49" t="n">
        <v>28.1</v>
      </c>
      <c r="AP155" s="49" t="n">
        <v>10.3</v>
      </c>
      <c r="AQ155" s="49" t="n">
        <v>7.9</v>
      </c>
      <c r="AR155" s="49" t="n"/>
      <c r="AS155" s="49" t="n"/>
      <c r="AT155" s="49" t="n"/>
      <c r="AU155" s="49" t="n">
        <v>9.5</v>
      </c>
      <c r="AV155" s="49" t="n"/>
      <c r="AW155" s="49" t="n"/>
      <c r="AX155" s="49" t="n"/>
      <c r="AY155" s="49" t="n"/>
      <c r="AZ155" s="49" t="n">
        <v>36.7</v>
      </c>
      <c r="BA155" s="49" t="n"/>
      <c r="BB155" s="49" t="n">
        <v>30</v>
      </c>
      <c r="BC155" s="49" t="n">
        <v>14</v>
      </c>
      <c r="BD155" s="49" t="n">
        <v>23.6</v>
      </c>
      <c r="BE155" s="49" t="n">
        <v>5.3</v>
      </c>
      <c r="BF155" s="49" t="n"/>
      <c r="BG155" s="49" t="n"/>
      <c r="BH155" s="49" t="n"/>
      <c r="BI155" s="49" t="n"/>
      <c r="BJ155" s="49" t="n"/>
      <c r="BK155" s="49" t="n">
        <v>19.7</v>
      </c>
      <c r="BL155" s="46" t="inlineStr">
        <is>
          <t>DCVFMVN Diamond ETF | Taiwan Semiconductor Manufacturing Company Limited | Alphabet Incorporated - Class A | NVIDIA Corporation | DCVFMVN30 ETF</t>
        </is>
      </c>
      <c r="BM155" s="49" t="n">
        <v>14.3</v>
      </c>
      <c r="BN155" s="45" t="inlineStr">
        <is>
          <t>Very High</t>
        </is>
      </c>
      <c r="BO155" s="46" t="inlineStr">
        <is>
          <t>Equity Global Global</t>
        </is>
      </c>
      <c r="BP155" s="46" t="n"/>
      <c r="BQ155" s="51" t="n">
        <v>0.4473</v>
      </c>
      <c r="BR155" s="45" t="inlineStr">
        <is>
          <t>2025-10-09</t>
        </is>
      </c>
      <c r="BS155" s="51" t="n">
        <v>0.4266</v>
      </c>
      <c r="BT155" s="50" t="n">
        <v>-4.63</v>
      </c>
      <c r="BU155" s="47" t="n">
        <v>249</v>
      </c>
    </row>
    <row r="156" ht="16" customHeight="1">
      <c r="A156" s="52" t="inlineStr">
        <is>
          <t>PUBLIC ISLAMIC ASEAN GROWTH FUND</t>
        </is>
      </c>
      <c r="B156" s="52" t="inlineStr">
        <is>
          <t>PIASGF</t>
        </is>
      </c>
      <c r="C156" s="52" t="inlineStr">
        <is>
          <t>Shariah</t>
        </is>
      </c>
      <c r="D156" s="52" t="inlineStr">
        <is>
          <t>Equity</t>
        </is>
      </c>
      <c r="E156" s="39" t="inlineStr">
        <is>
          <t>Capital Growth</t>
        </is>
      </c>
      <c r="F156" s="40" t="n">
        <v>5</v>
      </c>
      <c r="G156" s="39" t="inlineStr">
        <is>
          <t>Incidental</t>
        </is>
      </c>
      <c r="H156" s="41" t="n">
        <v>851.3</v>
      </c>
      <c r="I156" s="38" t="inlineStr">
        <is>
          <t>21.06.2018</t>
        </is>
      </c>
      <c r="J156" s="38" t="inlineStr">
        <is>
          <t>Disqualified</t>
        </is>
      </c>
      <c r="K156" s="42" t="n">
        <v>0</v>
      </c>
      <c r="L156" s="38" t="inlineStr">
        <is>
          <t>0/4</t>
        </is>
      </c>
      <c r="M156" s="39" t="inlineStr">
        <is>
          <t>Disqualified (WA: -3.06%) — YTD✘ 1Y✘ 3Y✘ 5Y✘</t>
        </is>
      </c>
      <c r="N156" s="43" t="n">
        <v>-3.06</v>
      </c>
      <c r="O156" s="43" t="n">
        <v>1.64</v>
      </c>
      <c r="P156" s="43" t="n">
        <v>3.8</v>
      </c>
      <c r="Q156" s="43" t="n">
        <v>-2.16</v>
      </c>
      <c r="R156" s="43" t="n">
        <v>12.59</v>
      </c>
      <c r="S156" s="43" t="n">
        <v>18.78</v>
      </c>
      <c r="T156" s="43" t="n">
        <v>-6.19</v>
      </c>
      <c r="U156" s="43" t="n">
        <v>-2.44</v>
      </c>
      <c r="V156" s="43" t="n">
        <v>1.06</v>
      </c>
      <c r="W156" s="43" t="n">
        <v>-3.5</v>
      </c>
      <c r="X156" s="43" t="n">
        <v>-2.01</v>
      </c>
      <c r="Y156" s="43" t="n">
        <v>-1.34</v>
      </c>
      <c r="Z156" s="43" t="n">
        <v>-0.67</v>
      </c>
      <c r="AA156" s="43" t="n"/>
      <c r="AB156" s="43" t="n"/>
      <c r="AC156" s="43" t="n"/>
      <c r="AD156" s="43">
        <f>IF(OR(Q156="",BM156="",BM156=0),"",Q156/BM156)</f>
        <v/>
      </c>
      <c r="AE156" s="43">
        <f>IF(OR(T156="",BM156="",BM156=0),"",T156/BM156)</f>
        <v/>
      </c>
      <c r="AF156" s="43">
        <f>IF(OR(W156="",BM156="",BM156=0),"",W156/BM156)</f>
        <v/>
      </c>
      <c r="AG156" s="43">
        <f>IF(OR(Z156="",BM156="",BM156=0),"",Z156/BM156)</f>
        <v/>
      </c>
      <c r="AH156" s="43">
        <f>IF(OR(AC156="",BM156="",BM156=0),"",AC156/BM156)</f>
        <v/>
      </c>
      <c r="AI156" s="42" t="n">
        <v>24.6</v>
      </c>
      <c r="AJ156" s="42" t="n">
        <v>72.09999999999999</v>
      </c>
      <c r="AK156" s="42" t="n"/>
      <c r="AL156" s="42" t="n">
        <v>3.3</v>
      </c>
      <c r="AM156" s="42" t="n"/>
      <c r="AN156" s="42" t="n"/>
      <c r="AO156" s="42" t="n">
        <v>14.7</v>
      </c>
      <c r="AP156" s="42" t="n">
        <v>5.8</v>
      </c>
      <c r="AQ156" s="42" t="n"/>
      <c r="AR156" s="42" t="n"/>
      <c r="AS156" s="42" t="n"/>
      <c r="AT156" s="42" t="n"/>
      <c r="AU156" s="42" t="n"/>
      <c r="AV156" s="42" t="n">
        <v>10.9</v>
      </c>
      <c r="AW156" s="42" t="n"/>
      <c r="AX156" s="42" t="n">
        <v>27.1</v>
      </c>
      <c r="AY156" s="42" t="n"/>
      <c r="AZ156" s="42" t="n">
        <v>13.6</v>
      </c>
      <c r="BA156" s="42" t="n">
        <v>26.8</v>
      </c>
      <c r="BB156" s="42" t="n"/>
      <c r="BC156" s="42" t="n"/>
      <c r="BD156" s="42" t="n">
        <v>27.5</v>
      </c>
      <c r="BE156" s="42" t="n">
        <v>13.9</v>
      </c>
      <c r="BF156" s="42" t="n">
        <v>7.1</v>
      </c>
      <c r="BG156" s="42" t="n">
        <v>6.9</v>
      </c>
      <c r="BH156" s="42" t="n"/>
      <c r="BI156" s="42" t="n"/>
      <c r="BJ156" s="42" t="n"/>
      <c r="BK156" s="42" t="n"/>
      <c r="BL156" s="39" t="inlineStr">
        <is>
          <t>Delta Electronics (Thailand) Public Company Limited - Foreign | Tenaga Nasional Berhad | Frencken Group Limited | Taiwan Semiconductor Manufacturing Company Limited | AKR Corporindo Tbk</t>
        </is>
      </c>
      <c r="BM156" s="42" t="n">
        <v>12.1</v>
      </c>
      <c r="BN156" s="38" t="inlineStr">
        <is>
          <t>High</t>
        </is>
      </c>
      <c r="BO156" s="39" t="inlineStr">
        <is>
          <t>Equity ASEAN ASEAN</t>
        </is>
      </c>
      <c r="BP156" s="39" t="inlineStr">
        <is>
          <t>Index data are sourced from S&amp;P Dow Jones Indices, LLC and expressed in Ringgit terms.</t>
        </is>
      </c>
      <c r="BQ156" s="44" t="n">
        <v>0.3426</v>
      </c>
      <c r="BR156" s="38" t="inlineStr">
        <is>
          <t>2021-02-15</t>
        </is>
      </c>
      <c r="BS156" s="44" t="n">
        <v>0.2655</v>
      </c>
      <c r="BT156" s="43" t="n">
        <v>-22.5</v>
      </c>
      <c r="BU156" s="40" t="n">
        <v>1946</v>
      </c>
    </row>
    <row r="157" ht="16" customHeight="1">
      <c r="A157" s="53" t="inlineStr">
        <is>
          <t>PUBLIC e-ISLAMIC INDIA GLOBAL EQUITY FUND</t>
        </is>
      </c>
      <c r="B157" s="53" t="inlineStr">
        <is>
          <t>PeIIGEF</t>
        </is>
      </c>
      <c r="C157" s="53" t="inlineStr">
        <is>
          <t>Shariah</t>
        </is>
      </c>
      <c r="D157" s="53" t="inlineStr">
        <is>
          <t>Equity</t>
        </is>
      </c>
      <c r="E157" s="46" t="inlineStr">
        <is>
          <t>Capital Growth</t>
        </is>
      </c>
      <c r="F157" s="47" t="n">
        <v>5</v>
      </c>
      <c r="G157" s="46" t="inlineStr">
        <is>
          <t>Incidental</t>
        </is>
      </c>
      <c r="H157" s="48" t="n">
        <v>339.8</v>
      </c>
      <c r="I157" s="45" t="inlineStr">
        <is>
          <t>24.09.2024</t>
        </is>
      </c>
      <c r="J157" s="45" t="inlineStr">
        <is>
          <t>Disqualified</t>
        </is>
      </c>
      <c r="K157" s="49" t="n">
        <v>0</v>
      </c>
      <c r="L157" s="45" t="inlineStr">
        <is>
          <t>0/2</t>
        </is>
      </c>
      <c r="M157" s="46" t="inlineStr">
        <is>
          <t>Disqualified (WA: -3.48%) — YTD✘ 1Y✘</t>
        </is>
      </c>
      <c r="N157" s="50" t="n">
        <v>-3.48</v>
      </c>
      <c r="O157" s="50" t="n">
        <v>1.06</v>
      </c>
      <c r="P157" s="50" t="n">
        <v>2.43</v>
      </c>
      <c r="Q157" s="50" t="n">
        <v>-1.37</v>
      </c>
      <c r="R157" s="50" t="n">
        <v>9.17</v>
      </c>
      <c r="S157" s="50" t="n">
        <v>13.36</v>
      </c>
      <c r="T157" s="50" t="n">
        <v>-4.19</v>
      </c>
      <c r="U157" s="50" t="n"/>
      <c r="V157" s="50" t="n"/>
      <c r="W157" s="50" t="n"/>
      <c r="X157" s="50" t="n"/>
      <c r="Y157" s="50" t="n"/>
      <c r="Z157" s="50" t="n"/>
      <c r="AA157" s="50" t="n"/>
      <c r="AB157" s="50" t="n"/>
      <c r="AC157" s="50" t="n"/>
      <c r="AD157" s="50">
        <f>IF(OR(Q157="",BM157="",BM157=0),"",Q157/BM157)</f>
        <v/>
      </c>
      <c r="AE157" s="50">
        <f>IF(OR(T157="",BM157="",BM157=0),"",T157/BM157)</f>
        <v/>
      </c>
      <c r="AF157" s="50">
        <f>IF(OR(W157="",BM157="",BM157=0),"",W157/BM157)</f>
        <v/>
      </c>
      <c r="AG157" s="50">
        <f>IF(OR(Z157="",BM157="",BM157=0),"",Z157/BM157)</f>
        <v/>
      </c>
      <c r="AH157" s="50">
        <f>IF(OR(AC157="",BM157="",BM157=0),"",AC157/BM157)</f>
        <v/>
      </c>
      <c r="AI157" s="49" t="n"/>
      <c r="AJ157" s="49" t="n">
        <v>93.5</v>
      </c>
      <c r="AK157" s="49" t="n"/>
      <c r="AL157" s="49" t="n">
        <v>6.5</v>
      </c>
      <c r="AM157" s="49" t="n"/>
      <c r="AN157" s="49" t="n"/>
      <c r="AO157" s="49" t="n">
        <v>35.9</v>
      </c>
      <c r="AP157" s="49" t="n">
        <v>14.3</v>
      </c>
      <c r="AQ157" s="49" t="n">
        <v>7.5</v>
      </c>
      <c r="AR157" s="49" t="n"/>
      <c r="AS157" s="49" t="n">
        <v>2.3</v>
      </c>
      <c r="AT157" s="49" t="n"/>
      <c r="AU157" s="49" t="n"/>
      <c r="AV157" s="49" t="n"/>
      <c r="AW157" s="49" t="n"/>
      <c r="AX157" s="49" t="n"/>
      <c r="AY157" s="49" t="n"/>
      <c r="AZ157" s="49" t="n">
        <v>30.3</v>
      </c>
      <c r="BA157" s="49" t="n">
        <v>12.8</v>
      </c>
      <c r="BB157" s="49" t="n">
        <v>32.6</v>
      </c>
      <c r="BC157" s="49" t="n"/>
      <c r="BD157" s="49" t="n">
        <v>29.5</v>
      </c>
      <c r="BE157" s="49" t="n"/>
      <c r="BF157" s="49" t="n">
        <v>7.8</v>
      </c>
      <c r="BG157" s="49" t="n"/>
      <c r="BH157" s="49" t="n">
        <v>5.8</v>
      </c>
      <c r="BI157" s="49" t="n"/>
      <c r="BJ157" s="49" t="n"/>
      <c r="BK157" s="49" t="n"/>
      <c r="BL157" s="46" t="inlineStr">
        <is>
          <t>Alphabet Incorporated - Class A | Taiwan Semiconductor Manufacturing Company Limited | NVIDIA Corporation | Bharat Electronics Limited | Reliance Industries Limited</t>
        </is>
      </c>
      <c r="BM157" s="49" t="n"/>
      <c r="BN157" s="45" t="n"/>
      <c r="BO157" s="46" t="n"/>
      <c r="BP157" s="46" t="inlineStr">
        <is>
          <t>ThebenchmarkforPeIIGEFisacompositeof40%S&amp;PIndiaLargeCapShariah 20% Capped Index, 25% S&amp;P United States LargeCap Shariah Index, 25% customisedindexbyS&amp;PDowJonesIndices,LLCbasedontop100constituentsby market capitalisation of the S&amp;P Shariah BMI Asia Ex-Japan Index and 10% 3-Month Islamic Interbank Money Market (IIMM) rate. Underlying indexdata are sourced from S&amp;P Dow Jones Indices, LLC and Bank Negara Malaysia and expressed in Ringgit terms.</t>
        </is>
      </c>
      <c r="BQ157" s="51" t="n">
        <v>0.2724</v>
      </c>
      <c r="BR157" s="45" t="inlineStr">
        <is>
          <t>2026-06-03</t>
        </is>
      </c>
      <c r="BS157" s="51" t="n">
        <v>0.264</v>
      </c>
      <c r="BT157" s="50" t="n">
        <v>-3.08</v>
      </c>
      <c r="BU157" s="47" t="n">
        <v>12</v>
      </c>
    </row>
    <row r="158" ht="16" customHeight="1">
      <c r="A158" s="38" t="inlineStr">
        <is>
          <t>PB ASEAN DIVIDEND FUND</t>
        </is>
      </c>
      <c r="B158" s="38" t="inlineStr">
        <is>
          <t>PBADF</t>
        </is>
      </c>
      <c r="C158" s="38" t="inlineStr">
        <is>
          <t>Conventional</t>
        </is>
      </c>
      <c r="D158" s="38" t="inlineStr">
        <is>
          <t>Equity</t>
        </is>
      </c>
      <c r="E158" s="39" t="inlineStr">
        <is>
          <t>Income</t>
        </is>
      </c>
      <c r="F158" s="40" t="n">
        <v>5</v>
      </c>
      <c r="G158" s="39" t="inlineStr">
        <is>
          <t>Annual</t>
        </is>
      </c>
      <c r="H158" s="41" t="n">
        <v>507.62</v>
      </c>
      <c r="I158" s="38" t="inlineStr">
        <is>
          <t>08.05.2007</t>
        </is>
      </c>
      <c r="J158" s="38" t="inlineStr">
        <is>
          <t>Disqualified</t>
        </is>
      </c>
      <c r="K158" s="42" t="n">
        <v>0</v>
      </c>
      <c r="L158" s="38" t="inlineStr">
        <is>
          <t>0/5</t>
        </is>
      </c>
      <c r="M158" s="39" t="inlineStr">
        <is>
          <t>Disqualified (WA: -3.81%) — YTD✘ 1Y✘ 3Y✘ 5Y✘ 10Y✘</t>
        </is>
      </c>
      <c r="N158" s="43" t="n">
        <v>-3.81</v>
      </c>
      <c r="O158" s="43" t="n">
        <v>0.57</v>
      </c>
      <c r="P158" s="43" t="n">
        <v>1.89</v>
      </c>
      <c r="Q158" s="43" t="n">
        <v>-1.32</v>
      </c>
      <c r="R158" s="43" t="n">
        <v>4.21</v>
      </c>
      <c r="S158" s="43" t="n">
        <v>10.67</v>
      </c>
      <c r="T158" s="43" t="n">
        <v>-6.46</v>
      </c>
      <c r="U158" s="43" t="n">
        <v>-0.63</v>
      </c>
      <c r="V158" s="43" t="n">
        <v>4.42</v>
      </c>
      <c r="W158" s="43" t="n">
        <v>-5.05</v>
      </c>
      <c r="X158" s="43" t="n">
        <v>1.9</v>
      </c>
      <c r="Y158" s="43" t="n">
        <v>4.82</v>
      </c>
      <c r="Z158" s="43" t="n">
        <v>-2.92</v>
      </c>
      <c r="AA158" s="43" t="n">
        <v>3.88</v>
      </c>
      <c r="AB158" s="43" t="n">
        <v>4.08</v>
      </c>
      <c r="AC158" s="43" t="n">
        <v>-0.2</v>
      </c>
      <c r="AD158" s="43">
        <f>IF(OR(Q158="",BM158="",BM158=0),"",Q158/BM158)</f>
        <v/>
      </c>
      <c r="AE158" s="43">
        <f>IF(OR(T158="",BM158="",BM158=0),"",T158/BM158)</f>
        <v/>
      </c>
      <c r="AF158" s="43">
        <f>IF(OR(W158="",BM158="",BM158=0),"",W158/BM158)</f>
        <v/>
      </c>
      <c r="AG158" s="43">
        <f>IF(OR(Z158="",BM158="",BM158=0),"",Z158/BM158)</f>
        <v/>
      </c>
      <c r="AH158" s="43">
        <f>IF(OR(AC158="",BM158="",BM158=0),"",AC158/BM158)</f>
        <v/>
      </c>
      <c r="AI158" s="42" t="n">
        <v>11.6</v>
      </c>
      <c r="AJ158" s="42" t="n">
        <v>84.09999999999999</v>
      </c>
      <c r="AK158" s="42" t="n"/>
      <c r="AL158" s="42" t="n">
        <v>4.3</v>
      </c>
      <c r="AM158" s="42" t="n"/>
      <c r="AN158" s="42" t="n"/>
      <c r="AO158" s="42" t="n">
        <v>5.8</v>
      </c>
      <c r="AP158" s="42" t="n">
        <v>8.800000000000001</v>
      </c>
      <c r="AQ158" s="42" t="n"/>
      <c r="AR158" s="42" t="n"/>
      <c r="AS158" s="42" t="n"/>
      <c r="AT158" s="42" t="n"/>
      <c r="AU158" s="42" t="n"/>
      <c r="AV158" s="42" t="n">
        <v>50.8</v>
      </c>
      <c r="AW158" s="42" t="n"/>
      <c r="AX158" s="42" t="n">
        <v>6.6</v>
      </c>
      <c r="AY158" s="42" t="n"/>
      <c r="AZ158" s="42" t="n">
        <v>5.7</v>
      </c>
      <c r="BA158" s="42" t="n">
        <v>16</v>
      </c>
      <c r="BB158" s="42" t="n">
        <v>14.6</v>
      </c>
      <c r="BC158" s="42" t="n">
        <v>47.7</v>
      </c>
      <c r="BD158" s="42" t="n">
        <v>11.2</v>
      </c>
      <c r="BE158" s="42" t="n"/>
      <c r="BF158" s="42" t="n"/>
      <c r="BG158" s="42" t="n">
        <v>3</v>
      </c>
      <c r="BH158" s="42" t="n"/>
      <c r="BI158" s="42" t="n"/>
      <c r="BJ158" s="42" t="n"/>
      <c r="BK158" s="42" t="n"/>
      <c r="BL158" s="39" t="inlineStr">
        <is>
          <t>DBS Group Holdings Limited | Oversea-Chinese Banking Corporation Limited | Taiwan Semiconductor Manufacturing Company Limited | United Overseas Bank Limited | NVIDIA Corporation</t>
        </is>
      </c>
      <c r="BM158" s="42" t="n">
        <v>7</v>
      </c>
      <c r="BN158" s="38" t="inlineStr">
        <is>
          <t>Low</t>
        </is>
      </c>
      <c r="BO158" s="39" t="inlineStr">
        <is>
          <t>Equity ASEAN ASEAN</t>
        </is>
      </c>
      <c r="BP158" s="39" t="inlineStr">
        <is>
          <t>2018 2.00 31.05.18 6.8 ThebenchmarkforPBADFisacompositeof35%StraitsTimesIndex,30%Kuala 2019 1.75 31.05.19 6.3 LumpurCompositeIndex(priorto6July2009),30% FTSE BursaMalaysiaKLCI (w.e.f. 6 July 2009), 15% Jakarta Composite Index, 15% Stock Exchange of 2020 0.75 29.05.20 3.3 ThailandIndexand5% PhilippineStock ExchangeIndex(priorto30April 2010). 2021 1.00 31.05.21 3.6 90% FTSE/ASEAN 40 Index and 10% 3-Month Kuala Lumpur Interbank Offered Rate (KLIBOR) (w.e.f. 30 April 2010). 2022 0.75 31.05.22 2.7 Underlying index data are sourced from Lipper and Bank Negara Malaysia and 2023 0.75 31.05.23 2.6 expressed in Ringgit terms. 2024 1.50 31.05.24 5.6</t>
        </is>
      </c>
      <c r="BQ158" s="44" t="n">
        <v>0.3461</v>
      </c>
      <c r="BR158" s="38" t="inlineStr">
        <is>
          <t>2013-05-22</t>
        </is>
      </c>
      <c r="BS158" s="44" t="n">
        <v>0.2715</v>
      </c>
      <c r="BT158" s="43" t="n">
        <v>-21.55</v>
      </c>
      <c r="BU158" s="40" t="n">
        <v>4772</v>
      </c>
    </row>
    <row r="159" ht="16" customHeight="1">
      <c r="A159" s="45" t="inlineStr">
        <is>
          <t>PUBLIC LIFESTYLE &amp; TECHNOLOGY FUND</t>
        </is>
      </c>
      <c r="B159" s="45" t="inlineStr">
        <is>
          <t>PLTF</t>
        </is>
      </c>
      <c r="C159" s="45" t="inlineStr">
        <is>
          <t>Conventional</t>
        </is>
      </c>
      <c r="D159" s="45" t="inlineStr">
        <is>
          <t>Equity</t>
        </is>
      </c>
      <c r="E159" s="46" t="inlineStr">
        <is>
          <t>Capital Growth</t>
        </is>
      </c>
      <c r="F159" s="47" t="n">
        <v>5</v>
      </c>
      <c r="G159" s="46" t="inlineStr">
        <is>
          <t>Incidental</t>
        </is>
      </c>
      <c r="H159" s="48" t="n">
        <v>721.26</v>
      </c>
      <c r="I159" s="45" t="inlineStr">
        <is>
          <t>08.08.2018</t>
        </is>
      </c>
      <c r="J159" s="45" t="inlineStr">
        <is>
          <t>Disqualified</t>
        </is>
      </c>
      <c r="K159" s="49" t="n">
        <v>0</v>
      </c>
      <c r="L159" s="45" t="inlineStr">
        <is>
          <t>0/4</t>
        </is>
      </c>
      <c r="M159" s="46" t="inlineStr">
        <is>
          <t>Disqualified (WA: -4.04%) — YTD✘ 1Y✘ 3Y✘ 5Y✘</t>
        </is>
      </c>
      <c r="N159" s="50" t="n">
        <v>-4.04</v>
      </c>
      <c r="O159" s="50" t="n">
        <v>1.82</v>
      </c>
      <c r="P159" s="50" t="n">
        <v>10.6</v>
      </c>
      <c r="Q159" s="50" t="n">
        <v>-8.779999999999999</v>
      </c>
      <c r="R159" s="50" t="n">
        <v>21.03</v>
      </c>
      <c r="S159" s="50" t="n">
        <v>34.15</v>
      </c>
      <c r="T159" s="50" t="n">
        <v>-13.12</v>
      </c>
      <c r="U159" s="50" t="n">
        <v>19.57</v>
      </c>
      <c r="V159" s="50" t="n">
        <v>19.76</v>
      </c>
      <c r="W159" s="50" t="n">
        <v>-0.19</v>
      </c>
      <c r="X159" s="50" t="n">
        <v>6.02</v>
      </c>
      <c r="Y159" s="50" t="n">
        <v>9.81</v>
      </c>
      <c r="Z159" s="50" t="n">
        <v>-3.79</v>
      </c>
      <c r="AA159" s="50" t="n"/>
      <c r="AB159" s="50" t="n"/>
      <c r="AC159" s="50" t="n"/>
      <c r="AD159" s="50">
        <f>IF(OR(Q159="",BM159="",BM159=0),"",Q159/BM159)</f>
        <v/>
      </c>
      <c r="AE159" s="50">
        <f>IF(OR(T159="",BM159="",BM159=0),"",T159/BM159)</f>
        <v/>
      </c>
      <c r="AF159" s="50">
        <f>IF(OR(W159="",BM159="",BM159=0),"",W159/BM159)</f>
        <v/>
      </c>
      <c r="AG159" s="50">
        <f>IF(OR(Z159="",BM159="",BM159=0),"",Z159/BM159)</f>
        <v/>
      </c>
      <c r="AH159" s="50">
        <f>IF(OR(AC159="",BM159="",BM159=0),"",AC159/BM159)</f>
        <v/>
      </c>
      <c r="AI159" s="49" t="n"/>
      <c r="AJ159" s="49" t="n">
        <v>95.90000000000001</v>
      </c>
      <c r="AK159" s="49" t="n"/>
      <c r="AL159" s="49" t="n">
        <v>4.1</v>
      </c>
      <c r="AM159" s="49" t="n"/>
      <c r="AN159" s="49" t="n"/>
      <c r="AO159" s="49" t="n">
        <v>52.6</v>
      </c>
      <c r="AP159" s="49" t="n">
        <v>9.5</v>
      </c>
      <c r="AQ159" s="49" t="n">
        <v>10.3</v>
      </c>
      <c r="AR159" s="49" t="n"/>
      <c r="AS159" s="49" t="n"/>
      <c r="AT159" s="49" t="n"/>
      <c r="AU159" s="49" t="n">
        <v>8.4</v>
      </c>
      <c r="AV159" s="49" t="n"/>
      <c r="AW159" s="49" t="n"/>
      <c r="AX159" s="49" t="n"/>
      <c r="AY159" s="49" t="n"/>
      <c r="AZ159" s="49" t="n"/>
      <c r="BA159" s="49" t="n"/>
      <c r="BB159" s="49" t="n">
        <v>53.1</v>
      </c>
      <c r="BC159" s="49" t="n">
        <v>3.1</v>
      </c>
      <c r="BD159" s="49" t="n">
        <v>25.3</v>
      </c>
      <c r="BE159" s="49" t="n">
        <v>14.4</v>
      </c>
      <c r="BF159" s="49" t="n"/>
      <c r="BG159" s="49" t="n"/>
      <c r="BH159" s="49" t="n"/>
      <c r="BI159" s="49" t="n"/>
      <c r="BJ159" s="49" t="n"/>
      <c r="BK159" s="49" t="n"/>
      <c r="BL159" s="46" t="inlineStr">
        <is>
          <t>Taiwan Semiconductor Manufacturing Company Limited | Tesla Incorporated | Samsung Electronics Company Limited | Advanced Micro Devices Incorporated | Alibaba Group Holding Limited - W</t>
        </is>
      </c>
      <c r="BM159" s="49" t="n">
        <v>17.2</v>
      </c>
      <c r="BN159" s="45" t="inlineStr">
        <is>
          <t>Very High</t>
        </is>
      </c>
      <c r="BO159" s="46" t="inlineStr">
        <is>
          <t>Equity Global Global</t>
        </is>
      </c>
      <c r="BP159" s="46" t="inlineStr">
        <is>
          <t>ThebenchmarkforPLTFisacustomisedindexbyS&amp;PDowJonesIndices,LLC based on theconstituents within the ConsumerDiscretionary, ConsumerStaples andInformationTechnologysectorsoftheS&amp;PGlobalBMIIndexwhichcomprise majorstocksfromkeyglobalmarketsincludingUnitedStatesofAmerica,Europe and Asia. Underlying index data are sourced from S&amp;P Dow Jones Indices, LLC and expressed in Ringgit terms.</t>
        </is>
      </c>
      <c r="BQ159" s="51" t="n">
        <v>0.6362</v>
      </c>
      <c r="BR159" s="45" t="inlineStr">
        <is>
          <t>2026-06-04</t>
        </is>
      </c>
      <c r="BS159" s="51" t="n">
        <v>0.6194</v>
      </c>
      <c r="BT159" s="50" t="n">
        <v>-2.64</v>
      </c>
      <c r="BU159" s="47" t="n">
        <v>11</v>
      </c>
    </row>
    <row r="160" ht="16" customHeight="1">
      <c r="A160" s="38" t="inlineStr">
        <is>
          <t>PB GLOBAL OPPORTUNITIES FUND</t>
        </is>
      </c>
      <c r="B160" s="38" t="inlineStr">
        <is>
          <t>PBGOPF</t>
        </is>
      </c>
      <c r="C160" s="38" t="inlineStr">
        <is>
          <t>Conventional</t>
        </is>
      </c>
      <c r="D160" s="38" t="inlineStr">
        <is>
          <t>Equity</t>
        </is>
      </c>
      <c r="E160" s="39" t="inlineStr">
        <is>
          <t>Capital Growth</t>
        </is>
      </c>
      <c r="F160" s="40" t="n">
        <v>5</v>
      </c>
      <c r="G160" s="39" t="inlineStr">
        <is>
          <t>Incidental</t>
        </is>
      </c>
      <c r="H160" s="41" t="n">
        <v>44.13</v>
      </c>
      <c r="I160" s="38" t="inlineStr">
        <is>
          <t>22.08.2019</t>
        </is>
      </c>
      <c r="J160" s="38" t="inlineStr">
        <is>
          <t>Disqualified</t>
        </is>
      </c>
      <c r="K160" s="42" t="n">
        <v>0</v>
      </c>
      <c r="L160" s="38" t="inlineStr">
        <is>
          <t>0/4</t>
        </is>
      </c>
      <c r="M160" s="39" t="inlineStr">
        <is>
          <t>Disqualified (WA: -4.08%) — YTD✘ 1Y✘ 3Y✘ 5Y✘</t>
        </is>
      </c>
      <c r="N160" s="43" t="n">
        <v>-4.08</v>
      </c>
      <c r="O160" s="43" t="n">
        <v>-3.49</v>
      </c>
      <c r="P160" s="43" t="n">
        <v>7</v>
      </c>
      <c r="Q160" s="43" t="n">
        <v>-10.49</v>
      </c>
      <c r="R160" s="43" t="n">
        <v>12.47</v>
      </c>
      <c r="S160" s="43" t="n">
        <v>17.1</v>
      </c>
      <c r="T160" s="43" t="n">
        <v>-4.63</v>
      </c>
      <c r="U160" s="43" t="n">
        <v>5.79</v>
      </c>
      <c r="V160" s="43" t="n">
        <v>8.390000000000001</v>
      </c>
      <c r="W160" s="43" t="n">
        <v>-2.6</v>
      </c>
      <c r="X160" s="43" t="n">
        <v>-0.52</v>
      </c>
      <c r="Y160" s="43" t="n">
        <v>4.33</v>
      </c>
      <c r="Z160" s="43" t="n">
        <v>-4.85</v>
      </c>
      <c r="AA160" s="43" t="n"/>
      <c r="AB160" s="43" t="n"/>
      <c r="AC160" s="43" t="n"/>
      <c r="AD160" s="43">
        <f>IF(OR(Q160="",BM160="",BM160=0),"",Q160/BM160)</f>
        <v/>
      </c>
      <c r="AE160" s="43">
        <f>IF(OR(T160="",BM160="",BM160=0),"",T160/BM160)</f>
        <v/>
      </c>
      <c r="AF160" s="43">
        <f>IF(OR(W160="",BM160="",BM160=0),"",W160/BM160)</f>
        <v/>
      </c>
      <c r="AG160" s="43">
        <f>IF(OR(Z160="",BM160="",BM160=0),"",Z160/BM160)</f>
        <v/>
      </c>
      <c r="AH160" s="43">
        <f>IF(OR(AC160="",BM160="",BM160=0),"",AC160/BM160)</f>
        <v/>
      </c>
      <c r="AI160" s="42" t="n">
        <v>8.300000000000001</v>
      </c>
      <c r="AJ160" s="42" t="n">
        <v>79.90000000000001</v>
      </c>
      <c r="AK160" s="42" t="n"/>
      <c r="AL160" s="42" t="n">
        <v>11.8</v>
      </c>
      <c r="AM160" s="42" t="n"/>
      <c r="AN160" s="42" t="n"/>
      <c r="AO160" s="42" t="n">
        <v>40.6</v>
      </c>
      <c r="AP160" s="42" t="n"/>
      <c r="AQ160" s="42" t="n"/>
      <c r="AR160" s="42" t="n">
        <v>5.1</v>
      </c>
      <c r="AS160" s="42" t="n"/>
      <c r="AT160" s="42" t="n">
        <v>26.1</v>
      </c>
      <c r="AU160" s="42" t="n">
        <v>1.5</v>
      </c>
      <c r="AV160" s="42" t="n">
        <v>5.1</v>
      </c>
      <c r="AW160" s="42" t="n"/>
      <c r="AX160" s="42" t="n"/>
      <c r="AY160" s="42" t="n"/>
      <c r="AZ160" s="42" t="n"/>
      <c r="BA160" s="42" t="n">
        <v>20.8</v>
      </c>
      <c r="BB160" s="42" t="n">
        <v>4.1</v>
      </c>
      <c r="BC160" s="42" t="n">
        <v>12.3</v>
      </c>
      <c r="BD160" s="42" t="n"/>
      <c r="BE160" s="42" t="n"/>
      <c r="BF160" s="42" t="n">
        <v>1.5</v>
      </c>
      <c r="BG160" s="42" t="n"/>
      <c r="BH160" s="42" t="n"/>
      <c r="BI160" s="42" t="n"/>
      <c r="BJ160" s="42" t="n"/>
      <c r="BK160" s="42" t="n">
        <v>49.5</v>
      </c>
      <c r="BL160" s="39" t="inlineStr">
        <is>
          <t>iShares STOXX Europe Small 200 UCITS ETF (DE) | iShares STOXX Europe Mid 200 UCITS ETF (DE) | HEICO Corporation | iShares Core S&amp;P Small-Cap ETF | SoFi Technologies Incorporated</t>
        </is>
      </c>
      <c r="BM160" s="42" t="n">
        <v>12.3</v>
      </c>
      <c r="BN160" s="38" t="inlineStr">
        <is>
          <t>High</t>
        </is>
      </c>
      <c r="BO160" s="39" t="inlineStr">
        <is>
          <t>Equity Global Small &amp; Global</t>
        </is>
      </c>
      <c r="BP160" s="39" t="inlineStr">
        <is>
          <t>ThebenchmarkforPBGOPFisacompositeof40%S&amp;PMidCap400Index,30% S&amp;PSmallCap600Index,10%STOXXEuropeMid200Index,10%STOXXEurope Small 200 Index and 10% 3-Month Kuala Lumpur Interbank Offered Rate (KLIBOR). Underlying index data are sourced from Lipper and Bank Negara Malaysia and expressed in Ringgit terms.</t>
        </is>
      </c>
      <c r="BQ160" s="44" t="n">
        <v>0.3574</v>
      </c>
      <c r="BR160" s="38" t="inlineStr">
        <is>
          <t>2021-08-27</t>
        </is>
      </c>
      <c r="BS160" s="44" t="n">
        <v>0.3475</v>
      </c>
      <c r="BT160" s="43" t="n">
        <v>-2.77</v>
      </c>
      <c r="BU160" s="40" t="n">
        <v>1753</v>
      </c>
    </row>
    <row r="161" ht="16" customHeight="1">
      <c r="A161" s="53" t="inlineStr">
        <is>
          <t>PUBLIC INDIA-GLOBAL EQUITY FUND</t>
        </is>
      </c>
      <c r="B161" s="53" t="inlineStr">
        <is>
          <t>PINGEF</t>
        </is>
      </c>
      <c r="C161" s="53" t="inlineStr">
        <is>
          <t>Shariah</t>
        </is>
      </c>
      <c r="D161" s="53" t="inlineStr">
        <is>
          <t>Equity</t>
        </is>
      </c>
      <c r="E161" s="46" t="inlineStr">
        <is>
          <t>Capital Growth</t>
        </is>
      </c>
      <c r="F161" s="47" t="n">
        <v>5</v>
      </c>
      <c r="G161" s="46" t="inlineStr">
        <is>
          <t>Incidental</t>
        </is>
      </c>
      <c r="H161" s="48" t="n">
        <v>146.68</v>
      </c>
      <c r="I161" s="45" t="inlineStr">
        <is>
          <t>19.01.2018</t>
        </is>
      </c>
      <c r="J161" s="45" t="inlineStr">
        <is>
          <t>Disqualified</t>
        </is>
      </c>
      <c r="K161" s="49" t="n">
        <v>0</v>
      </c>
      <c r="L161" s="45" t="inlineStr">
        <is>
          <t>0/4</t>
        </is>
      </c>
      <c r="M161" s="46" t="inlineStr">
        <is>
          <t>Disqualified (WA: -4.09%) — YTD✘ 1Y✘ 3Y✘ 5Y✘</t>
        </is>
      </c>
      <c r="N161" s="50" t="n">
        <v>-4.09</v>
      </c>
      <c r="O161" s="50" t="n">
        <v>-3.35</v>
      </c>
      <c r="P161" s="50" t="n">
        <v>-1.27</v>
      </c>
      <c r="Q161" s="50" t="n">
        <v>-2.08</v>
      </c>
      <c r="R161" s="50" t="n">
        <v>4.52</v>
      </c>
      <c r="S161" s="50" t="n">
        <v>6.41</v>
      </c>
      <c r="T161" s="50" t="n">
        <v>-1.89</v>
      </c>
      <c r="U161" s="50" t="n">
        <v>4.42</v>
      </c>
      <c r="V161" s="50" t="n">
        <v>9.119999999999999</v>
      </c>
      <c r="W161" s="50" t="n">
        <v>-4.7</v>
      </c>
      <c r="X161" s="50" t="n">
        <v>0.9</v>
      </c>
      <c r="Y161" s="50" t="n">
        <v>5.75</v>
      </c>
      <c r="Z161" s="50" t="n">
        <v>-4.85</v>
      </c>
      <c r="AA161" s="50" t="n"/>
      <c r="AB161" s="50" t="n"/>
      <c r="AC161" s="50" t="n"/>
      <c r="AD161" s="50">
        <f>IF(OR(Q161="",BM161="",BM161=0),"",Q161/BM161)</f>
        <v/>
      </c>
      <c r="AE161" s="50">
        <f>IF(OR(T161="",BM161="",BM161=0),"",T161/BM161)</f>
        <v/>
      </c>
      <c r="AF161" s="50">
        <f>IF(OR(W161="",BM161="",BM161=0),"",W161/BM161)</f>
        <v/>
      </c>
      <c r="AG161" s="50">
        <f>IF(OR(Z161="",BM161="",BM161=0),"",Z161/BM161)</f>
        <v/>
      </c>
      <c r="AH161" s="50">
        <f>IF(OR(AC161="",BM161="",BM161=0),"",AC161/BM161)</f>
        <v/>
      </c>
      <c r="AI161" s="49" t="n">
        <v>0.3</v>
      </c>
      <c r="AJ161" s="49" t="n">
        <v>96.5</v>
      </c>
      <c r="AK161" s="49" t="n"/>
      <c r="AL161" s="49" t="n">
        <v>3.2</v>
      </c>
      <c r="AM161" s="49" t="n"/>
      <c r="AN161" s="49" t="n"/>
      <c r="AO161" s="49" t="n">
        <v>34</v>
      </c>
      <c r="AP161" s="49" t="n">
        <v>10.2</v>
      </c>
      <c r="AQ161" s="49" t="n">
        <v>10.1</v>
      </c>
      <c r="AR161" s="49" t="n"/>
      <c r="AS161" s="49" t="n"/>
      <c r="AT161" s="49" t="n"/>
      <c r="AU161" s="49" t="n">
        <v>8.6</v>
      </c>
      <c r="AV161" s="49" t="n"/>
      <c r="AW161" s="49" t="n"/>
      <c r="AX161" s="49" t="n"/>
      <c r="AY161" s="49" t="n"/>
      <c r="AZ161" s="49" t="n">
        <v>30.4</v>
      </c>
      <c r="BA161" s="49" t="n"/>
      <c r="BB161" s="49" t="n">
        <v>31.4</v>
      </c>
      <c r="BC161" s="49" t="n">
        <v>6.4</v>
      </c>
      <c r="BD161" s="49" t="n">
        <v>38.4</v>
      </c>
      <c r="BE161" s="49" t="n">
        <v>9.699999999999999</v>
      </c>
      <c r="BF161" s="49" t="n"/>
      <c r="BG161" s="49" t="n"/>
      <c r="BH161" s="49" t="n">
        <v>4.4</v>
      </c>
      <c r="BI161" s="49" t="n"/>
      <c r="BJ161" s="49" t="n"/>
      <c r="BK161" s="49" t="n"/>
      <c r="BL161" s="46" t="inlineStr">
        <is>
          <t>Alphabet Incorporated - Class A | Taiwan Semiconductor Manufacturing Company Limited | Meta Platforms Incorporated | NVIDIA Corporation | SK Hynix Incorporated</t>
        </is>
      </c>
      <c r="BM161" s="49" t="n">
        <v>13</v>
      </c>
      <c r="BN161" s="45" t="inlineStr">
        <is>
          <t>High</t>
        </is>
      </c>
      <c r="BO161" s="46" t="inlineStr">
        <is>
          <t>Global</t>
        </is>
      </c>
      <c r="BP161" s="46" t="inlineStr">
        <is>
          <t>ThebenchmarkforPINGEFisacompositeof40%MSCIIndiaIndex(priorto30 April2021),40%S&amp;PIndiaLargeCapIndex(w.e.f.30April2021),25%DowJones Industrial Average, 25% customised index by MSCI based on the top 30 constituents of MSCI AC Far-East Ex-Japan Index (prior to 30 April 2021), 25% customisedindexbyS&amp;PDowJonesIndices,LLCbasedonthetop30constituents oftheS&amp;PBMIAsiaEx-JapanIndex(w.e.f.30April2021)and10%3-MonthKuala Lumpur Interbank Offered Rate (KLIBOR). UnderlyingindexdataaresourcedfromS&amp;PDowJonesIndices,LLC,Lipperand Bank Negara Malaysia and expressed in Ringgit terms.</t>
        </is>
      </c>
      <c r="BQ161" s="51" t="n">
        <v>0.385</v>
      </c>
      <c r="BR161" s="45" t="inlineStr">
        <is>
          <t>2025-10-27</t>
        </is>
      </c>
      <c r="BS161" s="51" t="n">
        <v>0.3518</v>
      </c>
      <c r="BT161" s="50" t="n">
        <v>-8.619999999999999</v>
      </c>
      <c r="BU161" s="47" t="n">
        <v>231</v>
      </c>
    </row>
    <row r="162" ht="16" customHeight="1">
      <c r="A162" s="38" t="inlineStr">
        <is>
          <t>PB ASIA EMERGING GROWTH FUND</t>
        </is>
      </c>
      <c r="B162" s="38" t="inlineStr">
        <is>
          <t>PBAEGF</t>
        </is>
      </c>
      <c r="C162" s="38" t="inlineStr">
        <is>
          <t>Conventional</t>
        </is>
      </c>
      <c r="D162" s="38" t="inlineStr">
        <is>
          <t>Equity</t>
        </is>
      </c>
      <c r="E162" s="39" t="inlineStr">
        <is>
          <t>Capital Growth</t>
        </is>
      </c>
      <c r="F162" s="40" t="n">
        <v>5</v>
      </c>
      <c r="G162" s="39" t="inlineStr">
        <is>
          <t>Incidental</t>
        </is>
      </c>
      <c r="H162" s="41" t="n">
        <v>18.21</v>
      </c>
      <c r="I162" s="38" t="inlineStr">
        <is>
          <t>06.09.2011</t>
        </is>
      </c>
      <c r="J162" s="38" t="inlineStr">
        <is>
          <t>Disqualified</t>
        </is>
      </c>
      <c r="K162" s="42" t="n">
        <v>0</v>
      </c>
      <c r="L162" s="38" t="inlineStr">
        <is>
          <t>0/5</t>
        </is>
      </c>
      <c r="M162" s="39" t="inlineStr">
        <is>
          <t>Disqualified (WA: -4.88%) — YTD✘ 1Y✘ 3Y✘ 5Y✘ 10Y✘</t>
        </is>
      </c>
      <c r="N162" s="43" t="n">
        <v>-4.88</v>
      </c>
      <c r="O162" s="43" t="n">
        <v>11.22</v>
      </c>
      <c r="P162" s="43" t="n">
        <v>21.63</v>
      </c>
      <c r="Q162" s="43" t="n">
        <v>-10.41</v>
      </c>
      <c r="R162" s="43" t="n">
        <v>36</v>
      </c>
      <c r="S162" s="43" t="n">
        <v>45.85</v>
      </c>
      <c r="T162" s="43" t="n">
        <v>-9.85</v>
      </c>
      <c r="U162" s="43" t="n">
        <v>6.06</v>
      </c>
      <c r="V162" s="43" t="n">
        <v>11.67</v>
      </c>
      <c r="W162" s="43" t="n">
        <v>-5.61</v>
      </c>
      <c r="X162" s="43" t="n">
        <v>0.65</v>
      </c>
      <c r="Y162" s="43" t="n">
        <v>2.61</v>
      </c>
      <c r="Z162" s="43" t="n">
        <v>-1.96</v>
      </c>
      <c r="AA162" s="43" t="n">
        <v>4.51</v>
      </c>
      <c r="AB162" s="43" t="n">
        <v>5.51</v>
      </c>
      <c r="AC162" s="43" t="n">
        <v>-1</v>
      </c>
      <c r="AD162" s="43">
        <f>IF(OR(Q162="",BM162="",BM162=0),"",Q162/BM162)</f>
        <v/>
      </c>
      <c r="AE162" s="43">
        <f>IF(OR(T162="",BM162="",BM162=0),"",T162/BM162)</f>
        <v/>
      </c>
      <c r="AF162" s="43">
        <f>IF(OR(W162="",BM162="",BM162=0),"",W162/BM162)</f>
        <v/>
      </c>
      <c r="AG162" s="43">
        <f>IF(OR(Z162="",BM162="",BM162=0),"",Z162/BM162)</f>
        <v/>
      </c>
      <c r="AH162" s="43">
        <f>IF(OR(AC162="",BM162="",BM162=0),"",AC162/BM162)</f>
        <v/>
      </c>
      <c r="AI162" s="42" t="n">
        <v>12.1</v>
      </c>
      <c r="AJ162" s="42" t="n">
        <v>80.59999999999999</v>
      </c>
      <c r="AK162" s="42" t="n"/>
      <c r="AL162" s="42" t="n">
        <v>7.3</v>
      </c>
      <c r="AM162" s="42" t="n"/>
      <c r="AN162" s="42" t="n"/>
      <c r="AO162" s="42" t="n"/>
      <c r="AP162" s="42" t="n">
        <v>42.9</v>
      </c>
      <c r="AQ162" s="42" t="n"/>
      <c r="AR162" s="42" t="n"/>
      <c r="AS162" s="42" t="n"/>
      <c r="AT162" s="42" t="n"/>
      <c r="AU162" s="42" t="n">
        <v>19.4</v>
      </c>
      <c r="AV162" s="42" t="n">
        <v>5.2</v>
      </c>
      <c r="AW162" s="42" t="n"/>
      <c r="AX162" s="42" t="n">
        <v>4</v>
      </c>
      <c r="AY162" s="42" t="n"/>
      <c r="AZ162" s="42" t="n">
        <v>5.6</v>
      </c>
      <c r="BA162" s="42" t="n">
        <v>40.1</v>
      </c>
      <c r="BB162" s="42" t="n">
        <v>14.9</v>
      </c>
      <c r="BC162" s="42" t="n">
        <v>6.4</v>
      </c>
      <c r="BD162" s="42" t="n">
        <v>14.1</v>
      </c>
      <c r="BE162" s="42" t="n"/>
      <c r="BF162" s="42" t="n">
        <v>12</v>
      </c>
      <c r="BG162" s="42" t="n"/>
      <c r="BH162" s="42" t="n"/>
      <c r="BI162" s="42" t="n"/>
      <c r="BJ162" s="42" t="n"/>
      <c r="BK162" s="42" t="n"/>
      <c r="BL162" s="39" t="inlineStr">
        <is>
          <t>Jentech Precision Industrial Company Limited | Gold Circuit Electronics Limited | Kinik Company | King Yuan Electronics Company Limited | Alchip Technologies Limited</t>
        </is>
      </c>
      <c r="BM162" s="42" t="n">
        <v>10.7</v>
      </c>
      <c r="BN162" s="38" t="inlineStr">
        <is>
          <t>High</t>
        </is>
      </c>
      <c r="BO162" s="39" t="inlineStr">
        <is>
          <t>Equity Asia Pacific Small Asia</t>
        </is>
      </c>
      <c r="BP162" s="39" t="inlineStr">
        <is>
          <t>ThebenchmarkforPBAEGFisacustomisedindexbyS&amp;PDowJonesIndices,LLC basedontheconstituentswithintheSmallandMidCapstocksoftheS&amp;PBMIAsia Ex-Japan Index comprising Malaysia, South Korea, China, Taiwan, Hong Kong, Singapore,Thailand,IndonesiaandPhilippines.TheSmallandMidCapstocksof theS&amp;PBMIAsiaEx-JapanIndexarecustomisedtothefollowingweightsi.e.50% Top 100 Small Cap stocks and 50% Top 100 Mid Cap stocks. Underlying index data are sourced from S&amp;P Dow Jones Indices, LLC and expressed in Ringgit terms.</t>
        </is>
      </c>
      <c r="BQ162" s="44" t="n">
        <v>0.3866</v>
      </c>
      <c r="BR162" s="38" t="inlineStr">
        <is>
          <t>2021-02-17</t>
        </is>
      </c>
      <c r="BS162" s="44" t="n">
        <v>0.3411</v>
      </c>
      <c r="BT162" s="43" t="n">
        <v>-11.77</v>
      </c>
      <c r="BU162" s="40" t="n">
        <v>1944</v>
      </c>
    </row>
    <row r="163" ht="16" customHeight="1">
      <c r="A163" s="53" t="inlineStr">
        <is>
          <t>PUBLIC e-ISLAMIC PIONEER ENTREPRENEUR 40 FUND</t>
        </is>
      </c>
      <c r="B163" s="53" t="inlineStr">
        <is>
          <t>PeIPE40F</t>
        </is>
      </c>
      <c r="C163" s="53" t="inlineStr">
        <is>
          <t>Shariah</t>
        </is>
      </c>
      <c r="D163" s="53" t="inlineStr">
        <is>
          <t>Equity</t>
        </is>
      </c>
      <c r="E163" s="46" t="inlineStr">
        <is>
          <t>Capital Growth</t>
        </is>
      </c>
      <c r="F163" s="47" t="n">
        <v>5</v>
      </c>
      <c r="G163" s="46" t="inlineStr">
        <is>
          <t>Incidental</t>
        </is>
      </c>
      <c r="H163" s="48" t="n">
        <v>625.35</v>
      </c>
      <c r="I163" s="45" t="inlineStr">
        <is>
          <t>21.04.2021</t>
        </is>
      </c>
      <c r="J163" s="45" t="inlineStr">
        <is>
          <t>Disqualified</t>
        </is>
      </c>
      <c r="K163" s="49" t="n">
        <v>0</v>
      </c>
      <c r="L163" s="45" t="inlineStr">
        <is>
          <t>0/3</t>
        </is>
      </c>
      <c r="M163" s="46" t="inlineStr">
        <is>
          <t>Disqualified (WA: -5.75%) — YTD✘ 1Y✘ 3Y✘</t>
        </is>
      </c>
      <c r="N163" s="50" t="n">
        <v>-5.75</v>
      </c>
      <c r="O163" s="50" t="n">
        <v>-0.8100000000000001</v>
      </c>
      <c r="P163" s="50" t="n">
        <v>12.21</v>
      </c>
      <c r="Q163" s="50" t="n">
        <v>-13.02</v>
      </c>
      <c r="R163" s="50" t="n">
        <v>19.08</v>
      </c>
      <c r="S163" s="50" t="n">
        <v>37.11</v>
      </c>
      <c r="T163" s="50" t="n">
        <v>-18.03</v>
      </c>
      <c r="U163" s="50" t="n">
        <v>18.05</v>
      </c>
      <c r="V163" s="50" t="n">
        <v>18.28</v>
      </c>
      <c r="W163" s="50" t="n">
        <v>-0.23</v>
      </c>
      <c r="X163" s="50" t="n"/>
      <c r="Y163" s="50" t="n"/>
      <c r="Z163" s="50" t="n"/>
      <c r="AA163" s="50" t="n"/>
      <c r="AB163" s="50" t="n"/>
      <c r="AC163" s="50" t="n"/>
      <c r="AD163" s="50">
        <f>IF(OR(Q163="",BM163="",BM163=0),"",Q163/BM163)</f>
        <v/>
      </c>
      <c r="AE163" s="50">
        <f>IF(OR(T163="",BM163="",BM163=0),"",T163/BM163)</f>
        <v/>
      </c>
      <c r="AF163" s="50">
        <f>IF(OR(W163="",BM163="",BM163=0),"",W163/BM163)</f>
        <v/>
      </c>
      <c r="AG163" s="50">
        <f>IF(OR(Z163="",BM163="",BM163=0),"",Z163/BM163)</f>
        <v/>
      </c>
      <c r="AH163" s="50">
        <f>IF(OR(AC163="",BM163="",BM163=0),"",AC163/BM163)</f>
        <v/>
      </c>
      <c r="AI163" s="49" t="n"/>
      <c r="AJ163" s="49" t="n">
        <v>88</v>
      </c>
      <c r="AK163" s="49" t="n"/>
      <c r="AL163" s="49" t="n">
        <v>12</v>
      </c>
      <c r="AM163" s="49" t="n"/>
      <c r="AN163" s="49" t="n"/>
      <c r="AO163" s="49" t="n">
        <v>57.6</v>
      </c>
      <c r="AP163" s="49" t="n">
        <v>16.4</v>
      </c>
      <c r="AQ163" s="49" t="n"/>
      <c r="AR163" s="49" t="n">
        <v>2.1</v>
      </c>
      <c r="AS163" s="49" t="n">
        <v>1.2</v>
      </c>
      <c r="AT163" s="49" t="n"/>
      <c r="AU163" s="49" t="n">
        <v>10.1</v>
      </c>
      <c r="AV163" s="49" t="n"/>
      <c r="AW163" s="49" t="n"/>
      <c r="AX163" s="49" t="n"/>
      <c r="AY163" s="49" t="n"/>
      <c r="AZ163" s="49" t="n"/>
      <c r="BA163" s="49" t="n">
        <v>2.4</v>
      </c>
      <c r="BB163" s="49" t="n">
        <v>38.8</v>
      </c>
      <c r="BC163" s="49" t="n"/>
      <c r="BD163" s="49" t="n">
        <v>36.5</v>
      </c>
      <c r="BE163" s="49" t="n">
        <v>10.3</v>
      </c>
      <c r="BF163" s="49" t="n"/>
      <c r="BG163" s="49" t="n"/>
      <c r="BH163" s="49" t="n"/>
      <c r="BI163" s="49" t="n"/>
      <c r="BJ163" s="49" t="n"/>
      <c r="BK163" s="49" t="n"/>
      <c r="BL163" s="46" t="inlineStr">
        <is>
          <t>Alphabet Incorporated - Class A | Taiwan Semiconductor Manufacturing Company Limited | Tesla Incorporated | NVIDIA Corporation | Alibaba Group Holding Limited - W</t>
        </is>
      </c>
      <c r="BM163" s="49" t="n">
        <v>18.6</v>
      </c>
      <c r="BN163" s="45" t="inlineStr">
        <is>
          <t>Very High</t>
        </is>
      </c>
      <c r="BO163" s="46" t="inlineStr">
        <is>
          <t>Equity Global Global</t>
        </is>
      </c>
      <c r="BP163" s="46" t="inlineStr">
        <is>
          <t>ThebenchmarkforPeIPE40Fisacompositeof50%S&amp;PUnitedStatesLargeCap Shariah Index, 30% customised index by S&amp;P Dow Jones Indices, LLC based on top 100 constituents bymarket capitalisationof theS&amp;P ShariahBMIAsiaEx-Japan Index, 10% customised index byS&amp;P DowJones Indices, LLC based on top 20 constituentsbymarketcapitalisationoftheS&amp;PBMIShariahJapanIndexand10% 1-Month Islamic Interbank Money Market (IIMM) rate. Underlying indexdata are sourced from S&amp;P Dow Jones Indices, LLC and Bank Negara Malaysia and expressed in Ringgit terms.</t>
        </is>
      </c>
      <c r="BQ163" s="51" t="n">
        <v>0.3652</v>
      </c>
      <c r="BR163" s="45" t="inlineStr">
        <is>
          <t>2026-06-03</t>
        </is>
      </c>
      <c r="BS163" s="51" t="n">
        <v>0.3464</v>
      </c>
      <c r="BT163" s="50" t="n">
        <v>-5.15</v>
      </c>
      <c r="BU163" s="47" t="n">
        <v>12</v>
      </c>
    </row>
    <row r="164" ht="16" customHeight="1">
      <c r="A164" s="38" t="inlineStr">
        <is>
          <t>PUBLIC FAR-EAST TELCO &amp; INFRASTRUCTURE FUND</t>
        </is>
      </c>
      <c r="B164" s="38" t="inlineStr">
        <is>
          <t>PFETIF</t>
        </is>
      </c>
      <c r="C164" s="38" t="inlineStr">
        <is>
          <t>Conventional</t>
        </is>
      </c>
      <c r="D164" s="38" t="inlineStr">
        <is>
          <t>Equity</t>
        </is>
      </c>
      <c r="E164" s="39" t="inlineStr">
        <is>
          <t>Capital Growth</t>
        </is>
      </c>
      <c r="F164" s="40" t="n">
        <v>5</v>
      </c>
      <c r="G164" s="39" t="inlineStr">
        <is>
          <t>Incidental</t>
        </is>
      </c>
      <c r="H164" s="41" t="n">
        <v>49.75</v>
      </c>
      <c r="I164" s="38" t="inlineStr">
        <is>
          <t>08.07.2008</t>
        </is>
      </c>
      <c r="J164" s="38" t="inlineStr">
        <is>
          <t>Disqualified</t>
        </is>
      </c>
      <c r="K164" s="42" t="n">
        <v>0</v>
      </c>
      <c r="L164" s="38" t="inlineStr">
        <is>
          <t>0/5</t>
        </is>
      </c>
      <c r="M164" s="39" t="inlineStr">
        <is>
          <t>Disqualified (WA: -5.93%) — YTD✘ 1Y✘ 3Y✘ 5Y✘ 10Y✘</t>
        </is>
      </c>
      <c r="N164" s="43" t="n">
        <v>-5.93</v>
      </c>
      <c r="O164" s="43" t="n">
        <v>-9.220000000000001</v>
      </c>
      <c r="P164" s="43" t="n">
        <v>-1.03</v>
      </c>
      <c r="Q164" s="43" t="n">
        <v>-8.19</v>
      </c>
      <c r="R164" s="43" t="n">
        <v>-8.130000000000001</v>
      </c>
      <c r="S164" s="43" t="n">
        <v>8.07</v>
      </c>
      <c r="T164" s="43" t="n">
        <v>-16.2</v>
      </c>
      <c r="U164" s="43" t="n">
        <v>-2.14</v>
      </c>
      <c r="V164" s="43" t="n">
        <v>2.75</v>
      </c>
      <c r="W164" s="43" t="n">
        <v>-4.89</v>
      </c>
      <c r="X164" s="43" t="n">
        <v>-7.89</v>
      </c>
      <c r="Y164" s="43" t="n">
        <v>-3.99</v>
      </c>
      <c r="Z164" s="43" t="n">
        <v>-3.9</v>
      </c>
      <c r="AA164" s="43" t="n">
        <v>-1.21</v>
      </c>
      <c r="AB164" s="43" t="n">
        <v>-0.12</v>
      </c>
      <c r="AC164" s="43" t="n">
        <v>-1.09</v>
      </c>
      <c r="AD164" s="43">
        <f>IF(OR(Q164="",BM164="",BM164=0),"",Q164/BM164)</f>
        <v/>
      </c>
      <c r="AE164" s="43">
        <f>IF(OR(T164="",BM164="",BM164=0),"",T164/BM164)</f>
        <v/>
      </c>
      <c r="AF164" s="43">
        <f>IF(OR(W164="",BM164="",BM164=0),"",W164/BM164)</f>
        <v/>
      </c>
      <c r="AG164" s="43">
        <f>IF(OR(Z164="",BM164="",BM164=0),"",Z164/BM164)</f>
        <v/>
      </c>
      <c r="AH164" s="43">
        <f>IF(OR(AC164="",BM164="",BM164=0),"",AC164/BM164)</f>
        <v/>
      </c>
      <c r="AI164" s="42" t="n">
        <v>16.4</v>
      </c>
      <c r="AJ164" s="42" t="n">
        <v>59.2</v>
      </c>
      <c r="AK164" s="42" t="n"/>
      <c r="AL164" s="42" t="n">
        <v>24.4</v>
      </c>
      <c r="AM164" s="42" t="n"/>
      <c r="AN164" s="42" t="n"/>
      <c r="AO164" s="42" t="n"/>
      <c r="AP164" s="42" t="n">
        <v>2.9</v>
      </c>
      <c r="AQ164" s="42" t="n">
        <v>5</v>
      </c>
      <c r="AR164" s="42" t="n">
        <v>0.5</v>
      </c>
      <c r="AS164" s="42" t="n"/>
      <c r="AT164" s="42" t="n"/>
      <c r="AU164" s="42" t="n">
        <v>39</v>
      </c>
      <c r="AV164" s="42" t="n">
        <v>11.8</v>
      </c>
      <c r="AW164" s="42" t="n"/>
      <c r="AX164" s="42" t="n"/>
      <c r="AY164" s="42" t="n"/>
      <c r="AZ164" s="42" t="n"/>
      <c r="BA164" s="42" t="n"/>
      <c r="BB164" s="42" t="n"/>
      <c r="BC164" s="42" t="n"/>
      <c r="BD164" s="42" t="n">
        <v>53.7</v>
      </c>
      <c r="BE164" s="42" t="n"/>
      <c r="BF164" s="42" t="n"/>
      <c r="BG164" s="42" t="n">
        <v>11</v>
      </c>
      <c r="BH164" s="42" t="n">
        <v>5.7</v>
      </c>
      <c r="BI164" s="42" t="n"/>
      <c r="BJ164" s="42" t="n"/>
      <c r="BK164" s="42" t="n"/>
      <c r="BL164" s="39" t="inlineStr">
        <is>
          <t>Alibaba Group Holding Limited - W | Tencent Holdings Limited | Sembcorp Industries Limited | NetEase Incorporated - S | Telekom Malaysia Berhad</t>
        </is>
      </c>
      <c r="BM164" s="42" t="n">
        <v>14.2</v>
      </c>
      <c r="BN164" s="38" t="inlineStr">
        <is>
          <t>Very High</t>
        </is>
      </c>
      <c r="BO164" s="39" t="inlineStr">
        <is>
          <t>Equity Asia Pacific Asia</t>
        </is>
      </c>
      <c r="BP164" s="39" t="inlineStr">
        <is>
          <t>2021 1.75 30.4.21 4.8 ThebenchmarkforPFETIFisacustomisedindexbasedonTelecommunications, 2022 1.75 29.4.22 6.4 Construction &amp; Materials &amp; Utilities sectors by Dow Jones IndexesSM (prior to 1 January 2009), customised index by S&amp;P Dow Jones Indices, LLC based on Note: Distribution yield simply measures the level of distributions and is not a measure of fund performance. Telecommunication Service, Construction &amp; Materials &amp; Utilities sectors of S&amp;P BMI Asia Ex-Japan Index (w.e.f. 1 January 2009). Underlying index data are sourced from S&amp;P Dow Jones Indices, LLC and expressed in Ringgit terms.</t>
        </is>
      </c>
      <c r="BQ164" s="44" t="n">
        <v>0.4055</v>
      </c>
      <c r="BR164" s="38" t="inlineStr">
        <is>
          <t>2021-02-19</t>
        </is>
      </c>
      <c r="BS164" s="44" t="n">
        <v>0.2302</v>
      </c>
      <c r="BT164" s="43" t="n">
        <v>-43.23</v>
      </c>
      <c r="BU164" s="40" t="n">
        <v>1942</v>
      </c>
    </row>
    <row r="165" ht="16" customHeight="1">
      <c r="A165" s="45" t="inlineStr">
        <is>
          <t>PUBLIC SOUTH-EAST ASIA SELECT FUND</t>
        </is>
      </c>
      <c r="B165" s="45" t="inlineStr">
        <is>
          <t>PSEASF</t>
        </is>
      </c>
      <c r="C165" s="45" t="inlineStr">
        <is>
          <t>Conventional</t>
        </is>
      </c>
      <c r="D165" s="45" t="inlineStr">
        <is>
          <t>Equity</t>
        </is>
      </c>
      <c r="E165" s="46" t="inlineStr">
        <is>
          <t>Capital Growth</t>
        </is>
      </c>
      <c r="F165" s="47" t="n">
        <v>5</v>
      </c>
      <c r="G165" s="46" t="inlineStr">
        <is>
          <t>Incidental</t>
        </is>
      </c>
      <c r="H165" s="48" t="n">
        <v>852.6799999999999</v>
      </c>
      <c r="I165" s="45" t="inlineStr">
        <is>
          <t>02.10.2007</t>
        </is>
      </c>
      <c r="J165" s="45" t="inlineStr">
        <is>
          <t>Disqualified</t>
        </is>
      </c>
      <c r="K165" s="49" t="n">
        <v>0</v>
      </c>
      <c r="L165" s="45" t="inlineStr">
        <is>
          <t>0/5</t>
        </is>
      </c>
      <c r="M165" s="46" t="inlineStr">
        <is>
          <t>Disqualified (WA: -6.12%) — YTD✘ 1Y✘ 3Y✘ 5Y✘ 10Y✘</t>
        </is>
      </c>
      <c r="N165" s="50" t="n">
        <v>-6.12</v>
      </c>
      <c r="O165" s="50" t="n">
        <v>-3.69</v>
      </c>
      <c r="P165" s="50" t="n">
        <v>1.95</v>
      </c>
      <c r="Q165" s="50" t="n">
        <v>-5.64</v>
      </c>
      <c r="R165" s="50" t="n">
        <v>-2.46</v>
      </c>
      <c r="S165" s="50" t="n">
        <v>11.46</v>
      </c>
      <c r="T165" s="50" t="n">
        <v>-13.92</v>
      </c>
      <c r="U165" s="50" t="n">
        <v>-2.31</v>
      </c>
      <c r="V165" s="50" t="n">
        <v>4.46</v>
      </c>
      <c r="W165" s="50" t="n">
        <v>-6.77</v>
      </c>
      <c r="X165" s="50" t="n">
        <v>1.56</v>
      </c>
      <c r="Y165" s="50" t="n">
        <v>4.95</v>
      </c>
      <c r="Z165" s="50" t="n">
        <v>-3.39</v>
      </c>
      <c r="AA165" s="50" t="n">
        <v>2.84</v>
      </c>
      <c r="AB165" s="50" t="n">
        <v>4.11</v>
      </c>
      <c r="AC165" s="50" t="n">
        <v>-1.27</v>
      </c>
      <c r="AD165" s="50">
        <f>IF(OR(Q165="",BM165="",BM165=0),"",Q165/BM165)</f>
        <v/>
      </c>
      <c r="AE165" s="50">
        <f>IF(OR(T165="",BM165="",BM165=0),"",T165/BM165)</f>
        <v/>
      </c>
      <c r="AF165" s="50">
        <f>IF(OR(W165="",BM165="",BM165=0),"",W165/BM165)</f>
        <v/>
      </c>
      <c r="AG165" s="50">
        <f>IF(OR(Z165="",BM165="",BM165=0),"",Z165/BM165)</f>
        <v/>
      </c>
      <c r="AH165" s="50">
        <f>IF(OR(AC165="",BM165="",BM165=0),"",AC165/BM165)</f>
        <v/>
      </c>
      <c r="AI165" s="49" t="n">
        <v>12</v>
      </c>
      <c r="AJ165" s="49" t="n">
        <v>81.90000000000001</v>
      </c>
      <c r="AK165" s="49" t="n"/>
      <c r="AL165" s="49" t="n">
        <v>6.1</v>
      </c>
      <c r="AM165" s="49" t="n"/>
      <c r="AN165" s="49" t="n"/>
      <c r="AO165" s="49" t="n">
        <v>16.5</v>
      </c>
      <c r="AP165" s="49" t="n">
        <v>1.6</v>
      </c>
      <c r="AQ165" s="49" t="n"/>
      <c r="AR165" s="49" t="n"/>
      <c r="AS165" s="49" t="n"/>
      <c r="AT165" s="49" t="n"/>
      <c r="AU165" s="49" t="n"/>
      <c r="AV165" s="49" t="n">
        <v>47.7</v>
      </c>
      <c r="AW165" s="49" t="n"/>
      <c r="AX165" s="49" t="n">
        <v>7.8</v>
      </c>
      <c r="AY165" s="49" t="n"/>
      <c r="AZ165" s="49" t="n">
        <v>7.3</v>
      </c>
      <c r="BA165" s="49" t="n">
        <v>15.5</v>
      </c>
      <c r="BB165" s="49" t="n"/>
      <c r="BC165" s="49" t="n">
        <v>43.8</v>
      </c>
      <c r="BD165" s="49" t="n">
        <v>23.8</v>
      </c>
      <c r="BE165" s="49" t="n">
        <v>6.4</v>
      </c>
      <c r="BF165" s="49" t="n"/>
      <c r="BG165" s="49" t="n">
        <v>2.1</v>
      </c>
      <c r="BH165" s="49" t="n"/>
      <c r="BI165" s="49" t="n"/>
      <c r="BJ165" s="49" t="n"/>
      <c r="BK165" s="49" t="n"/>
      <c r="BL165" s="46" t="inlineStr">
        <is>
          <t>DBS Group Holdings Limited | Oversea-Chinese Banking Corporation Limited | Public Bank Berhad | Singapore Technologies Engineering Limited | Amazon.com Incorporated</t>
        </is>
      </c>
      <c r="BM165" s="49" t="n">
        <v>6.3</v>
      </c>
      <c r="BN165" s="45" t="inlineStr">
        <is>
          <t>Low</t>
        </is>
      </c>
      <c r="BO165" s="46" t="inlineStr">
        <is>
          <t>Equity ASEAN ASEAN</t>
        </is>
      </c>
      <c r="BP165" s="46" t="n"/>
      <c r="BQ165" s="51" t="n">
        <v>0.3173</v>
      </c>
      <c r="BR165" s="45" t="inlineStr">
        <is>
          <t>2013-05-20</t>
        </is>
      </c>
      <c r="BS165" s="51" t="n">
        <v>0.2762</v>
      </c>
      <c r="BT165" s="50" t="n">
        <v>-12.95</v>
      </c>
      <c r="BU165" s="47" t="n">
        <v>4774</v>
      </c>
    </row>
    <row r="166" ht="16" customHeight="1">
      <c r="A166" s="38" t="inlineStr">
        <is>
          <t>PB CHINA ASEAN EQUITY FUND</t>
        </is>
      </c>
      <c r="B166" s="38" t="inlineStr">
        <is>
          <t>PBCAEF</t>
        </is>
      </c>
      <c r="C166" s="38" t="inlineStr">
        <is>
          <t>Conventional</t>
        </is>
      </c>
      <c r="D166" s="38" t="inlineStr">
        <is>
          <t>Equity</t>
        </is>
      </c>
      <c r="E166" s="39" t="inlineStr">
        <is>
          <t>Capital Growth</t>
        </is>
      </c>
      <c r="F166" s="40" t="n">
        <v>5</v>
      </c>
      <c r="G166" s="39" t="inlineStr">
        <is>
          <t>Incidental</t>
        </is>
      </c>
      <c r="H166" s="41" t="n">
        <v>78.15000000000001</v>
      </c>
      <c r="I166" s="38" t="inlineStr">
        <is>
          <t>05.03.2008</t>
        </is>
      </c>
      <c r="J166" s="38" t="inlineStr">
        <is>
          <t>Disqualified</t>
        </is>
      </c>
      <c r="K166" s="42" t="n">
        <v>0</v>
      </c>
      <c r="L166" s="38" t="inlineStr">
        <is>
          <t>0/5</t>
        </is>
      </c>
      <c r="M166" s="39" t="inlineStr">
        <is>
          <t>Disqualified (WA: -7.25%) — YTD✘ 1Y✘ 3Y✘ 5Y✘ 10Y✘</t>
        </is>
      </c>
      <c r="N166" s="43" t="n">
        <v>-7.25</v>
      </c>
      <c r="O166" s="43" t="n">
        <v>-11.89</v>
      </c>
      <c r="P166" s="43" t="n">
        <v>-1.76</v>
      </c>
      <c r="Q166" s="43" t="n">
        <v>-10.13</v>
      </c>
      <c r="R166" s="43" t="n">
        <v>-10.47</v>
      </c>
      <c r="S166" s="43" t="n">
        <v>8.34</v>
      </c>
      <c r="T166" s="43" t="n">
        <v>-18.81</v>
      </c>
      <c r="U166" s="43" t="n">
        <v>-2.28</v>
      </c>
      <c r="V166" s="43" t="n">
        <v>4.57</v>
      </c>
      <c r="W166" s="43" t="n">
        <v>-6.85</v>
      </c>
      <c r="X166" s="43" t="n">
        <v>-3.85</v>
      </c>
      <c r="Y166" s="43" t="n">
        <v>-0.42</v>
      </c>
      <c r="Z166" s="43" t="n">
        <v>-3.43</v>
      </c>
      <c r="AA166" s="43" t="n">
        <v>2.25</v>
      </c>
      <c r="AB166" s="43" t="n">
        <v>4.42</v>
      </c>
      <c r="AC166" s="43" t="n">
        <v>-2.17</v>
      </c>
      <c r="AD166" s="43">
        <f>IF(OR(Q166="",BM166="",BM166=0),"",Q166/BM166)</f>
        <v/>
      </c>
      <c r="AE166" s="43">
        <f>IF(OR(T166="",BM166="",BM166=0),"",T166/BM166)</f>
        <v/>
      </c>
      <c r="AF166" s="43">
        <f>IF(OR(W166="",BM166="",BM166=0),"",W166/BM166)</f>
        <v/>
      </c>
      <c r="AG166" s="43">
        <f>IF(OR(Z166="",BM166="",BM166=0),"",Z166/BM166)</f>
        <v/>
      </c>
      <c r="AH166" s="43">
        <f>IF(OR(AC166="",BM166="",BM166=0),"",AC166/BM166)</f>
        <v/>
      </c>
      <c r="AI166" s="42" t="n">
        <v>1.8</v>
      </c>
      <c r="AJ166" s="42" t="n">
        <v>88.3</v>
      </c>
      <c r="AK166" s="42" t="n"/>
      <c r="AL166" s="42" t="n">
        <v>9.9</v>
      </c>
      <c r="AM166" s="42" t="n"/>
      <c r="AN166" s="42" t="n"/>
      <c r="AO166" s="42" t="n"/>
      <c r="AP166" s="42" t="n"/>
      <c r="AQ166" s="42" t="n"/>
      <c r="AR166" s="42" t="n"/>
      <c r="AS166" s="42" t="n"/>
      <c r="AT166" s="42" t="n"/>
      <c r="AU166" s="42" t="n">
        <v>3.5</v>
      </c>
      <c r="AV166" s="42" t="n">
        <v>21.1</v>
      </c>
      <c r="AW166" s="42" t="n"/>
      <c r="AX166" s="42" t="n">
        <v>8.6</v>
      </c>
      <c r="AY166" s="42" t="n"/>
      <c r="AZ166" s="42" t="n">
        <v>12.2</v>
      </c>
      <c r="BA166" s="42" t="n">
        <v>7.4</v>
      </c>
      <c r="BB166" s="42" t="n">
        <v>10.7</v>
      </c>
      <c r="BC166" s="42" t="n">
        <v>36.6</v>
      </c>
      <c r="BD166" s="42" t="n">
        <v>29.7</v>
      </c>
      <c r="BE166" s="42" t="n">
        <v>4.4</v>
      </c>
      <c r="BF166" s="42" t="n"/>
      <c r="BG166" s="42" t="n"/>
      <c r="BH166" s="42" t="n"/>
      <c r="BI166" s="42" t="n"/>
      <c r="BJ166" s="42" t="n"/>
      <c r="BK166" s="42" t="n"/>
      <c r="BL166" s="39" t="inlineStr">
        <is>
          <t>Tencent Holdings Limited | Alibaba Group Holding Limited - W | DBS Group Holdings Limited | Oversea-Chinese Banking Corporation Limited | Semiconductor Manufacturing International Corporation</t>
        </is>
      </c>
      <c r="BM166" s="42" t="n">
        <v>17.1</v>
      </c>
      <c r="BN166" s="38" t="inlineStr">
        <is>
          <t>Very High</t>
        </is>
      </c>
      <c r="BO166" s="39" t="inlineStr">
        <is>
          <t>Equity Asia Pacific ex- Asia</t>
        </is>
      </c>
      <c r="BP166" s="39" t="inlineStr">
        <is>
          <t>The benchmark for PBCAEF is a composite of 50% of Hang Seng China EnterprisesIndex(HSCEI)(priorto1January2009),20%KualaLumpurComposite Index(priorto6July2009),20%FTSEBursaMalaysiaKLCI(w.e.f.6July2009), 15% Straits Times Index (STI), 7.5% Jakarta Composite Index (JCI), 5% Stock Exchange of Thailand Index (SET) and 2.5% Philippine Stock Exchange Index (PSEi) (prior to 30 April 2010). 50%MSCIChinaFreeIndex(1January2009to29April2021),50%S&amp;PChina LargeMidCapIndex(w.e.f.30April2021)and50%FTSE/ASEAN40Index(w.e.f. 30 April 2010). UnderlyingindexdataaresourcedfromS&amp;PDowJonesIndices,LLCandLipper and expressed in Ringgit terms.</t>
        </is>
      </c>
      <c r="BQ166" s="44" t="n">
        <v>0.451</v>
      </c>
      <c r="BR166" s="38" t="inlineStr">
        <is>
          <t>2018-01-26</t>
        </is>
      </c>
      <c r="BS166" s="44" t="n">
        <v>0.2884</v>
      </c>
      <c r="BT166" s="43" t="n">
        <v>-36.05</v>
      </c>
      <c r="BU166" s="40" t="n">
        <v>3062</v>
      </c>
    </row>
    <row r="167" ht="16" customHeight="1">
      <c r="A167" s="45" t="inlineStr">
        <is>
          <t>PUBLIC ASEAN GROWTH FUND</t>
        </is>
      </c>
      <c r="B167" s="45" t="inlineStr">
        <is>
          <t>PASGF</t>
        </is>
      </c>
      <c r="C167" s="45" t="inlineStr">
        <is>
          <t>Conventional</t>
        </is>
      </c>
      <c r="D167" s="45" t="inlineStr">
        <is>
          <t>Equity</t>
        </is>
      </c>
      <c r="E167" s="46" t="inlineStr">
        <is>
          <t>Capital Growth</t>
        </is>
      </c>
      <c r="F167" s="47" t="n">
        <v>5</v>
      </c>
      <c r="G167" s="46" t="inlineStr">
        <is>
          <t>Incidental</t>
        </is>
      </c>
      <c r="H167" s="48" t="n">
        <v>72.81999999999999</v>
      </c>
      <c r="I167" s="45" t="inlineStr">
        <is>
          <t>26.10.2017</t>
        </is>
      </c>
      <c r="J167" s="45" t="inlineStr">
        <is>
          <t>Disqualified</t>
        </is>
      </c>
      <c r="K167" s="49" t="n">
        <v>0</v>
      </c>
      <c r="L167" s="45" t="inlineStr">
        <is>
          <t>0/4</t>
        </is>
      </c>
      <c r="M167" s="46" t="inlineStr">
        <is>
          <t>Disqualified (WA: -9.20%) — YTD✘ 1Y✘ 3Y✘ 5Y✘</t>
        </is>
      </c>
      <c r="N167" s="50" t="n">
        <v>-9.199999999999999</v>
      </c>
      <c r="O167" s="50" t="n">
        <v>-4.03</v>
      </c>
      <c r="P167" s="50" t="n">
        <v>1.95</v>
      </c>
      <c r="Q167" s="50" t="n">
        <v>-5.98</v>
      </c>
      <c r="R167" s="50" t="n">
        <v>-2.95</v>
      </c>
      <c r="S167" s="50" t="n">
        <v>11.46</v>
      </c>
      <c r="T167" s="50" t="n">
        <v>-14.41</v>
      </c>
      <c r="U167" s="50" t="n">
        <v>-5.11</v>
      </c>
      <c r="V167" s="50" t="n">
        <v>4.46</v>
      </c>
      <c r="W167" s="50" t="n">
        <v>-9.57</v>
      </c>
      <c r="X167" s="50" t="n">
        <v>-1.16</v>
      </c>
      <c r="Y167" s="50" t="n">
        <v>4.95</v>
      </c>
      <c r="Z167" s="50" t="n">
        <v>-6.11</v>
      </c>
      <c r="AA167" s="50" t="n"/>
      <c r="AB167" s="50" t="n"/>
      <c r="AC167" s="50" t="n"/>
      <c r="AD167" s="50">
        <f>IF(OR(Q167="",BM167="",BM167=0),"",Q167/BM167)</f>
        <v/>
      </c>
      <c r="AE167" s="50">
        <f>IF(OR(T167="",BM167="",BM167=0),"",T167/BM167)</f>
        <v/>
      </c>
      <c r="AF167" s="50">
        <f>IF(OR(W167="",BM167="",BM167=0),"",W167/BM167)</f>
        <v/>
      </c>
      <c r="AG167" s="50">
        <f>IF(OR(Z167="",BM167="",BM167=0),"",Z167/BM167)</f>
        <v/>
      </c>
      <c r="AH167" s="50">
        <f>IF(OR(AC167="",BM167="",BM167=0),"",AC167/BM167)</f>
        <v/>
      </c>
      <c r="AI167" s="49" t="n">
        <v>10.4</v>
      </c>
      <c r="AJ167" s="49" t="n">
        <v>80.40000000000001</v>
      </c>
      <c r="AK167" s="49" t="n"/>
      <c r="AL167" s="49" t="n">
        <v>9.199999999999999</v>
      </c>
      <c r="AM167" s="49" t="n"/>
      <c r="AN167" s="49" t="n"/>
      <c r="AO167" s="49" t="n"/>
      <c r="AP167" s="49" t="n"/>
      <c r="AQ167" s="49" t="n"/>
      <c r="AR167" s="49" t="n"/>
      <c r="AS167" s="49" t="n"/>
      <c r="AT167" s="49" t="n"/>
      <c r="AU167" s="49" t="n"/>
      <c r="AV167" s="49" t="n">
        <v>53.4</v>
      </c>
      <c r="AW167" s="49" t="n"/>
      <c r="AX167" s="49" t="n">
        <v>12</v>
      </c>
      <c r="AY167" s="49" t="n"/>
      <c r="AZ167" s="49" t="n">
        <v>15</v>
      </c>
      <c r="BA167" s="49" t="n">
        <v>21.5</v>
      </c>
      <c r="BB167" s="49" t="n"/>
      <c r="BC167" s="49" t="n">
        <v>38.7</v>
      </c>
      <c r="BD167" s="49" t="n">
        <v>14.8</v>
      </c>
      <c r="BE167" s="49" t="n">
        <v>4.1</v>
      </c>
      <c r="BF167" s="49" t="n"/>
      <c r="BG167" s="49" t="n">
        <v>6.1</v>
      </c>
      <c r="BH167" s="49" t="n"/>
      <c r="BI167" s="49" t="n"/>
      <c r="BJ167" s="49" t="n"/>
      <c r="BK167" s="49" t="n"/>
      <c r="BL167" s="46" t="inlineStr">
        <is>
          <t>Oversea-Chinese Banking Corporation Limited | DBS Group Holdings Limited | Tenaga Nasional Berhad | Singapore Technologies Engineering Limited | Keppel Limited</t>
        </is>
      </c>
      <c r="BM167" s="49" t="n">
        <v>7.8</v>
      </c>
      <c r="BN167" s="45" t="inlineStr">
        <is>
          <t>Moderate</t>
        </is>
      </c>
      <c r="BO167" s="46" t="inlineStr">
        <is>
          <t>ASEAN</t>
        </is>
      </c>
      <c r="BP167" s="46" t="inlineStr">
        <is>
          <t>Index data are sourced from Lipper and expressed in Ringgit terms.</t>
        </is>
      </c>
      <c r="BQ167" s="51" t="n">
        <v>0.3109</v>
      </c>
      <c r="BR167" s="45" t="inlineStr">
        <is>
          <t>2024-02-20</t>
        </is>
      </c>
      <c r="BS167" s="51" t="n">
        <v>0.2576</v>
      </c>
      <c r="BT167" s="50" t="n">
        <v>-17.14</v>
      </c>
      <c r="BU167" s="47" t="n">
        <v>846</v>
      </c>
    </row>
    <row r="168" ht="16" customHeight="1">
      <c r="A168" s="38" t="inlineStr">
        <is>
          <t>PB ISLAMIC DYNAMIC ALLOCATION FUND</t>
        </is>
      </c>
      <c r="B168" s="38" t="inlineStr">
        <is>
          <t>PBIDYNAF</t>
        </is>
      </c>
      <c r="C168" s="38" t="inlineStr">
        <is>
          <t>Conventional</t>
        </is>
      </c>
      <c r="D168" s="38" t="inlineStr">
        <is>
          <t>Mixed Asset / Balanced</t>
        </is>
      </c>
      <c r="E168" s="39" t="inlineStr">
        <is>
          <t>Capital Growth</t>
        </is>
      </c>
      <c r="F168" s="40" t="n">
        <v>5</v>
      </c>
      <c r="G168" s="39" t="inlineStr">
        <is>
          <t>Incidental</t>
        </is>
      </c>
      <c r="H168" s="41" t="n">
        <v>229.59</v>
      </c>
      <c r="I168" s="38" t="inlineStr">
        <is>
          <t>28.02.2018</t>
        </is>
      </c>
      <c r="J168" s="38" t="inlineStr">
        <is>
          <t>Disqualified</t>
        </is>
      </c>
      <c r="K168" s="42" t="n">
        <v>50</v>
      </c>
      <c r="L168" s="38" t="inlineStr">
        <is>
          <t>2/4</t>
        </is>
      </c>
      <c r="M168" s="39" t="inlineStr">
        <is>
          <t>Disqualified (WA: -0.22%) — YTD✘ 1Y✔ 3Y✔ 5Y✘</t>
        </is>
      </c>
      <c r="N168" s="43" t="n">
        <v>-0.22</v>
      </c>
      <c r="O168" s="43" t="n">
        <v>2.64</v>
      </c>
      <c r="P168" s="43" t="n">
        <v>4.23</v>
      </c>
      <c r="Q168" s="43" t="n">
        <v>-1.59</v>
      </c>
      <c r="R168" s="43" t="n">
        <v>25.73</v>
      </c>
      <c r="S168" s="43" t="n">
        <v>18.77</v>
      </c>
      <c r="T168" s="43" t="n">
        <v>6.96</v>
      </c>
      <c r="U168" s="43" t="n">
        <v>12.66</v>
      </c>
      <c r="V168" s="43" t="n">
        <v>12.05</v>
      </c>
      <c r="W168" s="43" t="n">
        <v>0.61</v>
      </c>
      <c r="X168" s="43" t="n">
        <v>2.98</v>
      </c>
      <c r="Y168" s="43" t="n">
        <v>8.550000000000001</v>
      </c>
      <c r="Z168" s="43" t="n">
        <v>-5.57</v>
      </c>
      <c r="AA168" s="43" t="n"/>
      <c r="AB168" s="43" t="n"/>
      <c r="AC168" s="43" t="n"/>
      <c r="AD168" s="43">
        <f>IF(OR(Q168="",BM168="",BM168=0),"",Q168/BM168)</f>
        <v/>
      </c>
      <c r="AE168" s="43">
        <f>IF(OR(T168="",BM168="",BM168=0),"",T168/BM168)</f>
        <v/>
      </c>
      <c r="AF168" s="43">
        <f>IF(OR(W168="",BM168="",BM168=0),"",W168/BM168)</f>
        <v/>
      </c>
      <c r="AG168" s="43">
        <f>IF(OR(Z168="",BM168="",BM168=0),"",Z168/BM168)</f>
        <v/>
      </c>
      <c r="AH168" s="43">
        <f>IF(OR(AC168="",BM168="",BM168=0),"",AC168/BM168)</f>
        <v/>
      </c>
      <c r="AI168" s="42" t="n"/>
      <c r="AJ168" s="42" t="n">
        <v>91.5</v>
      </c>
      <c r="AK168" s="42" t="n"/>
      <c r="AL168" s="42" t="n">
        <v>8.5</v>
      </c>
      <c r="AM168" s="42" t="n"/>
      <c r="AN168" s="42" t="n"/>
      <c r="AO168" s="42" t="n">
        <v>57.6</v>
      </c>
      <c r="AP168" s="42" t="n">
        <v>10.2</v>
      </c>
      <c r="AQ168" s="42" t="n"/>
      <c r="AR168" s="42" t="n"/>
      <c r="AS168" s="42" t="n">
        <v>2.8</v>
      </c>
      <c r="AT168" s="42" t="n"/>
      <c r="AU168" s="42" t="n">
        <v>12</v>
      </c>
      <c r="AV168" s="42" t="n"/>
      <c r="AW168" s="42" t="n"/>
      <c r="AX168" s="42" t="n"/>
      <c r="AY168" s="42" t="n"/>
      <c r="AZ168" s="42" t="n"/>
      <c r="BA168" s="42" t="n">
        <v>1.7</v>
      </c>
      <c r="BB168" s="42" t="n">
        <v>40.8</v>
      </c>
      <c r="BC168" s="42" t="n"/>
      <c r="BD168" s="42" t="n">
        <v>37.3</v>
      </c>
      <c r="BE168" s="42" t="n">
        <v>11.7</v>
      </c>
      <c r="BF168" s="42" t="n"/>
      <c r="BG168" s="42" t="n"/>
      <c r="BH168" s="42" t="n"/>
      <c r="BI168" s="42" t="n"/>
      <c r="BJ168" s="42" t="n"/>
      <c r="BK168" s="42" t="n"/>
      <c r="BL168" s="39" t="inlineStr">
        <is>
          <t>Advanced Micro Devices Incorporated | Taiwan Semiconductor Manufacturing Company Limited | Alphabet Incorporated - Class A | Tesla Incorporated | Meta Platforms Incorporated</t>
        </is>
      </c>
      <c r="BM168" s="42" t="n">
        <v>15.2</v>
      </c>
      <c r="BN168" s="38" t="inlineStr">
        <is>
          <t>Very High</t>
        </is>
      </c>
      <c r="BO168" s="39" t="inlineStr">
        <is>
          <t>Mixed Asset MYR Global</t>
        </is>
      </c>
      <c r="BP168" s="39" t="inlineStr">
        <is>
          <t>Thebenchmark forPBIDYNAFisacompositeof70% S&amp;P Global 1200Shariah Index and 30% 3-Month Islamic Interbank Money Market (IIMM) rate. Underlying index data are sourced from Lipper and Bank Negara Malaysia and expressed in Ringgit terms.</t>
        </is>
      </c>
      <c r="BQ168" s="44" t="n">
        <v>1.7064</v>
      </c>
      <c r="BR168" s="38" t="inlineStr">
        <is>
          <t>2026-06-03</t>
        </is>
      </c>
      <c r="BS168" s="44" t="n">
        <v>1.6553</v>
      </c>
      <c r="BT168" s="43" t="n">
        <v>-2.99</v>
      </c>
      <c r="BU168" s="40" t="n">
        <v>12</v>
      </c>
    </row>
    <row r="169" ht="16" customHeight="1">
      <c r="A169" s="45" t="inlineStr">
        <is>
          <t>PB INDONESIA BALANCED FUND</t>
        </is>
      </c>
      <c r="B169" s="45" t="inlineStr">
        <is>
          <t>PBINDOBF</t>
        </is>
      </c>
      <c r="C169" s="45" t="inlineStr">
        <is>
          <t>Conventional</t>
        </is>
      </c>
      <c r="D169" s="45" t="inlineStr">
        <is>
          <t>Mixed Asset / Balanced</t>
        </is>
      </c>
      <c r="E169" s="46" t="inlineStr">
        <is>
          <t>Capital Growth + Income</t>
        </is>
      </c>
      <c r="F169" s="47" t="n">
        <v>5</v>
      </c>
      <c r="G169" s="46" t="inlineStr">
        <is>
          <t>Incidental</t>
        </is>
      </c>
      <c r="H169" s="48" t="n">
        <v>220.23</v>
      </c>
      <c r="I169" s="45" t="inlineStr">
        <is>
          <t>12.10.2010</t>
        </is>
      </c>
      <c r="J169" s="45" t="inlineStr">
        <is>
          <t>Disqualified</t>
        </is>
      </c>
      <c r="K169" s="49" t="n">
        <v>40</v>
      </c>
      <c r="L169" s="45" t="inlineStr">
        <is>
          <t>2/5</t>
        </is>
      </c>
      <c r="M169" s="46" t="inlineStr">
        <is>
          <t>Disqualified (WA: -0.87%) — YTD✔ 1Y✘ 3Y✘ 5Y✔ 10Y✘</t>
        </is>
      </c>
      <c r="N169" s="50" t="n">
        <v>-0.87</v>
      </c>
      <c r="O169" s="50" t="n">
        <v>-13.23</v>
      </c>
      <c r="P169" s="50" t="n">
        <v>-18.19</v>
      </c>
      <c r="Q169" s="50" t="n">
        <v>4.96</v>
      </c>
      <c r="R169" s="50" t="n">
        <v>-15.88</v>
      </c>
      <c r="S169" s="50" t="n">
        <v>-13.47</v>
      </c>
      <c r="T169" s="50" t="n">
        <v>-2.41</v>
      </c>
      <c r="U169" s="50" t="n">
        <v>-11.75</v>
      </c>
      <c r="V169" s="50" t="n">
        <v>-9.9</v>
      </c>
      <c r="W169" s="50" t="n">
        <v>-1.85</v>
      </c>
      <c r="X169" s="50" t="n">
        <v>-3.29</v>
      </c>
      <c r="Y169" s="50" t="n">
        <v>-3.53</v>
      </c>
      <c r="Z169" s="50" t="n">
        <v>0.24</v>
      </c>
      <c r="AA169" s="50" t="n">
        <v>-1</v>
      </c>
      <c r="AB169" s="50" t="n">
        <v>-0.5</v>
      </c>
      <c r="AC169" s="50" t="n">
        <v>-0.5</v>
      </c>
      <c r="AD169" s="50">
        <f>IF(OR(Q169="",BM169="",BM169=0),"",Q169/BM169)</f>
        <v/>
      </c>
      <c r="AE169" s="50">
        <f>IF(OR(T169="",BM169="",BM169=0),"",T169/BM169)</f>
        <v/>
      </c>
      <c r="AF169" s="50">
        <f>IF(OR(W169="",BM169="",BM169=0),"",W169/BM169)</f>
        <v/>
      </c>
      <c r="AG169" s="50">
        <f>IF(OR(Z169="",BM169="",BM169=0),"",Z169/BM169)</f>
        <v/>
      </c>
      <c r="AH169" s="50">
        <f>IF(OR(AC169="",BM169="",BM169=0),"",AC169/BM169)</f>
        <v/>
      </c>
      <c r="AI169" s="49" t="n"/>
      <c r="AJ169" s="49" t="n">
        <v>57.8</v>
      </c>
      <c r="AK169" s="49" t="n">
        <v>35.8</v>
      </c>
      <c r="AL169" s="49" t="n">
        <v>6.4</v>
      </c>
      <c r="AM169" s="49" t="n"/>
      <c r="AN169" s="49" t="n"/>
      <c r="AO169" s="49" t="n">
        <v>9.699999999999999</v>
      </c>
      <c r="AP169" s="49" t="n"/>
      <c r="AQ169" s="49" t="n"/>
      <c r="AR169" s="49" t="n"/>
      <c r="AS169" s="49" t="n"/>
      <c r="AT169" s="49" t="n"/>
      <c r="AU169" s="49" t="n">
        <v>6.8</v>
      </c>
      <c r="AV169" s="49" t="n"/>
      <c r="AW169" s="49" t="n"/>
      <c r="AX169" s="49" t="n">
        <v>41.3</v>
      </c>
      <c r="AY169" s="49" t="n"/>
      <c r="AZ169" s="49" t="n"/>
      <c r="BA169" s="49" t="n"/>
      <c r="BB169" s="49" t="n"/>
      <c r="BC169" s="49" t="n">
        <v>28.9</v>
      </c>
      <c r="BD169" s="49" t="n">
        <v>20.7</v>
      </c>
      <c r="BE169" s="49" t="n">
        <v>1.5</v>
      </c>
      <c r="BF169" s="49" t="n">
        <v>6.7</v>
      </c>
      <c r="BG169" s="49" t="n"/>
      <c r="BH169" s="49" t="n"/>
      <c r="BI169" s="49" t="n"/>
      <c r="BJ169" s="49" t="n"/>
      <c r="BK169" s="49" t="n"/>
      <c r="BL169" s="46" t="inlineStr">
        <is>
          <t>PT Bank Mandiri (Persero) Tbk | Bank Central Asia Tbk | Bank Rakyat Indonesia (Persero) Tbk | Alphabet Incorporated - Class A | Meta Platforms Incorporated</t>
        </is>
      </c>
      <c r="BM169" s="49" t="n">
        <v>9.6</v>
      </c>
      <c r="BN169" s="45" t="inlineStr">
        <is>
          <t>Moderate</t>
        </is>
      </c>
      <c r="BO169" s="46" t="inlineStr">
        <is>
          <t>Mixed Asset MYR ASEAN</t>
        </is>
      </c>
      <c r="BP169" s="46" t="n"/>
      <c r="BQ169" s="51" t="n">
        <v>0.3033</v>
      </c>
      <c r="BR169" s="45" t="inlineStr">
        <is>
          <t>2013-05-31</t>
        </is>
      </c>
      <c r="BS169" s="51" t="n">
        <v>0.1772</v>
      </c>
      <c r="BT169" s="50" t="n">
        <v>-41.58</v>
      </c>
      <c r="BU169" s="47" t="n">
        <v>4763</v>
      </c>
    </row>
    <row r="170" ht="16" customHeight="1">
      <c r="A170" s="38" t="inlineStr">
        <is>
          <t>PUBLIC e-WORLDWIDE THEMATIC GROWTH BALANCED FUND</t>
        </is>
      </c>
      <c r="B170" s="38" t="inlineStr">
        <is>
          <t>PeWTGBF</t>
        </is>
      </c>
      <c r="C170" s="38" t="inlineStr">
        <is>
          <t>Conventional</t>
        </is>
      </c>
      <c r="D170" s="38" t="inlineStr">
        <is>
          <t>Mixed Asset / Balanced</t>
        </is>
      </c>
      <c r="E170" s="39" t="inlineStr">
        <is>
          <t>Capital Growth</t>
        </is>
      </c>
      <c r="F170" s="40" t="n">
        <v>4</v>
      </c>
      <c r="G170" s="39" t="inlineStr">
        <is>
          <t>Incidental</t>
        </is>
      </c>
      <c r="H170" s="41" t="n">
        <v>35.95</v>
      </c>
      <c r="I170" s="38" t="inlineStr">
        <is>
          <t>10.12.2021</t>
        </is>
      </c>
      <c r="J170" s="38" t="inlineStr">
        <is>
          <t>Disqualified</t>
        </is>
      </c>
      <c r="K170" s="42" t="n">
        <v>33.3</v>
      </c>
      <c r="L170" s="38" t="inlineStr">
        <is>
          <t>1/3</t>
        </is>
      </c>
      <c r="M170" s="39" t="inlineStr">
        <is>
          <t>Disqualified (WA: -0.89%) — YTD✘ 1Y✔ 3Y✘</t>
        </is>
      </c>
      <c r="N170" s="43" t="n">
        <v>-0.89</v>
      </c>
      <c r="O170" s="43" t="n">
        <v>2.49</v>
      </c>
      <c r="P170" s="43" t="n">
        <v>4</v>
      </c>
      <c r="Q170" s="43" t="n">
        <v>-1.51</v>
      </c>
      <c r="R170" s="43" t="n">
        <v>14.99</v>
      </c>
      <c r="S170" s="43" t="n">
        <v>14.8</v>
      </c>
      <c r="T170" s="43" t="n">
        <v>0.19</v>
      </c>
      <c r="U170" s="43" t="n">
        <v>7.63</v>
      </c>
      <c r="V170" s="43" t="n">
        <v>8.85</v>
      </c>
      <c r="W170" s="43" t="n">
        <v>-1.22</v>
      </c>
      <c r="X170" s="43" t="n"/>
      <c r="Y170" s="43" t="n"/>
      <c r="Z170" s="43" t="n"/>
      <c r="AA170" s="43" t="n"/>
      <c r="AB170" s="43" t="n"/>
      <c r="AC170" s="43" t="n"/>
      <c r="AD170" s="43">
        <f>IF(OR(Q170="",BM170="",BM170=0),"",Q170/BM170)</f>
        <v/>
      </c>
      <c r="AE170" s="43">
        <f>IF(OR(T170="",BM170="",BM170=0),"",T170/BM170)</f>
        <v/>
      </c>
      <c r="AF170" s="43">
        <f>IF(OR(W170="",BM170="",BM170=0),"",W170/BM170)</f>
        <v/>
      </c>
      <c r="AG170" s="43">
        <f>IF(OR(Z170="",BM170="",BM170=0),"",Z170/BM170)</f>
        <v/>
      </c>
      <c r="AH170" s="43">
        <f>IF(OR(AC170="",BM170="",BM170=0),"",AC170/BM170)</f>
        <v/>
      </c>
      <c r="AI170" s="42" t="n">
        <v>1.5</v>
      </c>
      <c r="AJ170" s="42" t="n">
        <v>52.8</v>
      </c>
      <c r="AK170" s="42" t="n">
        <v>39.2</v>
      </c>
      <c r="AL170" s="42" t="n">
        <v>6.5</v>
      </c>
      <c r="AM170" s="42" t="n"/>
      <c r="AN170" s="42" t="n"/>
      <c r="AO170" s="42" t="n">
        <v>30</v>
      </c>
      <c r="AP170" s="42" t="n">
        <v>10.3</v>
      </c>
      <c r="AQ170" s="42" t="n">
        <v>3.8</v>
      </c>
      <c r="AR170" s="42" t="n"/>
      <c r="AS170" s="42" t="n"/>
      <c r="AT170" s="42" t="n"/>
      <c r="AU170" s="42" t="n">
        <v>5.6</v>
      </c>
      <c r="AV170" s="42" t="n"/>
      <c r="AW170" s="42" t="n"/>
      <c r="AX170" s="42" t="n"/>
      <c r="AY170" s="42" t="n"/>
      <c r="AZ170" s="42" t="n"/>
      <c r="BA170" s="42" t="n">
        <v>3.8</v>
      </c>
      <c r="BB170" s="42" t="n">
        <v>28.2</v>
      </c>
      <c r="BC170" s="42" t="n">
        <v>0.4</v>
      </c>
      <c r="BD170" s="42" t="n">
        <v>17.7</v>
      </c>
      <c r="BE170" s="42" t="n">
        <v>4.2</v>
      </c>
      <c r="BF170" s="42" t="n"/>
      <c r="BG170" s="42" t="n"/>
      <c r="BH170" s="42" t="n"/>
      <c r="BI170" s="42" t="n"/>
      <c r="BJ170" s="42" t="n"/>
      <c r="BK170" s="42" t="n"/>
      <c r="BL170" s="39" t="inlineStr">
        <is>
          <t>Taiwan Semiconductor Manufacturing Company Limited | Meta Platforms Incorporated | Alphabet Incorporated - Class A | Alibaba Group Holding Limited - W | Broadcom Incorporated</t>
        </is>
      </c>
      <c r="BM170" s="42" t="n">
        <v>8.9</v>
      </c>
      <c r="BN170" s="38" t="inlineStr">
        <is>
          <t>Moderate</t>
        </is>
      </c>
      <c r="BO170" s="39" t="inlineStr">
        <is>
          <t>Mixed Asset MYR Global</t>
        </is>
      </c>
      <c r="BP170" s="39" t="inlineStr">
        <is>
          <t>The benchmark for PeWTGBF is a composite of 20% customised indexbyS&amp;P DowJonesIndices,LLCbasedonthetop30constituentsoftheS&amp;PBMIAsiaEx- JapanIndex,20%DowJonesIndustrialAverage,20%STOXXEurope50Indexand 40% 3-Month Kuala Lumpur Interbank Offered Rate (KLIBOR). UnderlyingindexdataaresourcedfromS&amp;PDowJonesIndices,LLC,Lipperand Bank Negara Malaysia and expressed in Ringgit terms.</t>
        </is>
      </c>
      <c r="BQ170" s="44" t="n">
        <v>0.3232</v>
      </c>
      <c r="BR170" s="38" t="inlineStr">
        <is>
          <t>2026-06-03</t>
        </is>
      </c>
      <c r="BS170" s="44" t="n">
        <v>0.314</v>
      </c>
      <c r="BT170" s="43" t="n">
        <v>-2.85</v>
      </c>
      <c r="BU170" s="40" t="n">
        <v>12</v>
      </c>
    </row>
    <row r="171" ht="16" customHeight="1">
      <c r="A171" s="45" t="inlineStr">
        <is>
          <t>PB AUSTRALIA DYNAMIC BALANCED FUND</t>
        </is>
      </c>
      <c r="B171" s="45" t="inlineStr">
        <is>
          <t>PBADBF</t>
        </is>
      </c>
      <c r="C171" s="45" t="inlineStr">
        <is>
          <t>Conventional</t>
        </is>
      </c>
      <c r="D171" s="45" t="inlineStr">
        <is>
          <t>Mixed Asset / Balanced</t>
        </is>
      </c>
      <c r="E171" s="46" t="inlineStr">
        <is>
          <t>Capital Growth + Income</t>
        </is>
      </c>
      <c r="F171" s="47" t="n">
        <v>4</v>
      </c>
      <c r="G171" s="46" t="inlineStr">
        <is>
          <t>Incidental</t>
        </is>
      </c>
      <c r="H171" s="48" t="n">
        <v>84.13</v>
      </c>
      <c r="I171" s="45" t="inlineStr">
        <is>
          <t>12.05.2009</t>
        </is>
      </c>
      <c r="J171" s="45" t="inlineStr">
        <is>
          <t>Disqualified</t>
        </is>
      </c>
      <c r="K171" s="49" t="n">
        <v>20</v>
      </c>
      <c r="L171" s="45" t="inlineStr">
        <is>
          <t>1/5</t>
        </is>
      </c>
      <c r="M171" s="46" t="inlineStr">
        <is>
          <t>Disqualified (WA: -0.96%) — YTD✔ 1Y✘ 3Y✘ 5Y✘ 10Y✘</t>
        </is>
      </c>
      <c r="N171" s="50" t="n">
        <v>-0.96</v>
      </c>
      <c r="O171" s="50" t="n">
        <v>4.75</v>
      </c>
      <c r="P171" s="50" t="n">
        <v>3.49</v>
      </c>
      <c r="Q171" s="50" t="n">
        <v>1.26</v>
      </c>
      <c r="R171" s="50" t="n">
        <v>6.56</v>
      </c>
      <c r="S171" s="50" t="n">
        <v>7.71</v>
      </c>
      <c r="T171" s="50" t="n">
        <v>-1.15</v>
      </c>
      <c r="U171" s="50" t="n">
        <v>3.01</v>
      </c>
      <c r="V171" s="50" t="n">
        <v>4.59</v>
      </c>
      <c r="W171" s="50" t="n">
        <v>-1.58</v>
      </c>
      <c r="X171" s="50" t="n">
        <v>2.31</v>
      </c>
      <c r="Y171" s="50" t="n">
        <v>2.95</v>
      </c>
      <c r="Z171" s="50" t="n">
        <v>-0.64</v>
      </c>
      <c r="AA171" s="50" t="n">
        <v>4.14</v>
      </c>
      <c r="AB171" s="50" t="n">
        <v>4.52</v>
      </c>
      <c r="AC171" s="50" t="n">
        <v>-0.38</v>
      </c>
      <c r="AD171" s="50">
        <f>IF(OR(Q171="",BM171="",BM171=0),"",Q171/BM171)</f>
        <v/>
      </c>
      <c r="AE171" s="50">
        <f>IF(OR(T171="",BM171="",BM171=0),"",T171/BM171)</f>
        <v/>
      </c>
      <c r="AF171" s="50">
        <f>IF(OR(W171="",BM171="",BM171=0),"",W171/BM171)</f>
        <v/>
      </c>
      <c r="AG171" s="50">
        <f>IF(OR(Z171="",BM171="",BM171=0),"",Z171/BM171)</f>
        <v/>
      </c>
      <c r="AH171" s="50">
        <f>IF(OR(AC171="",BM171="",BM171=0),"",AC171/BM171)</f>
        <v/>
      </c>
      <c r="AI171" s="49" t="n"/>
      <c r="AJ171" s="49" t="n">
        <v>57</v>
      </c>
      <c r="AK171" s="49" t="n">
        <v>37.1</v>
      </c>
      <c r="AL171" s="49" t="n">
        <v>5.9</v>
      </c>
      <c r="AM171" s="49" t="n"/>
      <c r="AN171" s="49" t="n"/>
      <c r="AO171" s="49" t="n"/>
      <c r="AP171" s="49" t="n"/>
      <c r="AQ171" s="49" t="n"/>
      <c r="AR171" s="49" t="n"/>
      <c r="AS171" s="49" t="n"/>
      <c r="AT171" s="49" t="n"/>
      <c r="AU171" s="49" t="n"/>
      <c r="AV171" s="49" t="n"/>
      <c r="AW171" s="49" t="n"/>
      <c r="AX171" s="49" t="n"/>
      <c r="AY171" s="49" t="n">
        <v>57</v>
      </c>
      <c r="AZ171" s="49" t="n"/>
      <c r="BA171" s="49" t="n"/>
      <c r="BB171" s="49" t="n"/>
      <c r="BC171" s="49" t="n">
        <v>19.8</v>
      </c>
      <c r="BD171" s="49" t="n">
        <v>3.3</v>
      </c>
      <c r="BE171" s="49" t="n">
        <v>7.6</v>
      </c>
      <c r="BF171" s="49" t="n">
        <v>3</v>
      </c>
      <c r="BG171" s="49" t="n"/>
      <c r="BH171" s="49" t="n"/>
      <c r="BI171" s="49" t="n">
        <v>20</v>
      </c>
      <c r="BJ171" s="49" t="n"/>
      <c r="BK171" s="49" t="n"/>
      <c r="BL171" s="46" t="inlineStr">
        <is>
          <t>BHP Group Limited | Commonwealth Bank of Australia | Rio Tinto Limited | Goodman Group | ANZ Group Holdings Limited</t>
        </is>
      </c>
      <c r="BM171" s="49" t="n">
        <v>8.5</v>
      </c>
      <c r="BN171" s="45" t="inlineStr">
        <is>
          <t>Moderate</t>
        </is>
      </c>
      <c r="BO171" s="46" t="inlineStr">
        <is>
          <t>Mixed Asset MYR Global</t>
        </is>
      </c>
      <c r="BP171" s="46" t="n"/>
      <c r="BQ171" s="51" t="n">
        <v>0.3369</v>
      </c>
      <c r="BR171" s="45" t="inlineStr">
        <is>
          <t>2024-07-15</t>
        </is>
      </c>
      <c r="BS171" s="51" t="n">
        <v>0.3281</v>
      </c>
      <c r="BT171" s="50" t="n">
        <v>-2.61</v>
      </c>
      <c r="BU171" s="47" t="n">
        <v>700</v>
      </c>
    </row>
    <row r="172" ht="16" customHeight="1">
      <c r="A172" s="52" t="inlineStr">
        <is>
          <t>PUBLIC ISLAMIC GLOBAL BALANCED FUND</t>
        </is>
      </c>
      <c r="B172" s="52" t="inlineStr">
        <is>
          <t>PISGBLF</t>
        </is>
      </c>
      <c r="C172" s="52" t="inlineStr">
        <is>
          <t>Shariah</t>
        </is>
      </c>
      <c r="D172" s="52" t="inlineStr">
        <is>
          <t>Mixed Asset / Balanced</t>
        </is>
      </c>
      <c r="E172" s="39" t="inlineStr">
        <is>
          <t>Capital Growth</t>
        </is>
      </c>
      <c r="F172" s="40" t="n">
        <v>4</v>
      </c>
      <c r="G172" s="39" t="inlineStr">
        <is>
          <t>Incidental</t>
        </is>
      </c>
      <c r="H172" s="41" t="n">
        <v>52.2</v>
      </c>
      <c r="I172" s="38" t="inlineStr">
        <is>
          <t>03.12.2019</t>
        </is>
      </c>
      <c r="J172" s="38" t="inlineStr">
        <is>
          <t>Disqualified</t>
        </is>
      </c>
      <c r="K172" s="42" t="n">
        <v>0</v>
      </c>
      <c r="L172" s="38" t="inlineStr">
        <is>
          <t>0/4</t>
        </is>
      </c>
      <c r="M172" s="39" t="inlineStr">
        <is>
          <t>Disqualified (WA: -1.53%) — YTD✘ 1Y✘ 3Y✘ 5Y✘</t>
        </is>
      </c>
      <c r="N172" s="43" t="n">
        <v>-1.53</v>
      </c>
      <c r="O172" s="43" t="n">
        <v>0.08</v>
      </c>
      <c r="P172" s="43" t="n">
        <v>3.79</v>
      </c>
      <c r="Q172" s="43" t="n">
        <v>-3.71</v>
      </c>
      <c r="R172" s="43" t="n">
        <v>15.06</v>
      </c>
      <c r="S172" s="43" t="n">
        <v>16.49</v>
      </c>
      <c r="T172" s="43" t="n">
        <v>-1.43</v>
      </c>
      <c r="U172" s="43" t="n">
        <v>10.34</v>
      </c>
      <c r="V172" s="43" t="n">
        <v>10.86</v>
      </c>
      <c r="W172" s="43" t="n">
        <v>-0.52</v>
      </c>
      <c r="X172" s="43" t="n">
        <v>5.09</v>
      </c>
      <c r="Y172" s="43" t="n">
        <v>7.85</v>
      </c>
      <c r="Z172" s="43" t="n">
        <v>-2.76</v>
      </c>
      <c r="AA172" s="43" t="n"/>
      <c r="AB172" s="43" t="n"/>
      <c r="AC172" s="43" t="n"/>
      <c r="AD172" s="43">
        <f>IF(OR(Q172="",BM172="",BM172=0),"",Q172/BM172)</f>
        <v/>
      </c>
      <c r="AE172" s="43">
        <f>IF(OR(T172="",BM172="",BM172=0),"",T172/BM172)</f>
        <v/>
      </c>
      <c r="AF172" s="43">
        <f>IF(OR(W172="",BM172="",BM172=0),"",W172/BM172)</f>
        <v/>
      </c>
      <c r="AG172" s="43">
        <f>IF(OR(Z172="",BM172="",BM172=0),"",Z172/BM172)</f>
        <v/>
      </c>
      <c r="AH172" s="43">
        <f>IF(OR(AC172="",BM172="",BM172=0),"",AC172/BM172)</f>
        <v/>
      </c>
      <c r="AI172" s="42" t="n"/>
      <c r="AJ172" s="42" t="n">
        <v>60.7</v>
      </c>
      <c r="AK172" s="42" t="n">
        <v>32.9</v>
      </c>
      <c r="AL172" s="42" t="n">
        <v>6.4</v>
      </c>
      <c r="AM172" s="42" t="n"/>
      <c r="AN172" s="42" t="n"/>
      <c r="AO172" s="42" t="n">
        <v>46.6</v>
      </c>
      <c r="AP172" s="42" t="n">
        <v>2</v>
      </c>
      <c r="AQ172" s="42" t="n">
        <v>5</v>
      </c>
      <c r="AR172" s="42" t="n"/>
      <c r="AS172" s="42" t="n">
        <v>2.2</v>
      </c>
      <c r="AT172" s="42" t="n"/>
      <c r="AU172" s="42" t="n">
        <v>4.9</v>
      </c>
      <c r="AV172" s="42" t="n"/>
      <c r="AW172" s="42" t="n"/>
      <c r="AX172" s="42" t="n"/>
      <c r="AY172" s="42" t="n"/>
      <c r="AZ172" s="42" t="n"/>
      <c r="BA172" s="42" t="n">
        <v>3.6</v>
      </c>
      <c r="BB172" s="42" t="n">
        <v>28.8</v>
      </c>
      <c r="BC172" s="42" t="n"/>
      <c r="BD172" s="42" t="n">
        <v>21</v>
      </c>
      <c r="BE172" s="42" t="n">
        <v>5.2</v>
      </c>
      <c r="BF172" s="42" t="n">
        <v>2.1</v>
      </c>
      <c r="BG172" s="42" t="n"/>
      <c r="BH172" s="42" t="n"/>
      <c r="BI172" s="42" t="n"/>
      <c r="BJ172" s="42" t="n"/>
      <c r="BK172" s="42" t="n"/>
      <c r="BL172" s="39" t="inlineStr">
        <is>
          <t>Alphabet Incorporated - Class A | Broadcom Incorporated | Amazon.com Incorporated | Apple Incorporated | Samsung Electronics Company Limited</t>
        </is>
      </c>
      <c r="BM172" s="42" t="n">
        <v>10.3</v>
      </c>
      <c r="BN172" s="38" t="inlineStr">
        <is>
          <t>High</t>
        </is>
      </c>
      <c r="BO172" s="39" t="inlineStr">
        <is>
          <t>Mixed Asset MYR Global</t>
        </is>
      </c>
      <c r="BP172" s="39" t="inlineStr">
        <is>
          <t>The benchmark for PISGBLF is a composite of 60% S&amp;P Global 1200 Shariah Index and 40% 3-Month Islamic Interbank Money Market (IIMM) rate. Underlying index data are sourced from Lipper and Bank Negara Malaysia and expressed in Ringgit terms.</t>
        </is>
      </c>
      <c r="BQ172" s="44" t="n">
        <v>0.4059</v>
      </c>
      <c r="BR172" s="38" t="inlineStr">
        <is>
          <t>2026-06-03</t>
        </is>
      </c>
      <c r="BS172" s="44" t="n">
        <v>0.3958</v>
      </c>
      <c r="BT172" s="43" t="n">
        <v>-2.49</v>
      </c>
      <c r="BU172" s="40" t="n">
        <v>12</v>
      </c>
    </row>
    <row r="173" ht="16" customHeight="1">
      <c r="A173" s="45" t="inlineStr">
        <is>
          <t>PB MIXED ASSET GROWTH FUND</t>
        </is>
      </c>
      <c r="B173" s="45" t="inlineStr">
        <is>
          <t>PBMAGRF</t>
        </is>
      </c>
      <c r="C173" s="45" t="inlineStr">
        <is>
          <t>Conventional</t>
        </is>
      </c>
      <c r="D173" s="45" t="inlineStr">
        <is>
          <t>Mixed Asset / Balanced</t>
        </is>
      </c>
      <c r="E173" s="46" t="inlineStr">
        <is>
          <t>Capital Growth + Income</t>
        </is>
      </c>
      <c r="F173" s="47" t="n">
        <v>4</v>
      </c>
      <c r="G173" s="46" t="inlineStr">
        <is>
          <t>Incidental</t>
        </is>
      </c>
      <c r="H173" s="48" t="n">
        <v>19.94</v>
      </c>
      <c r="I173" s="45" t="inlineStr">
        <is>
          <t>18.05.2016</t>
        </is>
      </c>
      <c r="J173" s="45" t="inlineStr">
        <is>
          <t>Disqualified</t>
        </is>
      </c>
      <c r="K173" s="49" t="n">
        <v>0</v>
      </c>
      <c r="L173" s="45" t="inlineStr">
        <is>
          <t>0/4</t>
        </is>
      </c>
      <c r="M173" s="46" t="inlineStr">
        <is>
          <t>Disqualified (WA: -1.93%) — YTD✘ 1Y✘ 3Y✘ 5Y✘</t>
        </is>
      </c>
      <c r="N173" s="50" t="n">
        <v>-1.93</v>
      </c>
      <c r="O173" s="50" t="n">
        <v>1.26</v>
      </c>
      <c r="P173" s="50" t="n">
        <v>2.11</v>
      </c>
      <c r="Q173" s="50" t="n">
        <v>-0.85</v>
      </c>
      <c r="R173" s="50" t="n">
        <v>5.11</v>
      </c>
      <c r="S173" s="50" t="n">
        <v>9.279999999999999</v>
      </c>
      <c r="T173" s="50" t="n">
        <v>-4.17</v>
      </c>
      <c r="U173" s="50" t="n">
        <v>4.58</v>
      </c>
      <c r="V173" s="50" t="n">
        <v>5.85</v>
      </c>
      <c r="W173" s="50" t="n">
        <v>-1.27</v>
      </c>
      <c r="X173" s="50" t="n">
        <v>0.2</v>
      </c>
      <c r="Y173" s="50" t="n">
        <v>2.07</v>
      </c>
      <c r="Z173" s="50" t="n">
        <v>-1.87</v>
      </c>
      <c r="AA173" s="50" t="n"/>
      <c r="AB173" s="50" t="n"/>
      <c r="AC173" s="50" t="n"/>
      <c r="AD173" s="50">
        <f>IF(OR(Q173="",BM173="",BM173=0),"",Q173/BM173)</f>
        <v/>
      </c>
      <c r="AE173" s="50">
        <f>IF(OR(T173="",BM173="",BM173=0),"",T173/BM173)</f>
        <v/>
      </c>
      <c r="AF173" s="50">
        <f>IF(OR(W173="",BM173="",BM173=0),"",W173/BM173)</f>
        <v/>
      </c>
      <c r="AG173" s="50">
        <f>IF(OR(Z173="",BM173="",BM173=0),"",Z173/BM173)</f>
        <v/>
      </c>
      <c r="AH173" s="50">
        <f>IF(OR(AC173="",BM173="",BM173=0),"",AC173/BM173)</f>
        <v/>
      </c>
      <c r="AI173" s="49" t="n">
        <v>44.3</v>
      </c>
      <c r="AJ173" s="49" t="n">
        <v>22.1</v>
      </c>
      <c r="AK173" s="49" t="n">
        <v>31.5</v>
      </c>
      <c r="AL173" s="49" t="n">
        <v>2.1</v>
      </c>
      <c r="AM173" s="49" t="n"/>
      <c r="AN173" s="49" t="n"/>
      <c r="AO173" s="49" t="n">
        <v>13.3</v>
      </c>
      <c r="AP173" s="49" t="n"/>
      <c r="AQ173" s="49" t="n">
        <v>8.800000000000001</v>
      </c>
      <c r="AR173" s="49" t="n"/>
      <c r="AS173" s="49" t="n"/>
      <c r="AT173" s="49" t="n"/>
      <c r="AU173" s="49" t="n"/>
      <c r="AV173" s="49" t="n"/>
      <c r="AW173" s="49" t="n"/>
      <c r="AX173" s="49" t="n"/>
      <c r="AY173" s="49" t="n"/>
      <c r="AZ173" s="49" t="n"/>
      <c r="BA173" s="49" t="n">
        <v>8.9</v>
      </c>
      <c r="BB173" s="49" t="n"/>
      <c r="BC173" s="49" t="n">
        <v>20.6</v>
      </c>
      <c r="BD173" s="49" t="n">
        <v>10.3</v>
      </c>
      <c r="BE173" s="49" t="n"/>
      <c r="BF173" s="49" t="n">
        <v>10.2</v>
      </c>
      <c r="BG173" s="49" t="n">
        <v>7.4</v>
      </c>
      <c r="BH173" s="49" t="n"/>
      <c r="BI173" s="49" t="n"/>
      <c r="BJ173" s="49" t="n"/>
      <c r="BK173" s="49" t="n"/>
      <c r="BL173" s="46" t="inlineStr">
        <is>
          <t>Public Bank Berhad | Tenaga Nasional Berhad | Bursa Malaysia Berhad | Broadcom Incorporated | Hanwha Aerospace Company Limited</t>
        </is>
      </c>
      <c r="BM173" s="49" t="n">
        <v>6.1</v>
      </c>
      <c r="BN173" s="45" t="inlineStr">
        <is>
          <t>Low</t>
        </is>
      </c>
      <c r="BO173" s="46" t="inlineStr">
        <is>
          <t>Mixed Asset MYR Domestic</t>
        </is>
      </c>
      <c r="BP173" s="46" t="inlineStr">
        <is>
          <t>ThebenchmarkforPBMAGRFisacompositeof70%FTSEBursaMalaysiaKLCI (FBM KLCI) and 30% 3-Month Kuala Lumpur Interbank Offered Rate (KLIBOR). Underlying index data are sourced from Lipper and Bank Negara Malaysia.</t>
        </is>
      </c>
      <c r="BQ173" s="51" t="n">
        <v>0.3766</v>
      </c>
      <c r="BR173" s="45" t="inlineStr">
        <is>
          <t>2020-08-06</t>
        </is>
      </c>
      <c r="BS173" s="51" t="n">
        <v>0.3298</v>
      </c>
      <c r="BT173" s="50" t="n">
        <v>-12.43</v>
      </c>
      <c r="BU173" s="47" t="n">
        <v>2139</v>
      </c>
    </row>
    <row r="174" ht="16" customHeight="1">
      <c r="A174" s="38" t="inlineStr">
        <is>
          <t>PUBLIC e-EMAS GOLD FUND</t>
        </is>
      </c>
      <c r="B174" s="38" t="inlineStr">
        <is>
          <t>PeEMAS</t>
        </is>
      </c>
      <c r="C174" s="38" t="inlineStr">
        <is>
          <t>Conventional</t>
        </is>
      </c>
      <c r="D174" s="38" t="inlineStr">
        <is>
          <t>Fund of Funds</t>
        </is>
      </c>
      <c r="E174" s="39" t="inlineStr">
        <is>
          <t>Capital Growth</t>
        </is>
      </c>
      <c r="F174" s="40" t="n">
        <v>5</v>
      </c>
      <c r="G174" s="39" t="inlineStr">
        <is>
          <t>None</t>
        </is>
      </c>
      <c r="H174" s="41" t="n">
        <v>573.47</v>
      </c>
      <c r="I174" s="38" t="inlineStr">
        <is>
          <t>01.09.2021</t>
        </is>
      </c>
      <c r="J174" s="38" t="inlineStr">
        <is>
          <t>Disqualified</t>
        </is>
      </c>
      <c r="K174" s="42" t="n">
        <v>33.3</v>
      </c>
      <c r="L174" s="38" t="inlineStr">
        <is>
          <t>1/3</t>
        </is>
      </c>
      <c r="M174" s="39" t="inlineStr">
        <is>
          <t>Disqualified (WA: -1.11%) — YTD✔ 1Y✘ 3Y✘</t>
        </is>
      </c>
      <c r="N174" s="43" t="n">
        <v>-1.11</v>
      </c>
      <c r="O174" s="43" t="n">
        <v>4.87</v>
      </c>
      <c r="P174" s="43" t="n">
        <v>4.52</v>
      </c>
      <c r="Q174" s="43" t="n">
        <v>0.35</v>
      </c>
      <c r="R174" s="43" t="n">
        <v>25.64</v>
      </c>
      <c r="S174" s="43" t="n">
        <v>26.69</v>
      </c>
      <c r="T174" s="43" t="n">
        <v>-1.05</v>
      </c>
      <c r="U174" s="43" t="n">
        <v>23.34</v>
      </c>
      <c r="V174" s="43" t="n">
        <v>24.66</v>
      </c>
      <c r="W174" s="43" t="n">
        <v>-1.32</v>
      </c>
      <c r="X174" s="43" t="n"/>
      <c r="Y174" s="43" t="n"/>
      <c r="Z174" s="43" t="n"/>
      <c r="AA174" s="43" t="n"/>
      <c r="AB174" s="43" t="n"/>
      <c r="AC174" s="43" t="n"/>
      <c r="AD174" s="43">
        <f>IF(OR(Q174="",BM174="",BM174=0),"",Q174/BM174)</f>
        <v/>
      </c>
      <c r="AE174" s="43">
        <f>IF(OR(T174="",BM174="",BM174=0),"",T174/BM174)</f>
        <v/>
      </c>
      <c r="AF174" s="43">
        <f>IF(OR(W174="",BM174="",BM174=0),"",W174/BM174)</f>
        <v/>
      </c>
      <c r="AG174" s="43">
        <f>IF(OR(Z174="",BM174="",BM174=0),"",Z174/BM174)</f>
        <v/>
      </c>
      <c r="AH174" s="43">
        <f>IF(OR(AC174="",BM174="",BM174=0),"",AC174/BM174)</f>
        <v/>
      </c>
      <c r="AI174" s="42" t="n"/>
      <c r="AJ174" s="42" t="n">
        <v>91</v>
      </c>
      <c r="AK174" s="42" t="n"/>
      <c r="AL174" s="42" t="n">
        <v>9</v>
      </c>
      <c r="AM174" s="42" t="n"/>
      <c r="AN174" s="42" t="n"/>
      <c r="AO174" s="42" t="n">
        <v>91</v>
      </c>
      <c r="AP174" s="42" t="n"/>
      <c r="AQ174" s="42" t="n"/>
      <c r="AR174" s="42" t="n"/>
      <c r="AS174" s="42" t="n"/>
      <c r="AT174" s="42" t="n"/>
      <c r="AU174" s="42" t="n"/>
      <c r="AV174" s="42" t="n"/>
      <c r="AW174" s="42" t="n"/>
      <c r="AX174" s="42" t="n"/>
      <c r="AY174" s="42" t="n"/>
      <c r="AZ174" s="42" t="n"/>
      <c r="BA174" s="42" t="n"/>
      <c r="BB174" s="42" t="n"/>
      <c r="BC174" s="42" t="n"/>
      <c r="BD174" s="42" t="n"/>
      <c r="BE174" s="42" t="n"/>
      <c r="BF174" s="42" t="n"/>
      <c r="BG174" s="42" t="n"/>
      <c r="BH174" s="42" t="n"/>
      <c r="BI174" s="42" t="n"/>
      <c r="BJ174" s="42" t="n"/>
      <c r="BK174" s="42" t="n"/>
      <c r="BL174" s="39" t="inlineStr">
        <is>
          <t>abrdn Physical Gold Shares ETF | GraniteShares Gold Trust | Goldman Sachs Physical Gold ETF | iShares Gold Trust | VanEck Merk Gold ETF</t>
        </is>
      </c>
      <c r="BM174" s="42" t="n">
        <v>13.7</v>
      </c>
      <c r="BN174" s="38" t="inlineStr">
        <is>
          <t>Very High</t>
        </is>
      </c>
      <c r="BO174" s="39" t="inlineStr">
        <is>
          <t>Commodity Precious Fund-of-Funds</t>
        </is>
      </c>
      <c r="BP174" s="39" t="inlineStr">
        <is>
          <t>90% Gold Spot Exchange Rate in Ringgit Malaysia (Bloomberg ticker: XAUMYR Curncy) and 10% Public Bank Savings Rate - ACE Account.</t>
        </is>
      </c>
      <c r="BQ174" s="44" t="n">
        <v>2.479</v>
      </c>
      <c r="BR174" s="38" t="inlineStr">
        <is>
          <t>2026-01-29</t>
        </is>
      </c>
      <c r="BS174" s="44" t="n">
        <v>2.0494</v>
      </c>
      <c r="BT174" s="43" t="n">
        <v>-17.33</v>
      </c>
      <c r="BU174" s="40" t="n">
        <v>137</v>
      </c>
    </row>
  </sheetData>
  <autoFilter ref="A3:BU174"/>
  <mergeCells count="10">
    <mergeCell ref="O2:AC2"/>
    <mergeCell ref="A2:I2"/>
    <mergeCell ref="AI2:AN2"/>
    <mergeCell ref="AO2:AZ2"/>
    <mergeCell ref="J2:N2"/>
    <mergeCell ref="AD2:AH2"/>
    <mergeCell ref="A1:BU1"/>
    <mergeCell ref="BA2:BK2"/>
    <mergeCell ref="BM2:BP2"/>
    <mergeCell ref="BQ2:BU2"/>
  </mergeCells>
  <conditionalFormatting sqref="J4:J174">
    <cfRule type="cellIs" priority="1" operator="equal" dxfId="0">
      <formula>"Qualified"</formula>
    </cfRule>
    <cfRule type="cellIs" priority="2" operator="equal" dxfId="1">
      <formula>"Disqualified"</formula>
    </cfRule>
  </conditionalFormatting>
  <conditionalFormatting sqref="F4:F174">
    <cfRule type="colorScale" priority="3">
      <colorScale>
        <cfvo type="num" val="1"/>
        <cfvo type="num" val="3"/>
        <cfvo type="num" val="5"/>
        <color rgb="00C6EFCE"/>
        <color rgb="00FFEB9C"/>
        <color rgb="00FCE4D6"/>
      </colorScale>
    </cfRule>
  </conditionalFormatting>
  <conditionalFormatting sqref="Q4:Q174">
    <cfRule type="cellIs" priority="4" operator="greaterThan" dxfId="0">
      <formula>0</formula>
    </cfRule>
    <cfRule type="cellIs" priority="5" operator="lessThan" dxfId="1">
      <formula>0</formula>
    </cfRule>
  </conditionalFormatting>
  <conditionalFormatting sqref="T4:T174">
    <cfRule type="cellIs" priority="6" operator="greaterThan" dxfId="0">
      <formula>0</formula>
    </cfRule>
    <cfRule type="cellIs" priority="7" operator="lessThan" dxfId="1">
      <formula>0</formula>
    </cfRule>
  </conditionalFormatting>
  <conditionalFormatting sqref="W4:W174">
    <cfRule type="cellIs" priority="8" operator="greaterThan" dxfId="0">
      <formula>0</formula>
    </cfRule>
    <cfRule type="cellIs" priority="9" operator="lessThan" dxfId="1">
      <formula>0</formula>
    </cfRule>
  </conditionalFormatting>
  <conditionalFormatting sqref="Z4:Z174">
    <cfRule type="cellIs" priority="10" operator="greaterThan" dxfId="0">
      <formula>0</formula>
    </cfRule>
    <cfRule type="cellIs" priority="11" operator="lessThan" dxfId="1">
      <formula>0</formula>
    </cfRule>
  </conditionalFormatting>
  <conditionalFormatting sqref="AC4:AC174">
    <cfRule type="cellIs" priority="12" operator="greaterThan" dxfId="0">
      <formula>0</formula>
    </cfRule>
    <cfRule type="cellIs" priority="13" operator="lessThan" dxfId="1">
      <formula>0</formula>
    </cfRule>
  </conditionalFormatting>
  <conditionalFormatting sqref="AD4:AD174">
    <cfRule type="cellIs" priority="14" operator="greaterThan" dxfId="0">
      <formula>0</formula>
    </cfRule>
    <cfRule type="cellIs" priority="15" operator="lessThan" dxfId="1">
      <formula>0</formula>
    </cfRule>
  </conditionalFormatting>
  <conditionalFormatting sqref="AE4:AE174">
    <cfRule type="cellIs" priority="16" operator="greaterThan" dxfId="0">
      <formula>0</formula>
    </cfRule>
    <cfRule type="cellIs" priority="17" operator="lessThan" dxfId="1">
      <formula>0</formula>
    </cfRule>
  </conditionalFormatting>
  <conditionalFormatting sqref="AF4:AF174">
    <cfRule type="cellIs" priority="18" operator="greaterThan" dxfId="0">
      <formula>0</formula>
    </cfRule>
    <cfRule type="cellIs" priority="19" operator="lessThan" dxfId="1">
      <formula>0</formula>
    </cfRule>
  </conditionalFormatting>
  <conditionalFormatting sqref="AG4:AG174">
    <cfRule type="cellIs" priority="20" operator="greaterThan" dxfId="0">
      <formula>0</formula>
    </cfRule>
    <cfRule type="cellIs" priority="21" operator="lessThan" dxfId="1">
      <formula>0</formula>
    </cfRule>
  </conditionalFormatting>
  <conditionalFormatting sqref="AH4:AH174">
    <cfRule type="cellIs" priority="22" operator="greaterThan" dxfId="0">
      <formula>0</formula>
    </cfRule>
    <cfRule type="cellIs" priority="23" operator="lessThan" dxfId="1">
      <formula>0</formula>
    </cfRule>
  </conditionalFormatting>
  <conditionalFormatting sqref="K4:K174">
    <cfRule type="colorScale" priority="24">
      <colorScale>
        <cfvo type="num" val="0"/>
        <cfvo type="num" val="60"/>
        <cfvo type="num" val="100"/>
        <color rgb="00FCE4D6"/>
        <color rgb="00FFEB9C"/>
        <color rgb="00C6EFCE"/>
      </colorScale>
    </cfRule>
  </conditionalFormatting>
  <conditionalFormatting sqref="N4:N174">
    <cfRule type="cellIs" priority="25" operator="greaterThan" dxfId="0">
      <formula>0</formula>
    </cfRule>
    <cfRule type="cellIs" priority="26" operator="lessThan" dxfId="1">
      <formula>0</formula>
    </cfRule>
  </conditionalFormatting>
  <conditionalFormatting sqref="AI4:AI174">
    <cfRule type="cellIs" priority="27" operator="greaterThan" dxfId="2">
      <formula>0</formula>
    </cfRule>
  </conditionalFormatting>
  <conditionalFormatting sqref="AJ4:AJ174">
    <cfRule type="cellIs" priority="28" operator="greaterThan" dxfId="2">
      <formula>0</formula>
    </cfRule>
  </conditionalFormatting>
  <conditionalFormatting sqref="AK4:AK174">
    <cfRule type="cellIs" priority="29" operator="greaterThan" dxfId="2">
      <formula>0</formula>
    </cfRule>
  </conditionalFormatting>
  <conditionalFormatting sqref="AL4:AL174">
    <cfRule type="cellIs" priority="30" operator="greaterThan" dxfId="2">
      <formula>0</formula>
    </cfRule>
  </conditionalFormatting>
  <conditionalFormatting sqref="AM4:AM174">
    <cfRule type="cellIs" priority="31" operator="greaterThan" dxfId="2">
      <formula>0</formula>
    </cfRule>
  </conditionalFormatting>
  <conditionalFormatting sqref="AN4:AN174">
    <cfRule type="cellIs" priority="32" operator="greaterThan" dxfId="2">
      <formula>0</formula>
    </cfRule>
  </conditionalFormatting>
  <conditionalFormatting sqref="AO4:AO174">
    <cfRule type="cellIs" priority="33" operator="greaterThan" dxfId="3">
      <formula>0</formula>
    </cfRule>
  </conditionalFormatting>
  <conditionalFormatting sqref="AP4:AP174">
    <cfRule type="cellIs" priority="34" operator="greaterThan" dxfId="3">
      <formula>0</formula>
    </cfRule>
  </conditionalFormatting>
  <conditionalFormatting sqref="AQ4:AQ174">
    <cfRule type="cellIs" priority="35" operator="greaterThan" dxfId="3">
      <formula>0</formula>
    </cfRule>
  </conditionalFormatting>
  <conditionalFormatting sqref="AR4:AR174">
    <cfRule type="cellIs" priority="36" operator="greaterThan" dxfId="3">
      <formula>0</formula>
    </cfRule>
  </conditionalFormatting>
  <conditionalFormatting sqref="AS4:AS174">
    <cfRule type="cellIs" priority="37" operator="greaterThan" dxfId="3">
      <formula>0</formula>
    </cfRule>
  </conditionalFormatting>
  <conditionalFormatting sqref="AT4:AT174">
    <cfRule type="cellIs" priority="38" operator="greaterThan" dxfId="3">
      <formula>0</formula>
    </cfRule>
  </conditionalFormatting>
  <conditionalFormatting sqref="AU4:AU174">
    <cfRule type="cellIs" priority="39" operator="greaterThan" dxfId="3">
      <formula>0</formula>
    </cfRule>
  </conditionalFormatting>
  <conditionalFormatting sqref="AV4:AV174">
    <cfRule type="cellIs" priority="40" operator="greaterThan" dxfId="3">
      <formula>0</formula>
    </cfRule>
  </conditionalFormatting>
  <conditionalFormatting sqref="AW4:AW174">
    <cfRule type="cellIs" priority="41" operator="greaterThan" dxfId="3">
      <formula>0</formula>
    </cfRule>
  </conditionalFormatting>
  <conditionalFormatting sqref="AX4:AX174">
    <cfRule type="cellIs" priority="42" operator="greaterThan" dxfId="3">
      <formula>0</formula>
    </cfRule>
  </conditionalFormatting>
  <conditionalFormatting sqref="AY4:AY174">
    <cfRule type="cellIs" priority="43" operator="greaterThan" dxfId="3">
      <formula>0</formula>
    </cfRule>
  </conditionalFormatting>
  <conditionalFormatting sqref="AZ4:AZ174">
    <cfRule type="cellIs" priority="44" operator="greaterThan" dxfId="3">
      <formula>0</formula>
    </cfRule>
  </conditionalFormatting>
  <conditionalFormatting sqref="BA4:BA174">
    <cfRule type="cellIs" priority="45" operator="greaterThan" dxfId="4">
      <formula>0</formula>
    </cfRule>
  </conditionalFormatting>
  <conditionalFormatting sqref="BB4:BB174">
    <cfRule type="cellIs" priority="46" operator="greaterThan" dxfId="4">
      <formula>0</formula>
    </cfRule>
  </conditionalFormatting>
  <conditionalFormatting sqref="BC4:BC174">
    <cfRule type="cellIs" priority="47" operator="greaterThan" dxfId="4">
      <formula>0</formula>
    </cfRule>
  </conditionalFormatting>
  <conditionalFormatting sqref="BD4:BD174">
    <cfRule type="cellIs" priority="48" operator="greaterThan" dxfId="4">
      <formula>0</formula>
    </cfRule>
  </conditionalFormatting>
  <conditionalFormatting sqref="BE4:BE174">
    <cfRule type="cellIs" priority="49" operator="greaterThan" dxfId="4">
      <formula>0</formula>
    </cfRule>
  </conditionalFormatting>
  <conditionalFormatting sqref="BF4:BF174">
    <cfRule type="cellIs" priority="50" operator="greaterThan" dxfId="4">
      <formula>0</formula>
    </cfRule>
  </conditionalFormatting>
  <conditionalFormatting sqref="BG4:BG174">
    <cfRule type="cellIs" priority="51" operator="greaterThan" dxfId="4">
      <formula>0</formula>
    </cfRule>
  </conditionalFormatting>
  <conditionalFormatting sqref="BH4:BH174">
    <cfRule type="cellIs" priority="52" operator="greaterThan" dxfId="4">
      <formula>0</formula>
    </cfRule>
  </conditionalFormatting>
  <conditionalFormatting sqref="BI4:BI174">
    <cfRule type="cellIs" priority="53" operator="greaterThan" dxfId="4">
      <formula>0</formula>
    </cfRule>
  </conditionalFormatting>
  <conditionalFormatting sqref="BJ4:BJ174">
    <cfRule type="cellIs" priority="54" operator="greaterThan" dxfId="4">
      <formula>0</formula>
    </cfRule>
  </conditionalFormatting>
  <conditionalFormatting sqref="BK4:BK174">
    <cfRule type="cellIs" priority="55" operator="greaterThan" dxfId="4">
      <formula>0</formula>
    </cfRule>
  </conditionalFormatting>
  <conditionalFormatting sqref="BT4:BT174">
    <cfRule type="colorScale" priority="56">
      <colorScale>
        <cfvo type="num" val="-60"/>
        <cfvo type="num" val="-10"/>
        <cfvo type="num" val="0"/>
        <color rgb="00FCE4D6"/>
        <color rgb="00FFEB9C"/>
        <color rgb="00C6EFCE"/>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1"/>
  <sheetViews>
    <sheetView showGridLines="0" workbookViewId="0">
      <selection activeCell="A1" sqref="A1"/>
    </sheetView>
  </sheetViews>
  <sheetFormatPr baseColWidth="8" defaultRowHeight="15"/>
  <cols>
    <col width="32" customWidth="1" min="1" max="1"/>
    <col width="14" customWidth="1" min="2" max="2"/>
    <col width="12" customWidth="1" min="3" max="3"/>
    <col width="12" customWidth="1" min="4" max="4"/>
    <col width="12" customWidth="1" min="5" max="5"/>
    <col width="12" customWidth="1" min="6" max="6"/>
    <col width="14" customWidth="1" min="7" max="7"/>
    <col width="14" customWidth="1" min="8" max="8"/>
  </cols>
  <sheetData>
    <row r="1" ht="32" customHeight="1">
      <c r="A1" s="54" t="inlineStr">
        <is>
          <t>PUBLIC MUTUAL FUND SCREENER — SUMMARY  |  MFR April 2026</t>
        </is>
      </c>
      <c r="B1" s="55" t="n"/>
      <c r="C1" s="55" t="n"/>
      <c r="D1" s="55" t="n"/>
      <c r="E1" s="55" t="n"/>
      <c r="F1" s="55" t="n"/>
      <c r="G1" s="55" t="n"/>
      <c r="H1" s="55" t="n"/>
    </row>
    <row r="3" ht="26" customHeight="1">
      <c r="A3" s="56" t="inlineStr">
        <is>
          <t>SCREENING RESULTS</t>
        </is>
      </c>
      <c r="B3" s="5" t="n"/>
      <c r="C3" s="5" t="n"/>
      <c r="D3" s="5" t="n"/>
      <c r="E3" s="5" t="n"/>
      <c r="F3" s="5" t="n"/>
      <c r="G3" s="5" t="n"/>
      <c r="H3" s="5" t="n"/>
    </row>
    <row r="4" ht="28" customHeight="1">
      <c r="A4" s="57" t="inlineStr">
        <is>
          <t>Metric</t>
        </is>
      </c>
      <c r="B4" s="57" t="inlineStr">
        <is>
          <t>Value</t>
        </is>
      </c>
      <c r="C4" s="57" t="inlineStr"/>
      <c r="D4" s="57" t="inlineStr"/>
      <c r="E4" s="57" t="inlineStr"/>
      <c r="F4" s="57" t="inlineStr"/>
      <c r="G4" s="57" t="inlineStr"/>
      <c r="H4" s="57" t="inlineStr"/>
    </row>
    <row r="5" ht="16" customHeight="1">
      <c r="A5" s="58" t="inlineStr">
        <is>
          <t>Total PHS files (all UT funds)</t>
        </is>
      </c>
      <c r="B5" s="58" t="n">
        <v>181</v>
      </c>
    </row>
    <row r="6" ht="16" customHeight="1">
      <c r="A6" s="59" t="inlineStr">
        <is>
          <t>Excluded: Class-B funds</t>
        </is>
      </c>
      <c r="B6" s="59" t="inlineStr">
        <is>
          <t>6</t>
        </is>
      </c>
      <c r="C6" s="60" t="inlineStr">
        <is>
          <t>(PeCDF-B, PMMF-B, PBCMF-B, PeICDF-B, PIMMF-B, PBICMF-B)</t>
        </is>
      </c>
    </row>
    <row r="7" ht="16" customHeight="1">
      <c r="A7" s="58" t="inlineStr">
        <is>
          <t>Excluded: Wholesale funds</t>
        </is>
      </c>
      <c r="B7" s="58" t="inlineStr">
        <is>
          <t>4</t>
        </is>
      </c>
      <c r="C7" s="60" t="inlineStr">
        <is>
          <t>(PBCPF, PWSIF, PIWSIF, PeWS20F)</t>
        </is>
      </c>
    </row>
    <row r="8" ht="16" customHeight="1">
      <c r="A8" s="59" t="inlineStr">
        <is>
          <t>Retail funds screened</t>
        </is>
      </c>
      <c r="B8" s="59" t="n">
        <v>171</v>
      </c>
    </row>
    <row r="10" ht="16" customHeight="1">
      <c r="A10" s="59" t="inlineStr">
        <is>
          <t>Funds qualified (Weighted Alpha &gt; 0%)</t>
        </is>
      </c>
      <c r="B10" s="59" t="n">
        <v>134</v>
      </c>
    </row>
    <row r="11" ht="16" customHeight="1">
      <c r="A11" s="58" t="inlineStr">
        <is>
          <t>Funds disqualified</t>
        </is>
      </c>
      <c r="B11" s="58" t="n">
        <v>37</v>
      </c>
    </row>
    <row r="12" ht="16" customHeight="1">
      <c r="A12" s="59" t="inlineStr">
        <is>
          <t>Pass rate</t>
        </is>
      </c>
      <c r="B12" s="59" t="inlineStr">
        <is>
          <t>78.4%</t>
        </is>
      </c>
    </row>
    <row r="13" ht="16" customHeight="1">
      <c r="A13" s="58" t="inlineStr">
        <is>
          <t>Conventional funds qualified</t>
        </is>
      </c>
      <c r="B13" s="58" t="n">
        <v>86</v>
      </c>
    </row>
    <row r="14" ht="16" customHeight="1">
      <c r="A14" s="59" t="inlineStr">
        <is>
          <t>Shariah-compliant funds qualified</t>
        </is>
      </c>
      <c r="B14" s="59" t="n">
        <v>48</v>
      </c>
    </row>
    <row r="16" ht="16" customHeight="1">
      <c r="A16" s="59" t="inlineStr">
        <is>
          <t>Data source</t>
        </is>
      </c>
      <c r="B16" s="59" t="inlineStr">
        <is>
          <t>MFR April 2026</t>
        </is>
      </c>
    </row>
    <row r="17" ht="16" customHeight="1">
      <c r="A17" s="58" t="inlineStr">
        <is>
          <t>Screening criteria</t>
        </is>
      </c>
      <c r="B17" s="58" t="inlineStr">
        <is>
          <t>Weighted Alpha &gt; 0% (YTD×5% + 1Y×15% + 3Y×40% + 5Y×25% + 10Y×15%)</t>
        </is>
      </c>
    </row>
    <row r="18" ht="16" customHeight="1">
      <c r="A18" s="59" t="inlineStr">
        <is>
          <t>Minimum data requirement</t>
        </is>
      </c>
      <c r="B18" s="59" t="inlineStr">
        <is>
          <t>≥2 periods (YTD, 1Y, 3Y, 5Y, 10Y)</t>
        </is>
      </c>
    </row>
    <row r="19" ht="16" customHeight="1">
      <c r="A19" s="58" t="inlineStr">
        <is>
          <t>Note</t>
        </is>
      </c>
      <c r="B19" s="58" t="inlineStr">
        <is>
          <t>Class-B &amp; Wholesale funds excluded — not available to typical retail investors</t>
        </is>
      </c>
    </row>
    <row r="21" ht="26" customHeight="1">
      <c r="A21" s="61" t="inlineStr">
        <is>
          <t>BREAKDOWN BY FUND TYPE</t>
        </is>
      </c>
      <c r="B21" s="7" t="n"/>
      <c r="C21" s="7" t="n"/>
      <c r="D21" s="7" t="n"/>
      <c r="E21" s="7" t="n"/>
      <c r="F21" s="7" t="n"/>
      <c r="G21" s="7" t="n"/>
      <c r="H21" s="7" t="n"/>
    </row>
    <row r="22" ht="28" customHeight="1">
      <c r="A22" s="62" t="inlineStr">
        <is>
          <t>Fund Type</t>
        </is>
      </c>
      <c r="B22" s="62" t="inlineStr">
        <is>
          <t>Qualified</t>
        </is>
      </c>
      <c r="C22" s="62" t="inlineStr">
        <is>
          <t>100% Rate</t>
        </is>
      </c>
      <c r="D22" s="62" t="inlineStr">
        <is>
          <t>Shariah</t>
        </is>
      </c>
      <c r="E22" s="62" t="inlineStr">
        <is>
          <t>Conventional</t>
        </is>
      </c>
      <c r="F22" s="62" t="inlineStr"/>
      <c r="G22" s="62" t="inlineStr"/>
      <c r="H22" s="62" t="inlineStr"/>
    </row>
    <row r="23" ht="16" customHeight="1">
      <c r="A23" s="63" t="inlineStr">
        <is>
          <t>Equity</t>
        </is>
      </c>
      <c r="B23" s="64">
        <f>COUNTIFS(Master!J$4:J$174,"Qualified",Master!D$4:D$174,"Equity")</f>
        <v/>
      </c>
      <c r="C23" s="65">
        <f>COUNTIFS(Master!J$4:J$174,"Qualified",Master!D$4:D$174,"Equity",Master!K$4:K$174,100)</f>
        <v/>
      </c>
      <c r="D23" s="65">
        <f>COUNTIFS(Master!J$4:J$174,"Qualified",Master!D$4:D$174,"Equity",Master!C$4:C$174,"Shariah")</f>
        <v/>
      </c>
      <c r="E23" s="65">
        <f>B23-D23</f>
        <v/>
      </c>
    </row>
    <row r="24" ht="16" customHeight="1">
      <c r="A24" s="66" t="inlineStr">
        <is>
          <t>Mixed Asset / Balanced</t>
        </is>
      </c>
      <c r="B24" s="67">
        <f>COUNTIFS(Master!J$4:J$174,"Qualified",Master!D$4:D$174,"Mixed Asset / Balanced")</f>
        <v/>
      </c>
      <c r="C24" s="68">
        <f>COUNTIFS(Master!J$4:J$174,"Qualified",Master!D$4:D$174,"Mixed Asset / Balanced",Master!K$4:K$174,100)</f>
        <v/>
      </c>
      <c r="D24" s="68">
        <f>COUNTIFS(Master!J$4:J$174,"Qualified",Master!D$4:D$174,"Mixed Asset / Balanced",Master!C$4:C$174,"Shariah")</f>
        <v/>
      </c>
      <c r="E24" s="68">
        <f>B24-D24</f>
        <v/>
      </c>
    </row>
    <row r="25" ht="16" customHeight="1">
      <c r="A25" s="63" t="inlineStr">
        <is>
          <t>Fixed Income</t>
        </is>
      </c>
      <c r="B25" s="64">
        <f>COUNTIFS(Master!J$4:J$174,"Qualified",Master!D$4:D$174,"Fixed Income")</f>
        <v/>
      </c>
      <c r="C25" s="65">
        <f>COUNTIFS(Master!J$4:J$174,"Qualified",Master!D$4:D$174,"Fixed Income",Master!K$4:K$174,100)</f>
        <v/>
      </c>
      <c r="D25" s="65">
        <f>COUNTIFS(Master!J$4:J$174,"Qualified",Master!D$4:D$174,"Fixed Income",Master!C$4:C$174,"Shariah")</f>
        <v/>
      </c>
      <c r="E25" s="65">
        <f>B25-D25</f>
        <v/>
      </c>
    </row>
    <row r="26" ht="16" customHeight="1">
      <c r="A26" s="66" t="inlineStr">
        <is>
          <t>Fund of Funds</t>
        </is>
      </c>
      <c r="B26" s="67">
        <f>COUNTIFS(Master!J$4:J$174,"Qualified",Master!D$4:D$174,"Fund of Funds")</f>
        <v/>
      </c>
      <c r="C26" s="68">
        <f>COUNTIFS(Master!J$4:J$174,"Qualified",Master!D$4:D$174,"Fund of Funds",Master!K$4:K$174,100)</f>
        <v/>
      </c>
      <c r="D26" s="68">
        <f>COUNTIFS(Master!J$4:J$174,"Qualified",Master!D$4:D$174,"Fund of Funds",Master!C$4:C$174,"Shariah")</f>
        <v/>
      </c>
      <c r="E26" s="68">
        <f>B26-D26</f>
        <v/>
      </c>
    </row>
    <row r="27" ht="16" customHeight="1">
      <c r="A27" s="63" t="inlineStr">
        <is>
          <t>Money Market</t>
        </is>
      </c>
      <c r="B27" s="64">
        <f>COUNTIFS(Master!J$4:J$174,"Qualified",Master!D$4:D$174,"Money Market")</f>
        <v/>
      </c>
      <c r="C27" s="65">
        <f>COUNTIFS(Master!J$4:J$174,"Qualified",Master!D$4:D$174,"Money Market",Master!K$4:K$174,100)</f>
        <v/>
      </c>
      <c r="D27" s="65">
        <f>COUNTIFS(Master!J$4:J$174,"Qualified",Master!D$4:D$174,"Money Market",Master!C$4:C$174,"Shariah")</f>
        <v/>
      </c>
      <c r="E27" s="65">
        <f>B27-D27</f>
        <v/>
      </c>
    </row>
    <row r="28" ht="20" customHeight="1">
      <c r="A28" s="69" t="inlineStr">
        <is>
          <t>TOTAL</t>
        </is>
      </c>
      <c r="B28" s="70">
        <f>SUM(B23:B27)</f>
        <v/>
      </c>
      <c r="C28" s="70">
        <f>SUM(C23:C27)</f>
        <v/>
      </c>
      <c r="D28" s="70">
        <f>SUM(D23:D27)</f>
        <v/>
      </c>
      <c r="E28" s="70">
        <f>SUM(E23:E27)</f>
        <v/>
      </c>
    </row>
    <row r="30" ht="26" customHeight="1">
      <c r="A30" s="71" t="inlineStr">
        <is>
          <t>EQUITY — MEDIAN STATISTICS</t>
        </is>
      </c>
      <c r="B30" s="13" t="n"/>
      <c r="C30" s="13" t="n"/>
      <c r="D30" s="13" t="n"/>
      <c r="E30" s="13" t="n"/>
      <c r="F30" s="13" t="n"/>
      <c r="G30" s="13" t="n"/>
      <c r="H30" s="13" t="n"/>
    </row>
    <row r="31" ht="28" customHeight="1">
      <c r="A31" s="72" t="inlineStr">
        <is>
          <t>Metric</t>
        </is>
      </c>
      <c r="B31" s="72" t="inlineStr">
        <is>
          <t>YTD (%)</t>
        </is>
      </c>
      <c r="C31" s="72" t="inlineStr">
        <is>
          <t>1Y (%)</t>
        </is>
      </c>
      <c r="D31" s="72" t="inlineStr">
        <is>
          <t>3Y Ann. (%)</t>
        </is>
      </c>
      <c r="E31" s="72" t="inlineStr">
        <is>
          <t>5Y Ann. (%)</t>
        </is>
      </c>
      <c r="F31" s="72" t="inlineStr">
        <is>
          <t>10Y Ann. (%)</t>
        </is>
      </c>
      <c r="G31" s="72" t="inlineStr">
        <is>
          <t>3Y Alpha (%)</t>
        </is>
      </c>
      <c r="H31" s="72" t="inlineStr">
        <is>
          <t>Beat (%)</t>
        </is>
      </c>
    </row>
    <row r="32" ht="16" customHeight="1">
      <c r="A32" s="63" t="inlineStr">
        <is>
          <t>Median</t>
        </is>
      </c>
      <c r="B32" s="73">
        <f>IFERROR(MEDIAN(FILTER(Master!O$4:O$174,(Master!J$4:J$174="Qualified")*(Master!D$4:D$174="Equity"))),"")</f>
        <v/>
      </c>
      <c r="C32" s="74">
        <f>IFERROR(MEDIAN(FILTER(Master!R$4:R$174,(Master!J$4:J$174="Qualified")*(Master!D$4:D$174="Equity"))),"")</f>
        <v/>
      </c>
      <c r="D32" s="74">
        <f>IFERROR(MEDIAN(FILTER(Master!U$4:U$174,(Master!J$4:J$174="Qualified")*(Master!D$4:D$174="Equity"))),"")</f>
        <v/>
      </c>
      <c r="E32" s="74">
        <f>IFERROR(MEDIAN(FILTER(Master!X$4:X$174,(Master!J$4:J$174="Qualified")*(Master!D$4:D$174="Equity"))),"")</f>
        <v/>
      </c>
      <c r="F32" s="74">
        <f>IFERROR(MEDIAN(FILTER(Master!AA$4:AA$174,(Master!J$4:J$174="Qualified")*(Master!D$4:D$174="Equity"))),"")</f>
        <v/>
      </c>
      <c r="G32" s="74">
        <f>IFERROR(MEDIAN(FILTER(Master!W$4:W$174,(Master!J$4:J$174="Qualified")*(Master!D$4:D$174="Equity"))),"")</f>
        <v/>
      </c>
      <c r="H32" s="74">
        <f>IFERROR(MEDIAN(FILTER(Master!K$4:K$174,(Master!J$4:J$174="Qualified")*(Master!D$4:D$174="Equity"))),"")</f>
        <v/>
      </c>
    </row>
    <row r="34" ht="26" customHeight="1">
      <c r="A34" s="71" t="inlineStr">
        <is>
          <t>EQUITY — TOP 5 BY 3Y ANN. FUND RETURN</t>
        </is>
      </c>
      <c r="B34" s="13" t="n"/>
      <c r="C34" s="13" t="n"/>
      <c r="D34" s="13" t="n"/>
      <c r="E34" s="13" t="n"/>
      <c r="F34" s="13" t="n"/>
      <c r="G34" s="13" t="n"/>
      <c r="H34" s="13" t="n"/>
    </row>
    <row r="35" ht="28" customHeight="1">
      <c r="A35" s="72" t="inlineStr">
        <is>
          <t>Fund Name</t>
        </is>
      </c>
      <c r="B35" s="72" t="inlineStr">
        <is>
          <t>Abbr</t>
        </is>
      </c>
      <c r="C35" s="72" t="inlineStr">
        <is>
          <t>3Y Fund (%)</t>
        </is>
      </c>
      <c r="D35" s="72" t="inlineStr">
        <is>
          <t>3Y Alpha (%)</t>
        </is>
      </c>
      <c r="E35" s="72" t="inlineStr">
        <is>
          <t>Beat (%)</t>
        </is>
      </c>
      <c r="F35" s="72" t="inlineStr">
        <is>
          <t>AUM (RM M)</t>
        </is>
      </c>
      <c r="G35" s="72" t="inlineStr">
        <is>
          <t>VC</t>
        </is>
      </c>
      <c r="H35" s="72" t="inlineStr"/>
    </row>
    <row r="36" ht="16" customHeight="1">
      <c r="A36" s="59">
        <f>IFERROR(INDEX(SORT(FILTER({Master!A$4:A$174,Master!B$4:B$174,Master!U$4:U$174,Master!W$4:W$174,Master!K$4:K$174,Master!H$4:H$174,Master!BN$4:BN$174},Master!J$4:J$174="Qualified",Master!D$4:D$174="Equity",Master!U$4:U$174&lt;&gt;""),3,FALSE),1,1),"")</f>
        <v/>
      </c>
      <c r="B36" s="59">
        <f>IFERROR(INDEX(SORT(FILTER({Master!A$4:A$174,Master!B$4:B$174,Master!U$4:U$174,Master!W$4:W$174,Master!K$4:K$174,Master!H$4:H$174,Master!BN$4:BN$174},Master!J$4:J$174="Qualified",Master!D$4:D$174="Equity",Master!U$4:U$174&lt;&gt;""),3,FALSE),1,2),"")</f>
        <v/>
      </c>
      <c r="C36" s="75">
        <f>IFERROR(INDEX(SORT(FILTER({Master!A$4:A$174,Master!B$4:B$174,Master!U$4:U$174,Master!W$4:W$174,Master!K$4:K$174,Master!H$4:H$174,Master!BN$4:BN$174},Master!J$4:J$174="Qualified",Master!D$4:D$174="Equity",Master!U$4:U$174&lt;&gt;""),3,FALSE),1,3),"")</f>
        <v/>
      </c>
      <c r="D36" s="75">
        <f>IFERROR(INDEX(SORT(FILTER({Master!A$4:A$174,Master!B$4:B$174,Master!U$4:U$174,Master!W$4:W$174,Master!K$4:K$174,Master!H$4:H$174,Master!BN$4:BN$174},Master!J$4:J$174="Qualified",Master!D$4:D$174="Equity",Master!U$4:U$174&lt;&gt;""),3,FALSE),1,4),"")</f>
        <v/>
      </c>
      <c r="E36" s="76">
        <f>IFERROR(INDEX(SORT(FILTER({Master!A$4:A$174,Master!B$4:B$174,Master!U$4:U$174,Master!W$4:W$174,Master!K$4:K$174,Master!H$4:H$174,Master!BN$4:BN$174},Master!J$4:J$174="Qualified",Master!D$4:D$174="Equity",Master!U$4:U$174&lt;&gt;""),3,FALSE),1,5),"")</f>
        <v/>
      </c>
      <c r="F36" s="77">
        <f>IFERROR(INDEX(SORT(FILTER({Master!A$4:A$174,Master!B$4:B$174,Master!U$4:U$174,Master!W$4:W$174,Master!K$4:K$174,Master!H$4:H$174,Master!BN$4:BN$174},Master!J$4:J$174="Qualified",Master!D$4:D$174="Equity",Master!U$4:U$174&lt;&gt;""),3,FALSE),1,6),"")</f>
        <v/>
      </c>
      <c r="G36" s="78">
        <f>IFERROR(INDEX(SORT(FILTER({Master!A$4:A$174,Master!B$4:B$174,Master!U$4:U$174,Master!W$4:W$174,Master!K$4:K$174,Master!H$4:H$174,Master!BN$4:BN$174},Master!J$4:J$174="Qualified",Master!D$4:D$174="Equity",Master!U$4:U$174&lt;&gt;""),3,FALSE),1,7),"")</f>
        <v/>
      </c>
      <c r="H36" s="78" t="inlineStr"/>
    </row>
    <row r="37" ht="16" customHeight="1">
      <c r="A37" s="58">
        <f>IFERROR(INDEX(SORT(FILTER({Master!A$4:A$174,Master!B$4:B$174,Master!U$4:U$174,Master!W$4:W$174,Master!K$4:K$174,Master!H$4:H$174,Master!BN$4:BN$174},Master!J$4:J$174="Qualified",Master!D$4:D$174="Equity",Master!U$4:U$174&lt;&gt;""),3,FALSE),2,1),"")</f>
        <v/>
      </c>
      <c r="B37" s="58">
        <f>IFERROR(INDEX(SORT(FILTER({Master!A$4:A$174,Master!B$4:B$174,Master!U$4:U$174,Master!W$4:W$174,Master!K$4:K$174,Master!H$4:H$174,Master!BN$4:BN$174},Master!J$4:J$174="Qualified",Master!D$4:D$174="Equity",Master!U$4:U$174&lt;&gt;""),3,FALSE),2,2),"")</f>
        <v/>
      </c>
      <c r="C37" s="74">
        <f>IFERROR(INDEX(SORT(FILTER({Master!A$4:A$174,Master!B$4:B$174,Master!U$4:U$174,Master!W$4:W$174,Master!K$4:K$174,Master!H$4:H$174,Master!BN$4:BN$174},Master!J$4:J$174="Qualified",Master!D$4:D$174="Equity",Master!U$4:U$174&lt;&gt;""),3,FALSE),2,3),"")</f>
        <v/>
      </c>
      <c r="D37" s="74">
        <f>IFERROR(INDEX(SORT(FILTER({Master!A$4:A$174,Master!B$4:B$174,Master!U$4:U$174,Master!W$4:W$174,Master!K$4:K$174,Master!H$4:H$174,Master!BN$4:BN$174},Master!J$4:J$174="Qualified",Master!D$4:D$174="Equity",Master!U$4:U$174&lt;&gt;""),3,FALSE),2,4),"")</f>
        <v/>
      </c>
      <c r="E37" s="79">
        <f>IFERROR(INDEX(SORT(FILTER({Master!A$4:A$174,Master!B$4:B$174,Master!U$4:U$174,Master!W$4:W$174,Master!K$4:K$174,Master!H$4:H$174,Master!BN$4:BN$174},Master!J$4:J$174="Qualified",Master!D$4:D$174="Equity",Master!U$4:U$174&lt;&gt;""),3,FALSE),2,5),"")</f>
        <v/>
      </c>
      <c r="F37" s="80">
        <f>IFERROR(INDEX(SORT(FILTER({Master!A$4:A$174,Master!B$4:B$174,Master!U$4:U$174,Master!W$4:W$174,Master!K$4:K$174,Master!H$4:H$174,Master!BN$4:BN$174},Master!J$4:J$174="Qualified",Master!D$4:D$174="Equity",Master!U$4:U$174&lt;&gt;""),3,FALSE),2,6),"")</f>
        <v/>
      </c>
      <c r="G37" s="81">
        <f>IFERROR(INDEX(SORT(FILTER({Master!A$4:A$174,Master!B$4:B$174,Master!U$4:U$174,Master!W$4:W$174,Master!K$4:K$174,Master!H$4:H$174,Master!BN$4:BN$174},Master!J$4:J$174="Qualified",Master!D$4:D$174="Equity",Master!U$4:U$174&lt;&gt;""),3,FALSE),2,7),"")</f>
        <v/>
      </c>
      <c r="H37" s="81" t="inlineStr"/>
    </row>
    <row r="38" ht="16" customHeight="1">
      <c r="A38" s="59">
        <f>IFERROR(INDEX(SORT(FILTER({Master!A$4:A$174,Master!B$4:B$174,Master!U$4:U$174,Master!W$4:W$174,Master!K$4:K$174,Master!H$4:H$174,Master!BN$4:BN$174},Master!J$4:J$174="Qualified",Master!D$4:D$174="Equity",Master!U$4:U$174&lt;&gt;""),3,FALSE),3,1),"")</f>
        <v/>
      </c>
      <c r="B38" s="59">
        <f>IFERROR(INDEX(SORT(FILTER({Master!A$4:A$174,Master!B$4:B$174,Master!U$4:U$174,Master!W$4:W$174,Master!K$4:K$174,Master!H$4:H$174,Master!BN$4:BN$174},Master!J$4:J$174="Qualified",Master!D$4:D$174="Equity",Master!U$4:U$174&lt;&gt;""),3,FALSE),3,2),"")</f>
        <v/>
      </c>
      <c r="C38" s="75">
        <f>IFERROR(INDEX(SORT(FILTER({Master!A$4:A$174,Master!B$4:B$174,Master!U$4:U$174,Master!W$4:W$174,Master!K$4:K$174,Master!H$4:H$174,Master!BN$4:BN$174},Master!J$4:J$174="Qualified",Master!D$4:D$174="Equity",Master!U$4:U$174&lt;&gt;""),3,FALSE),3,3),"")</f>
        <v/>
      </c>
      <c r="D38" s="75">
        <f>IFERROR(INDEX(SORT(FILTER({Master!A$4:A$174,Master!B$4:B$174,Master!U$4:U$174,Master!W$4:W$174,Master!K$4:K$174,Master!H$4:H$174,Master!BN$4:BN$174},Master!J$4:J$174="Qualified",Master!D$4:D$174="Equity",Master!U$4:U$174&lt;&gt;""),3,FALSE),3,4),"")</f>
        <v/>
      </c>
      <c r="E38" s="76">
        <f>IFERROR(INDEX(SORT(FILTER({Master!A$4:A$174,Master!B$4:B$174,Master!U$4:U$174,Master!W$4:W$174,Master!K$4:K$174,Master!H$4:H$174,Master!BN$4:BN$174},Master!J$4:J$174="Qualified",Master!D$4:D$174="Equity",Master!U$4:U$174&lt;&gt;""),3,FALSE),3,5),"")</f>
        <v/>
      </c>
      <c r="F38" s="77">
        <f>IFERROR(INDEX(SORT(FILTER({Master!A$4:A$174,Master!B$4:B$174,Master!U$4:U$174,Master!W$4:W$174,Master!K$4:K$174,Master!H$4:H$174,Master!BN$4:BN$174},Master!J$4:J$174="Qualified",Master!D$4:D$174="Equity",Master!U$4:U$174&lt;&gt;""),3,FALSE),3,6),"")</f>
        <v/>
      </c>
      <c r="G38" s="78">
        <f>IFERROR(INDEX(SORT(FILTER({Master!A$4:A$174,Master!B$4:B$174,Master!U$4:U$174,Master!W$4:W$174,Master!K$4:K$174,Master!H$4:H$174,Master!BN$4:BN$174},Master!J$4:J$174="Qualified",Master!D$4:D$174="Equity",Master!U$4:U$174&lt;&gt;""),3,FALSE),3,7),"")</f>
        <v/>
      </c>
      <c r="H38" s="78" t="inlineStr"/>
    </row>
    <row r="39" ht="16" customHeight="1">
      <c r="A39" s="58">
        <f>IFERROR(INDEX(SORT(FILTER({Master!A$4:A$174,Master!B$4:B$174,Master!U$4:U$174,Master!W$4:W$174,Master!K$4:K$174,Master!H$4:H$174,Master!BN$4:BN$174},Master!J$4:J$174="Qualified",Master!D$4:D$174="Equity",Master!U$4:U$174&lt;&gt;""),3,FALSE),4,1),"")</f>
        <v/>
      </c>
      <c r="B39" s="58">
        <f>IFERROR(INDEX(SORT(FILTER({Master!A$4:A$174,Master!B$4:B$174,Master!U$4:U$174,Master!W$4:W$174,Master!K$4:K$174,Master!H$4:H$174,Master!BN$4:BN$174},Master!J$4:J$174="Qualified",Master!D$4:D$174="Equity",Master!U$4:U$174&lt;&gt;""),3,FALSE),4,2),"")</f>
        <v/>
      </c>
      <c r="C39" s="74">
        <f>IFERROR(INDEX(SORT(FILTER({Master!A$4:A$174,Master!B$4:B$174,Master!U$4:U$174,Master!W$4:W$174,Master!K$4:K$174,Master!H$4:H$174,Master!BN$4:BN$174},Master!J$4:J$174="Qualified",Master!D$4:D$174="Equity",Master!U$4:U$174&lt;&gt;""),3,FALSE),4,3),"")</f>
        <v/>
      </c>
      <c r="D39" s="74">
        <f>IFERROR(INDEX(SORT(FILTER({Master!A$4:A$174,Master!B$4:B$174,Master!U$4:U$174,Master!W$4:W$174,Master!K$4:K$174,Master!H$4:H$174,Master!BN$4:BN$174},Master!J$4:J$174="Qualified",Master!D$4:D$174="Equity",Master!U$4:U$174&lt;&gt;""),3,FALSE),4,4),"")</f>
        <v/>
      </c>
      <c r="E39" s="79">
        <f>IFERROR(INDEX(SORT(FILTER({Master!A$4:A$174,Master!B$4:B$174,Master!U$4:U$174,Master!W$4:W$174,Master!K$4:K$174,Master!H$4:H$174,Master!BN$4:BN$174},Master!J$4:J$174="Qualified",Master!D$4:D$174="Equity",Master!U$4:U$174&lt;&gt;""),3,FALSE),4,5),"")</f>
        <v/>
      </c>
      <c r="F39" s="80">
        <f>IFERROR(INDEX(SORT(FILTER({Master!A$4:A$174,Master!B$4:B$174,Master!U$4:U$174,Master!W$4:W$174,Master!K$4:K$174,Master!H$4:H$174,Master!BN$4:BN$174},Master!J$4:J$174="Qualified",Master!D$4:D$174="Equity",Master!U$4:U$174&lt;&gt;""),3,FALSE),4,6),"")</f>
        <v/>
      </c>
      <c r="G39" s="81">
        <f>IFERROR(INDEX(SORT(FILTER({Master!A$4:A$174,Master!B$4:B$174,Master!U$4:U$174,Master!W$4:W$174,Master!K$4:K$174,Master!H$4:H$174,Master!BN$4:BN$174},Master!J$4:J$174="Qualified",Master!D$4:D$174="Equity",Master!U$4:U$174&lt;&gt;""),3,FALSE),4,7),"")</f>
        <v/>
      </c>
      <c r="H39" s="81" t="inlineStr"/>
    </row>
    <row r="40" ht="16" customHeight="1">
      <c r="A40" s="59">
        <f>IFERROR(INDEX(SORT(FILTER({Master!A$4:A$174,Master!B$4:B$174,Master!U$4:U$174,Master!W$4:W$174,Master!K$4:K$174,Master!H$4:H$174,Master!BN$4:BN$174},Master!J$4:J$174="Qualified",Master!D$4:D$174="Equity",Master!U$4:U$174&lt;&gt;""),3,FALSE),5,1),"")</f>
        <v/>
      </c>
      <c r="B40" s="59">
        <f>IFERROR(INDEX(SORT(FILTER({Master!A$4:A$174,Master!B$4:B$174,Master!U$4:U$174,Master!W$4:W$174,Master!K$4:K$174,Master!H$4:H$174,Master!BN$4:BN$174},Master!J$4:J$174="Qualified",Master!D$4:D$174="Equity",Master!U$4:U$174&lt;&gt;""),3,FALSE),5,2),"")</f>
        <v/>
      </c>
      <c r="C40" s="75">
        <f>IFERROR(INDEX(SORT(FILTER({Master!A$4:A$174,Master!B$4:B$174,Master!U$4:U$174,Master!W$4:W$174,Master!K$4:K$174,Master!H$4:H$174,Master!BN$4:BN$174},Master!J$4:J$174="Qualified",Master!D$4:D$174="Equity",Master!U$4:U$174&lt;&gt;""),3,FALSE),5,3),"")</f>
        <v/>
      </c>
      <c r="D40" s="75">
        <f>IFERROR(INDEX(SORT(FILTER({Master!A$4:A$174,Master!B$4:B$174,Master!U$4:U$174,Master!W$4:W$174,Master!K$4:K$174,Master!H$4:H$174,Master!BN$4:BN$174},Master!J$4:J$174="Qualified",Master!D$4:D$174="Equity",Master!U$4:U$174&lt;&gt;""),3,FALSE),5,4),"")</f>
        <v/>
      </c>
      <c r="E40" s="76">
        <f>IFERROR(INDEX(SORT(FILTER({Master!A$4:A$174,Master!B$4:B$174,Master!U$4:U$174,Master!W$4:W$174,Master!K$4:K$174,Master!H$4:H$174,Master!BN$4:BN$174},Master!J$4:J$174="Qualified",Master!D$4:D$174="Equity",Master!U$4:U$174&lt;&gt;""),3,FALSE),5,5),"")</f>
        <v/>
      </c>
      <c r="F40" s="77">
        <f>IFERROR(INDEX(SORT(FILTER({Master!A$4:A$174,Master!B$4:B$174,Master!U$4:U$174,Master!W$4:W$174,Master!K$4:K$174,Master!H$4:H$174,Master!BN$4:BN$174},Master!J$4:J$174="Qualified",Master!D$4:D$174="Equity",Master!U$4:U$174&lt;&gt;""),3,FALSE),5,6),"")</f>
        <v/>
      </c>
      <c r="G40" s="78">
        <f>IFERROR(INDEX(SORT(FILTER({Master!A$4:A$174,Master!B$4:B$174,Master!U$4:U$174,Master!W$4:W$174,Master!K$4:K$174,Master!H$4:H$174,Master!BN$4:BN$174},Master!J$4:J$174="Qualified",Master!D$4:D$174="Equity",Master!U$4:U$174&lt;&gt;""),3,FALSE),5,7),"")</f>
        <v/>
      </c>
      <c r="H40" s="78" t="inlineStr"/>
    </row>
    <row r="42" ht="26" customHeight="1">
      <c r="A42" s="71" t="inlineStr">
        <is>
          <t>EQUITY — TOP 5 BY 3Y ANN. ALPHA</t>
        </is>
      </c>
      <c r="B42" s="13" t="n"/>
      <c r="C42" s="13" t="n"/>
      <c r="D42" s="13" t="n"/>
      <c r="E42" s="13" t="n"/>
      <c r="F42" s="13" t="n"/>
      <c r="G42" s="13" t="n"/>
      <c r="H42" s="13" t="n"/>
    </row>
    <row r="43" ht="28" customHeight="1">
      <c r="A43" s="72" t="inlineStr">
        <is>
          <t>Fund Name</t>
        </is>
      </c>
      <c r="B43" s="72" t="inlineStr">
        <is>
          <t>Abbr</t>
        </is>
      </c>
      <c r="C43" s="72" t="inlineStr">
        <is>
          <t>3Y Fund (%)</t>
        </is>
      </c>
      <c r="D43" s="72" t="inlineStr">
        <is>
          <t>3Y Alpha (%)</t>
        </is>
      </c>
      <c r="E43" s="72" t="inlineStr">
        <is>
          <t>Beat (%)</t>
        </is>
      </c>
      <c r="F43" s="72" t="inlineStr">
        <is>
          <t>AUM (RM M)</t>
        </is>
      </c>
      <c r="G43" s="72" t="inlineStr">
        <is>
          <t>VC</t>
        </is>
      </c>
      <c r="H43" s="72" t="inlineStr"/>
    </row>
    <row r="44" ht="16" customHeight="1">
      <c r="A44" s="59">
        <f>IFERROR(INDEX(SORT(FILTER({Master!A$4:A$174,Master!B$4:B$174,Master!U$4:U$174,Master!W$4:W$174,Master!K$4:K$174,Master!H$4:H$174,Master!BN$4:BN$174},Master!J$4:J$174="Qualified",Master!D$4:D$174="Equity",Master!W$4:W$174&lt;&gt;""),4,FALSE),1,1),"")</f>
        <v/>
      </c>
      <c r="B44" s="59">
        <f>IFERROR(INDEX(SORT(FILTER({Master!A$4:A$174,Master!B$4:B$174,Master!U$4:U$174,Master!W$4:W$174,Master!K$4:K$174,Master!H$4:H$174,Master!BN$4:BN$174},Master!J$4:J$174="Qualified",Master!D$4:D$174="Equity",Master!W$4:W$174&lt;&gt;""),4,FALSE),1,2),"")</f>
        <v/>
      </c>
      <c r="C44" s="75">
        <f>IFERROR(INDEX(SORT(FILTER({Master!A$4:A$174,Master!B$4:B$174,Master!U$4:U$174,Master!W$4:W$174,Master!K$4:K$174,Master!H$4:H$174,Master!BN$4:BN$174},Master!J$4:J$174="Qualified",Master!D$4:D$174="Equity",Master!W$4:W$174&lt;&gt;""),4,FALSE),1,3),"")</f>
        <v/>
      </c>
      <c r="D44" s="75">
        <f>IFERROR(INDEX(SORT(FILTER({Master!A$4:A$174,Master!B$4:B$174,Master!U$4:U$174,Master!W$4:W$174,Master!K$4:K$174,Master!H$4:H$174,Master!BN$4:BN$174},Master!J$4:J$174="Qualified",Master!D$4:D$174="Equity",Master!W$4:W$174&lt;&gt;""),4,FALSE),1,4),"")</f>
        <v/>
      </c>
      <c r="E44" s="76">
        <f>IFERROR(INDEX(SORT(FILTER({Master!A$4:A$174,Master!B$4:B$174,Master!U$4:U$174,Master!W$4:W$174,Master!K$4:K$174,Master!H$4:H$174,Master!BN$4:BN$174},Master!J$4:J$174="Qualified",Master!D$4:D$174="Equity",Master!W$4:W$174&lt;&gt;""),4,FALSE),1,5),"")</f>
        <v/>
      </c>
      <c r="F44" s="77">
        <f>IFERROR(INDEX(SORT(FILTER({Master!A$4:A$174,Master!B$4:B$174,Master!U$4:U$174,Master!W$4:W$174,Master!K$4:K$174,Master!H$4:H$174,Master!BN$4:BN$174},Master!J$4:J$174="Qualified",Master!D$4:D$174="Equity",Master!W$4:W$174&lt;&gt;""),4,FALSE),1,6),"")</f>
        <v/>
      </c>
      <c r="G44" s="78">
        <f>IFERROR(INDEX(SORT(FILTER({Master!A$4:A$174,Master!B$4:B$174,Master!U$4:U$174,Master!W$4:W$174,Master!K$4:K$174,Master!H$4:H$174,Master!BN$4:BN$174},Master!J$4:J$174="Qualified",Master!D$4:D$174="Equity",Master!W$4:W$174&lt;&gt;""),4,FALSE),1,7),"")</f>
        <v/>
      </c>
      <c r="H44" s="78" t="inlineStr"/>
    </row>
    <row r="45" ht="16" customHeight="1">
      <c r="A45" s="58">
        <f>IFERROR(INDEX(SORT(FILTER({Master!A$4:A$174,Master!B$4:B$174,Master!U$4:U$174,Master!W$4:W$174,Master!K$4:K$174,Master!H$4:H$174,Master!BN$4:BN$174},Master!J$4:J$174="Qualified",Master!D$4:D$174="Equity",Master!W$4:W$174&lt;&gt;""),4,FALSE),2,1),"")</f>
        <v/>
      </c>
      <c r="B45" s="58">
        <f>IFERROR(INDEX(SORT(FILTER({Master!A$4:A$174,Master!B$4:B$174,Master!U$4:U$174,Master!W$4:W$174,Master!K$4:K$174,Master!H$4:H$174,Master!BN$4:BN$174},Master!J$4:J$174="Qualified",Master!D$4:D$174="Equity",Master!W$4:W$174&lt;&gt;""),4,FALSE),2,2),"")</f>
        <v/>
      </c>
      <c r="C45" s="74">
        <f>IFERROR(INDEX(SORT(FILTER({Master!A$4:A$174,Master!B$4:B$174,Master!U$4:U$174,Master!W$4:W$174,Master!K$4:K$174,Master!H$4:H$174,Master!BN$4:BN$174},Master!J$4:J$174="Qualified",Master!D$4:D$174="Equity",Master!W$4:W$174&lt;&gt;""),4,FALSE),2,3),"")</f>
        <v/>
      </c>
      <c r="D45" s="74">
        <f>IFERROR(INDEX(SORT(FILTER({Master!A$4:A$174,Master!B$4:B$174,Master!U$4:U$174,Master!W$4:W$174,Master!K$4:K$174,Master!H$4:H$174,Master!BN$4:BN$174},Master!J$4:J$174="Qualified",Master!D$4:D$174="Equity",Master!W$4:W$174&lt;&gt;""),4,FALSE),2,4),"")</f>
        <v/>
      </c>
      <c r="E45" s="79">
        <f>IFERROR(INDEX(SORT(FILTER({Master!A$4:A$174,Master!B$4:B$174,Master!U$4:U$174,Master!W$4:W$174,Master!K$4:K$174,Master!H$4:H$174,Master!BN$4:BN$174},Master!J$4:J$174="Qualified",Master!D$4:D$174="Equity",Master!W$4:W$174&lt;&gt;""),4,FALSE),2,5),"")</f>
        <v/>
      </c>
      <c r="F45" s="80">
        <f>IFERROR(INDEX(SORT(FILTER({Master!A$4:A$174,Master!B$4:B$174,Master!U$4:U$174,Master!W$4:W$174,Master!K$4:K$174,Master!H$4:H$174,Master!BN$4:BN$174},Master!J$4:J$174="Qualified",Master!D$4:D$174="Equity",Master!W$4:W$174&lt;&gt;""),4,FALSE),2,6),"")</f>
        <v/>
      </c>
      <c r="G45" s="81">
        <f>IFERROR(INDEX(SORT(FILTER({Master!A$4:A$174,Master!B$4:B$174,Master!U$4:U$174,Master!W$4:W$174,Master!K$4:K$174,Master!H$4:H$174,Master!BN$4:BN$174},Master!J$4:J$174="Qualified",Master!D$4:D$174="Equity",Master!W$4:W$174&lt;&gt;""),4,FALSE),2,7),"")</f>
        <v/>
      </c>
      <c r="H45" s="81" t="inlineStr"/>
    </row>
    <row r="46" ht="16" customHeight="1">
      <c r="A46" s="59">
        <f>IFERROR(INDEX(SORT(FILTER({Master!A$4:A$174,Master!B$4:B$174,Master!U$4:U$174,Master!W$4:W$174,Master!K$4:K$174,Master!H$4:H$174,Master!BN$4:BN$174},Master!J$4:J$174="Qualified",Master!D$4:D$174="Equity",Master!W$4:W$174&lt;&gt;""),4,FALSE),3,1),"")</f>
        <v/>
      </c>
      <c r="B46" s="59">
        <f>IFERROR(INDEX(SORT(FILTER({Master!A$4:A$174,Master!B$4:B$174,Master!U$4:U$174,Master!W$4:W$174,Master!K$4:K$174,Master!H$4:H$174,Master!BN$4:BN$174},Master!J$4:J$174="Qualified",Master!D$4:D$174="Equity",Master!W$4:W$174&lt;&gt;""),4,FALSE),3,2),"")</f>
        <v/>
      </c>
      <c r="C46" s="75">
        <f>IFERROR(INDEX(SORT(FILTER({Master!A$4:A$174,Master!B$4:B$174,Master!U$4:U$174,Master!W$4:W$174,Master!K$4:K$174,Master!H$4:H$174,Master!BN$4:BN$174},Master!J$4:J$174="Qualified",Master!D$4:D$174="Equity",Master!W$4:W$174&lt;&gt;""),4,FALSE),3,3),"")</f>
        <v/>
      </c>
      <c r="D46" s="75">
        <f>IFERROR(INDEX(SORT(FILTER({Master!A$4:A$174,Master!B$4:B$174,Master!U$4:U$174,Master!W$4:W$174,Master!K$4:K$174,Master!H$4:H$174,Master!BN$4:BN$174},Master!J$4:J$174="Qualified",Master!D$4:D$174="Equity",Master!W$4:W$174&lt;&gt;""),4,FALSE),3,4),"")</f>
        <v/>
      </c>
      <c r="E46" s="76">
        <f>IFERROR(INDEX(SORT(FILTER({Master!A$4:A$174,Master!B$4:B$174,Master!U$4:U$174,Master!W$4:W$174,Master!K$4:K$174,Master!H$4:H$174,Master!BN$4:BN$174},Master!J$4:J$174="Qualified",Master!D$4:D$174="Equity",Master!W$4:W$174&lt;&gt;""),4,FALSE),3,5),"")</f>
        <v/>
      </c>
      <c r="F46" s="77">
        <f>IFERROR(INDEX(SORT(FILTER({Master!A$4:A$174,Master!B$4:B$174,Master!U$4:U$174,Master!W$4:W$174,Master!K$4:K$174,Master!H$4:H$174,Master!BN$4:BN$174},Master!J$4:J$174="Qualified",Master!D$4:D$174="Equity",Master!W$4:W$174&lt;&gt;""),4,FALSE),3,6),"")</f>
        <v/>
      </c>
      <c r="G46" s="78">
        <f>IFERROR(INDEX(SORT(FILTER({Master!A$4:A$174,Master!B$4:B$174,Master!U$4:U$174,Master!W$4:W$174,Master!K$4:K$174,Master!H$4:H$174,Master!BN$4:BN$174},Master!J$4:J$174="Qualified",Master!D$4:D$174="Equity",Master!W$4:W$174&lt;&gt;""),4,FALSE),3,7),"")</f>
        <v/>
      </c>
      <c r="H46" s="78" t="inlineStr"/>
    </row>
    <row r="47" ht="16" customHeight="1">
      <c r="A47" s="58">
        <f>IFERROR(INDEX(SORT(FILTER({Master!A$4:A$174,Master!B$4:B$174,Master!U$4:U$174,Master!W$4:W$174,Master!K$4:K$174,Master!H$4:H$174,Master!BN$4:BN$174},Master!J$4:J$174="Qualified",Master!D$4:D$174="Equity",Master!W$4:W$174&lt;&gt;""),4,FALSE),4,1),"")</f>
        <v/>
      </c>
      <c r="B47" s="58">
        <f>IFERROR(INDEX(SORT(FILTER({Master!A$4:A$174,Master!B$4:B$174,Master!U$4:U$174,Master!W$4:W$174,Master!K$4:K$174,Master!H$4:H$174,Master!BN$4:BN$174},Master!J$4:J$174="Qualified",Master!D$4:D$174="Equity",Master!W$4:W$174&lt;&gt;""),4,FALSE),4,2),"")</f>
        <v/>
      </c>
      <c r="C47" s="74">
        <f>IFERROR(INDEX(SORT(FILTER({Master!A$4:A$174,Master!B$4:B$174,Master!U$4:U$174,Master!W$4:W$174,Master!K$4:K$174,Master!H$4:H$174,Master!BN$4:BN$174},Master!J$4:J$174="Qualified",Master!D$4:D$174="Equity",Master!W$4:W$174&lt;&gt;""),4,FALSE),4,3),"")</f>
        <v/>
      </c>
      <c r="D47" s="74">
        <f>IFERROR(INDEX(SORT(FILTER({Master!A$4:A$174,Master!B$4:B$174,Master!U$4:U$174,Master!W$4:W$174,Master!K$4:K$174,Master!H$4:H$174,Master!BN$4:BN$174},Master!J$4:J$174="Qualified",Master!D$4:D$174="Equity",Master!W$4:W$174&lt;&gt;""),4,FALSE),4,4),"")</f>
        <v/>
      </c>
      <c r="E47" s="79">
        <f>IFERROR(INDEX(SORT(FILTER({Master!A$4:A$174,Master!B$4:B$174,Master!U$4:U$174,Master!W$4:W$174,Master!K$4:K$174,Master!H$4:H$174,Master!BN$4:BN$174},Master!J$4:J$174="Qualified",Master!D$4:D$174="Equity",Master!W$4:W$174&lt;&gt;""),4,FALSE),4,5),"")</f>
        <v/>
      </c>
      <c r="F47" s="80">
        <f>IFERROR(INDEX(SORT(FILTER({Master!A$4:A$174,Master!B$4:B$174,Master!U$4:U$174,Master!W$4:W$174,Master!K$4:K$174,Master!H$4:H$174,Master!BN$4:BN$174},Master!J$4:J$174="Qualified",Master!D$4:D$174="Equity",Master!W$4:W$174&lt;&gt;""),4,FALSE),4,6),"")</f>
        <v/>
      </c>
      <c r="G47" s="81">
        <f>IFERROR(INDEX(SORT(FILTER({Master!A$4:A$174,Master!B$4:B$174,Master!U$4:U$174,Master!W$4:W$174,Master!K$4:K$174,Master!H$4:H$174,Master!BN$4:BN$174},Master!J$4:J$174="Qualified",Master!D$4:D$174="Equity",Master!W$4:W$174&lt;&gt;""),4,FALSE),4,7),"")</f>
        <v/>
      </c>
      <c r="H47" s="81" t="inlineStr"/>
    </row>
    <row r="48" ht="16" customHeight="1">
      <c r="A48" s="59">
        <f>IFERROR(INDEX(SORT(FILTER({Master!A$4:A$174,Master!B$4:B$174,Master!U$4:U$174,Master!W$4:W$174,Master!K$4:K$174,Master!H$4:H$174,Master!BN$4:BN$174},Master!J$4:J$174="Qualified",Master!D$4:D$174="Equity",Master!W$4:W$174&lt;&gt;""),4,FALSE),5,1),"")</f>
        <v/>
      </c>
      <c r="B48" s="59">
        <f>IFERROR(INDEX(SORT(FILTER({Master!A$4:A$174,Master!B$4:B$174,Master!U$4:U$174,Master!W$4:W$174,Master!K$4:K$174,Master!H$4:H$174,Master!BN$4:BN$174},Master!J$4:J$174="Qualified",Master!D$4:D$174="Equity",Master!W$4:W$174&lt;&gt;""),4,FALSE),5,2),"")</f>
        <v/>
      </c>
      <c r="C48" s="75">
        <f>IFERROR(INDEX(SORT(FILTER({Master!A$4:A$174,Master!B$4:B$174,Master!U$4:U$174,Master!W$4:W$174,Master!K$4:K$174,Master!H$4:H$174,Master!BN$4:BN$174},Master!J$4:J$174="Qualified",Master!D$4:D$174="Equity",Master!W$4:W$174&lt;&gt;""),4,FALSE),5,3),"")</f>
        <v/>
      </c>
      <c r="D48" s="75">
        <f>IFERROR(INDEX(SORT(FILTER({Master!A$4:A$174,Master!B$4:B$174,Master!U$4:U$174,Master!W$4:W$174,Master!K$4:K$174,Master!H$4:H$174,Master!BN$4:BN$174},Master!J$4:J$174="Qualified",Master!D$4:D$174="Equity",Master!W$4:W$174&lt;&gt;""),4,FALSE),5,4),"")</f>
        <v/>
      </c>
      <c r="E48" s="76">
        <f>IFERROR(INDEX(SORT(FILTER({Master!A$4:A$174,Master!B$4:B$174,Master!U$4:U$174,Master!W$4:W$174,Master!K$4:K$174,Master!H$4:H$174,Master!BN$4:BN$174},Master!J$4:J$174="Qualified",Master!D$4:D$174="Equity",Master!W$4:W$174&lt;&gt;""),4,FALSE),5,5),"")</f>
        <v/>
      </c>
      <c r="F48" s="77">
        <f>IFERROR(INDEX(SORT(FILTER({Master!A$4:A$174,Master!B$4:B$174,Master!U$4:U$174,Master!W$4:W$174,Master!K$4:K$174,Master!H$4:H$174,Master!BN$4:BN$174},Master!J$4:J$174="Qualified",Master!D$4:D$174="Equity",Master!W$4:W$174&lt;&gt;""),4,FALSE),5,6),"")</f>
        <v/>
      </c>
      <c r="G48" s="78">
        <f>IFERROR(INDEX(SORT(FILTER({Master!A$4:A$174,Master!B$4:B$174,Master!U$4:U$174,Master!W$4:W$174,Master!K$4:K$174,Master!H$4:H$174,Master!BN$4:BN$174},Master!J$4:J$174="Qualified",Master!D$4:D$174="Equity",Master!W$4:W$174&lt;&gt;""),4,FALSE),5,7),"")</f>
        <v/>
      </c>
      <c r="H48" s="78" t="inlineStr"/>
    </row>
    <row r="50" ht="26" customHeight="1">
      <c r="A50" s="71" t="inlineStr">
        <is>
          <t>EQUITY — TOP 5 BY ALPHA EFFICIENCY</t>
        </is>
      </c>
      <c r="B50" s="13" t="n"/>
      <c r="C50" s="13" t="n"/>
      <c r="D50" s="13" t="n"/>
      <c r="E50" s="13" t="n"/>
      <c r="F50" s="13" t="n"/>
      <c r="G50" s="13" t="n"/>
      <c r="H50" s="13" t="n"/>
    </row>
    <row r="51" ht="28" customHeight="1">
      <c r="A51" s="72" t="inlineStr">
        <is>
          <t>Fund Name</t>
        </is>
      </c>
      <c r="B51" s="72" t="inlineStr">
        <is>
          <t>Abbr</t>
        </is>
      </c>
      <c r="C51" s="72" t="inlineStr">
        <is>
          <t>Alpha Eff</t>
        </is>
      </c>
      <c r="D51" s="72" t="inlineStr">
        <is>
          <t>3Y Alpha (%)</t>
        </is>
      </c>
      <c r="E51" s="72" t="inlineStr">
        <is>
          <t>Beat (%)</t>
        </is>
      </c>
      <c r="F51" s="72" t="inlineStr">
        <is>
          <t>AUM (RM M)</t>
        </is>
      </c>
      <c r="G51" s="72" t="inlineStr">
        <is>
          <t>VC</t>
        </is>
      </c>
      <c r="H51" s="72" t="inlineStr"/>
    </row>
    <row r="52" ht="16" customHeight="1">
      <c r="A52" s="59">
        <f>IFERROR(INDEX(SORT(FILTER({Master!A$4:A$174,Master!B$4:B$174,Master!AF$4:AF$174,Master!W$4:W$174,Master!K$4:K$174,Master!H$4:H$174,Master!BN$4:BN$174},Master!J$4:J$174="Qualified",Master!D$4:D$174="Equity",Master!AF$4:AF$174&lt;&gt;""),3,FALSE),1,1),"")</f>
        <v/>
      </c>
      <c r="B52" s="59">
        <f>IFERROR(INDEX(SORT(FILTER({Master!A$4:A$174,Master!B$4:B$174,Master!AF$4:AF$174,Master!W$4:W$174,Master!K$4:K$174,Master!H$4:H$174,Master!BN$4:BN$174},Master!J$4:J$174="Qualified",Master!D$4:D$174="Equity",Master!AF$4:AF$174&lt;&gt;""),3,FALSE),1,2),"")</f>
        <v/>
      </c>
      <c r="C52" s="75">
        <f>IFERROR(INDEX(SORT(FILTER({Master!A$4:A$174,Master!B$4:B$174,Master!AF$4:AF$174,Master!W$4:W$174,Master!K$4:K$174,Master!H$4:H$174,Master!BN$4:BN$174},Master!J$4:J$174="Qualified",Master!D$4:D$174="Equity",Master!AF$4:AF$174&lt;&gt;""),3,FALSE),1,3),"")</f>
        <v/>
      </c>
      <c r="D52" s="75">
        <f>IFERROR(INDEX(SORT(FILTER({Master!A$4:A$174,Master!B$4:B$174,Master!AF$4:AF$174,Master!W$4:W$174,Master!K$4:K$174,Master!H$4:H$174,Master!BN$4:BN$174},Master!J$4:J$174="Qualified",Master!D$4:D$174="Equity",Master!AF$4:AF$174&lt;&gt;""),3,FALSE),1,4),"")</f>
        <v/>
      </c>
      <c r="E52" s="76">
        <f>IFERROR(INDEX(SORT(FILTER({Master!A$4:A$174,Master!B$4:B$174,Master!AF$4:AF$174,Master!W$4:W$174,Master!K$4:K$174,Master!H$4:H$174,Master!BN$4:BN$174},Master!J$4:J$174="Qualified",Master!D$4:D$174="Equity",Master!AF$4:AF$174&lt;&gt;""),3,FALSE),1,5),"")</f>
        <v/>
      </c>
      <c r="F52" s="77">
        <f>IFERROR(INDEX(SORT(FILTER({Master!A$4:A$174,Master!B$4:B$174,Master!AF$4:AF$174,Master!W$4:W$174,Master!K$4:K$174,Master!H$4:H$174,Master!BN$4:BN$174},Master!J$4:J$174="Qualified",Master!D$4:D$174="Equity",Master!AF$4:AF$174&lt;&gt;""),3,FALSE),1,6),"")</f>
        <v/>
      </c>
      <c r="G52" s="78">
        <f>IFERROR(INDEX(SORT(FILTER({Master!A$4:A$174,Master!B$4:B$174,Master!AF$4:AF$174,Master!W$4:W$174,Master!K$4:K$174,Master!H$4:H$174,Master!BN$4:BN$174},Master!J$4:J$174="Qualified",Master!D$4:D$174="Equity",Master!AF$4:AF$174&lt;&gt;""),3,FALSE),1,7),"")</f>
        <v/>
      </c>
      <c r="H52" s="78" t="inlineStr"/>
    </row>
    <row r="53" ht="16" customHeight="1">
      <c r="A53" s="58">
        <f>IFERROR(INDEX(SORT(FILTER({Master!A$4:A$174,Master!B$4:B$174,Master!AF$4:AF$174,Master!W$4:W$174,Master!K$4:K$174,Master!H$4:H$174,Master!BN$4:BN$174},Master!J$4:J$174="Qualified",Master!D$4:D$174="Equity",Master!AF$4:AF$174&lt;&gt;""),3,FALSE),2,1),"")</f>
        <v/>
      </c>
      <c r="B53" s="58">
        <f>IFERROR(INDEX(SORT(FILTER({Master!A$4:A$174,Master!B$4:B$174,Master!AF$4:AF$174,Master!W$4:W$174,Master!K$4:K$174,Master!H$4:H$174,Master!BN$4:BN$174},Master!J$4:J$174="Qualified",Master!D$4:D$174="Equity",Master!AF$4:AF$174&lt;&gt;""),3,FALSE),2,2),"")</f>
        <v/>
      </c>
      <c r="C53" s="74">
        <f>IFERROR(INDEX(SORT(FILTER({Master!A$4:A$174,Master!B$4:B$174,Master!AF$4:AF$174,Master!W$4:W$174,Master!K$4:K$174,Master!H$4:H$174,Master!BN$4:BN$174},Master!J$4:J$174="Qualified",Master!D$4:D$174="Equity",Master!AF$4:AF$174&lt;&gt;""),3,FALSE),2,3),"")</f>
        <v/>
      </c>
      <c r="D53" s="74">
        <f>IFERROR(INDEX(SORT(FILTER({Master!A$4:A$174,Master!B$4:B$174,Master!AF$4:AF$174,Master!W$4:W$174,Master!K$4:K$174,Master!H$4:H$174,Master!BN$4:BN$174},Master!J$4:J$174="Qualified",Master!D$4:D$174="Equity",Master!AF$4:AF$174&lt;&gt;""),3,FALSE),2,4),"")</f>
        <v/>
      </c>
      <c r="E53" s="79">
        <f>IFERROR(INDEX(SORT(FILTER({Master!A$4:A$174,Master!B$4:B$174,Master!AF$4:AF$174,Master!W$4:W$174,Master!K$4:K$174,Master!H$4:H$174,Master!BN$4:BN$174},Master!J$4:J$174="Qualified",Master!D$4:D$174="Equity",Master!AF$4:AF$174&lt;&gt;""),3,FALSE),2,5),"")</f>
        <v/>
      </c>
      <c r="F53" s="80">
        <f>IFERROR(INDEX(SORT(FILTER({Master!A$4:A$174,Master!B$4:B$174,Master!AF$4:AF$174,Master!W$4:W$174,Master!K$4:K$174,Master!H$4:H$174,Master!BN$4:BN$174},Master!J$4:J$174="Qualified",Master!D$4:D$174="Equity",Master!AF$4:AF$174&lt;&gt;""),3,FALSE),2,6),"")</f>
        <v/>
      </c>
      <c r="G53" s="81">
        <f>IFERROR(INDEX(SORT(FILTER({Master!A$4:A$174,Master!B$4:B$174,Master!AF$4:AF$174,Master!W$4:W$174,Master!K$4:K$174,Master!H$4:H$174,Master!BN$4:BN$174},Master!J$4:J$174="Qualified",Master!D$4:D$174="Equity",Master!AF$4:AF$174&lt;&gt;""),3,FALSE),2,7),"")</f>
        <v/>
      </c>
      <c r="H53" s="81" t="inlineStr"/>
    </row>
    <row r="54" ht="16" customHeight="1">
      <c r="A54" s="59">
        <f>IFERROR(INDEX(SORT(FILTER({Master!A$4:A$174,Master!B$4:B$174,Master!AF$4:AF$174,Master!W$4:W$174,Master!K$4:K$174,Master!H$4:H$174,Master!BN$4:BN$174},Master!J$4:J$174="Qualified",Master!D$4:D$174="Equity",Master!AF$4:AF$174&lt;&gt;""),3,FALSE),3,1),"")</f>
        <v/>
      </c>
      <c r="B54" s="59">
        <f>IFERROR(INDEX(SORT(FILTER({Master!A$4:A$174,Master!B$4:B$174,Master!AF$4:AF$174,Master!W$4:W$174,Master!K$4:K$174,Master!H$4:H$174,Master!BN$4:BN$174},Master!J$4:J$174="Qualified",Master!D$4:D$174="Equity",Master!AF$4:AF$174&lt;&gt;""),3,FALSE),3,2),"")</f>
        <v/>
      </c>
      <c r="C54" s="75">
        <f>IFERROR(INDEX(SORT(FILTER({Master!A$4:A$174,Master!B$4:B$174,Master!AF$4:AF$174,Master!W$4:W$174,Master!K$4:K$174,Master!H$4:H$174,Master!BN$4:BN$174},Master!J$4:J$174="Qualified",Master!D$4:D$174="Equity",Master!AF$4:AF$174&lt;&gt;""),3,FALSE),3,3),"")</f>
        <v/>
      </c>
      <c r="D54" s="75">
        <f>IFERROR(INDEX(SORT(FILTER({Master!A$4:A$174,Master!B$4:B$174,Master!AF$4:AF$174,Master!W$4:W$174,Master!K$4:K$174,Master!H$4:H$174,Master!BN$4:BN$174},Master!J$4:J$174="Qualified",Master!D$4:D$174="Equity",Master!AF$4:AF$174&lt;&gt;""),3,FALSE),3,4),"")</f>
        <v/>
      </c>
      <c r="E54" s="76">
        <f>IFERROR(INDEX(SORT(FILTER({Master!A$4:A$174,Master!B$4:B$174,Master!AF$4:AF$174,Master!W$4:W$174,Master!K$4:K$174,Master!H$4:H$174,Master!BN$4:BN$174},Master!J$4:J$174="Qualified",Master!D$4:D$174="Equity",Master!AF$4:AF$174&lt;&gt;""),3,FALSE),3,5),"")</f>
        <v/>
      </c>
      <c r="F54" s="77">
        <f>IFERROR(INDEX(SORT(FILTER({Master!A$4:A$174,Master!B$4:B$174,Master!AF$4:AF$174,Master!W$4:W$174,Master!K$4:K$174,Master!H$4:H$174,Master!BN$4:BN$174},Master!J$4:J$174="Qualified",Master!D$4:D$174="Equity",Master!AF$4:AF$174&lt;&gt;""),3,FALSE),3,6),"")</f>
        <v/>
      </c>
      <c r="G54" s="78">
        <f>IFERROR(INDEX(SORT(FILTER({Master!A$4:A$174,Master!B$4:B$174,Master!AF$4:AF$174,Master!W$4:W$174,Master!K$4:K$174,Master!H$4:H$174,Master!BN$4:BN$174},Master!J$4:J$174="Qualified",Master!D$4:D$174="Equity",Master!AF$4:AF$174&lt;&gt;""),3,FALSE),3,7),"")</f>
        <v/>
      </c>
      <c r="H54" s="78" t="inlineStr"/>
    </row>
    <row r="55" ht="16" customHeight="1">
      <c r="A55" s="58">
        <f>IFERROR(INDEX(SORT(FILTER({Master!A$4:A$174,Master!B$4:B$174,Master!AF$4:AF$174,Master!W$4:W$174,Master!K$4:K$174,Master!H$4:H$174,Master!BN$4:BN$174},Master!J$4:J$174="Qualified",Master!D$4:D$174="Equity",Master!AF$4:AF$174&lt;&gt;""),3,FALSE),4,1),"")</f>
        <v/>
      </c>
      <c r="B55" s="58">
        <f>IFERROR(INDEX(SORT(FILTER({Master!A$4:A$174,Master!B$4:B$174,Master!AF$4:AF$174,Master!W$4:W$174,Master!K$4:K$174,Master!H$4:H$174,Master!BN$4:BN$174},Master!J$4:J$174="Qualified",Master!D$4:D$174="Equity",Master!AF$4:AF$174&lt;&gt;""),3,FALSE),4,2),"")</f>
        <v/>
      </c>
      <c r="C55" s="74">
        <f>IFERROR(INDEX(SORT(FILTER({Master!A$4:A$174,Master!B$4:B$174,Master!AF$4:AF$174,Master!W$4:W$174,Master!K$4:K$174,Master!H$4:H$174,Master!BN$4:BN$174},Master!J$4:J$174="Qualified",Master!D$4:D$174="Equity",Master!AF$4:AF$174&lt;&gt;""),3,FALSE),4,3),"")</f>
        <v/>
      </c>
      <c r="D55" s="74">
        <f>IFERROR(INDEX(SORT(FILTER({Master!A$4:A$174,Master!B$4:B$174,Master!AF$4:AF$174,Master!W$4:W$174,Master!K$4:K$174,Master!H$4:H$174,Master!BN$4:BN$174},Master!J$4:J$174="Qualified",Master!D$4:D$174="Equity",Master!AF$4:AF$174&lt;&gt;""),3,FALSE),4,4),"")</f>
        <v/>
      </c>
      <c r="E55" s="79">
        <f>IFERROR(INDEX(SORT(FILTER({Master!A$4:A$174,Master!B$4:B$174,Master!AF$4:AF$174,Master!W$4:W$174,Master!K$4:K$174,Master!H$4:H$174,Master!BN$4:BN$174},Master!J$4:J$174="Qualified",Master!D$4:D$174="Equity",Master!AF$4:AF$174&lt;&gt;""),3,FALSE),4,5),"")</f>
        <v/>
      </c>
      <c r="F55" s="80">
        <f>IFERROR(INDEX(SORT(FILTER({Master!A$4:A$174,Master!B$4:B$174,Master!AF$4:AF$174,Master!W$4:W$174,Master!K$4:K$174,Master!H$4:H$174,Master!BN$4:BN$174},Master!J$4:J$174="Qualified",Master!D$4:D$174="Equity",Master!AF$4:AF$174&lt;&gt;""),3,FALSE),4,6),"")</f>
        <v/>
      </c>
      <c r="G55" s="81">
        <f>IFERROR(INDEX(SORT(FILTER({Master!A$4:A$174,Master!B$4:B$174,Master!AF$4:AF$174,Master!W$4:W$174,Master!K$4:K$174,Master!H$4:H$174,Master!BN$4:BN$174},Master!J$4:J$174="Qualified",Master!D$4:D$174="Equity",Master!AF$4:AF$174&lt;&gt;""),3,FALSE),4,7),"")</f>
        <v/>
      </c>
      <c r="H55" s="81" t="inlineStr"/>
    </row>
    <row r="56" ht="16" customHeight="1">
      <c r="A56" s="59">
        <f>IFERROR(INDEX(SORT(FILTER({Master!A$4:A$174,Master!B$4:B$174,Master!AF$4:AF$174,Master!W$4:W$174,Master!K$4:K$174,Master!H$4:H$174,Master!BN$4:BN$174},Master!J$4:J$174="Qualified",Master!D$4:D$174="Equity",Master!AF$4:AF$174&lt;&gt;""),3,FALSE),5,1),"")</f>
        <v/>
      </c>
      <c r="B56" s="59">
        <f>IFERROR(INDEX(SORT(FILTER({Master!A$4:A$174,Master!B$4:B$174,Master!AF$4:AF$174,Master!W$4:W$174,Master!K$4:K$174,Master!H$4:H$174,Master!BN$4:BN$174},Master!J$4:J$174="Qualified",Master!D$4:D$174="Equity",Master!AF$4:AF$174&lt;&gt;""),3,FALSE),5,2),"")</f>
        <v/>
      </c>
      <c r="C56" s="75">
        <f>IFERROR(INDEX(SORT(FILTER({Master!A$4:A$174,Master!B$4:B$174,Master!AF$4:AF$174,Master!W$4:W$174,Master!K$4:K$174,Master!H$4:H$174,Master!BN$4:BN$174},Master!J$4:J$174="Qualified",Master!D$4:D$174="Equity",Master!AF$4:AF$174&lt;&gt;""),3,FALSE),5,3),"")</f>
        <v/>
      </c>
      <c r="D56" s="75">
        <f>IFERROR(INDEX(SORT(FILTER({Master!A$4:A$174,Master!B$4:B$174,Master!AF$4:AF$174,Master!W$4:W$174,Master!K$4:K$174,Master!H$4:H$174,Master!BN$4:BN$174},Master!J$4:J$174="Qualified",Master!D$4:D$174="Equity",Master!AF$4:AF$174&lt;&gt;""),3,FALSE),5,4),"")</f>
        <v/>
      </c>
      <c r="E56" s="76">
        <f>IFERROR(INDEX(SORT(FILTER({Master!A$4:A$174,Master!B$4:B$174,Master!AF$4:AF$174,Master!W$4:W$174,Master!K$4:K$174,Master!H$4:H$174,Master!BN$4:BN$174},Master!J$4:J$174="Qualified",Master!D$4:D$174="Equity",Master!AF$4:AF$174&lt;&gt;""),3,FALSE),5,5),"")</f>
        <v/>
      </c>
      <c r="F56" s="77">
        <f>IFERROR(INDEX(SORT(FILTER({Master!A$4:A$174,Master!B$4:B$174,Master!AF$4:AF$174,Master!W$4:W$174,Master!K$4:K$174,Master!H$4:H$174,Master!BN$4:BN$174},Master!J$4:J$174="Qualified",Master!D$4:D$174="Equity",Master!AF$4:AF$174&lt;&gt;""),3,FALSE),5,6),"")</f>
        <v/>
      </c>
      <c r="G56" s="78">
        <f>IFERROR(INDEX(SORT(FILTER({Master!A$4:A$174,Master!B$4:B$174,Master!AF$4:AF$174,Master!W$4:W$174,Master!K$4:K$174,Master!H$4:H$174,Master!BN$4:BN$174},Master!J$4:J$174="Qualified",Master!D$4:D$174="Equity",Master!AF$4:AF$174&lt;&gt;""),3,FALSE),5,7),"")</f>
        <v/>
      </c>
      <c r="H56" s="78" t="inlineStr"/>
    </row>
    <row r="58" ht="26" customHeight="1">
      <c r="A58" s="71" t="inlineStr">
        <is>
          <t>EQUITY — TOP 5 BY AUM</t>
        </is>
      </c>
      <c r="B58" s="13" t="n"/>
      <c r="C58" s="13" t="n"/>
      <c r="D58" s="13" t="n"/>
      <c r="E58" s="13" t="n"/>
      <c r="F58" s="13" t="n"/>
      <c r="G58" s="13" t="n"/>
      <c r="H58" s="13" t="n"/>
    </row>
    <row r="59" ht="28" customHeight="1">
      <c r="A59" s="72" t="inlineStr">
        <is>
          <t>Fund Name</t>
        </is>
      </c>
      <c r="B59" s="72" t="inlineStr">
        <is>
          <t>Abbr</t>
        </is>
      </c>
      <c r="C59" s="72" t="inlineStr">
        <is>
          <t>AUM (RM M)</t>
        </is>
      </c>
      <c r="D59" s="72" t="inlineStr">
        <is>
          <t>3Y Fund (%)</t>
        </is>
      </c>
      <c r="E59" s="72" t="inlineStr">
        <is>
          <t>3Y Alpha (%)</t>
        </is>
      </c>
      <c r="F59" s="72" t="inlineStr">
        <is>
          <t>Beat (%)</t>
        </is>
      </c>
      <c r="G59" s="72" t="inlineStr">
        <is>
          <t>VC</t>
        </is>
      </c>
      <c r="H59" s="72" t="inlineStr"/>
    </row>
    <row r="60" ht="16" customHeight="1">
      <c r="A60" s="59">
        <f>IFERROR(INDEX(SORT(FILTER({Master!A$4:A$174,Master!B$4:B$174,Master!H$4:H$174,Master!U$4:U$174,Master!W$4:W$174,Master!K$4:K$174,Master!BN$4:BN$174},Master!J$4:J$174="Qualified",Master!D$4:D$174="Equity",Master!H$4:H$174&lt;&gt;""),3,FALSE),1,1),"")</f>
        <v/>
      </c>
      <c r="B60" s="59">
        <f>IFERROR(INDEX(SORT(FILTER({Master!A$4:A$174,Master!B$4:B$174,Master!H$4:H$174,Master!U$4:U$174,Master!W$4:W$174,Master!K$4:K$174,Master!BN$4:BN$174},Master!J$4:J$174="Qualified",Master!D$4:D$174="Equity",Master!H$4:H$174&lt;&gt;""),3,FALSE),1,2),"")</f>
        <v/>
      </c>
      <c r="C60" s="77">
        <f>IFERROR(INDEX(SORT(FILTER({Master!A$4:A$174,Master!B$4:B$174,Master!H$4:H$174,Master!U$4:U$174,Master!W$4:W$174,Master!K$4:K$174,Master!BN$4:BN$174},Master!J$4:J$174="Qualified",Master!D$4:D$174="Equity",Master!H$4:H$174&lt;&gt;""),3,FALSE),1,3),"")</f>
        <v/>
      </c>
      <c r="D60" s="75">
        <f>IFERROR(INDEX(SORT(FILTER({Master!A$4:A$174,Master!B$4:B$174,Master!H$4:H$174,Master!U$4:U$174,Master!W$4:W$174,Master!K$4:K$174,Master!BN$4:BN$174},Master!J$4:J$174="Qualified",Master!D$4:D$174="Equity",Master!H$4:H$174&lt;&gt;""),3,FALSE),1,4),"")</f>
        <v/>
      </c>
      <c r="E60" s="75">
        <f>IFERROR(INDEX(SORT(FILTER({Master!A$4:A$174,Master!B$4:B$174,Master!H$4:H$174,Master!U$4:U$174,Master!W$4:W$174,Master!K$4:K$174,Master!BN$4:BN$174},Master!J$4:J$174="Qualified",Master!D$4:D$174="Equity",Master!H$4:H$174&lt;&gt;""),3,FALSE),1,5),"")</f>
        <v/>
      </c>
      <c r="F60" s="76">
        <f>IFERROR(INDEX(SORT(FILTER({Master!A$4:A$174,Master!B$4:B$174,Master!H$4:H$174,Master!U$4:U$174,Master!W$4:W$174,Master!K$4:K$174,Master!BN$4:BN$174},Master!J$4:J$174="Qualified",Master!D$4:D$174="Equity",Master!H$4:H$174&lt;&gt;""),3,FALSE),1,6),"")</f>
        <v/>
      </c>
      <c r="G60" s="78">
        <f>IFERROR(INDEX(SORT(FILTER({Master!A$4:A$174,Master!B$4:B$174,Master!H$4:H$174,Master!U$4:U$174,Master!W$4:W$174,Master!K$4:K$174,Master!BN$4:BN$174},Master!J$4:J$174="Qualified",Master!D$4:D$174="Equity",Master!H$4:H$174&lt;&gt;""),3,FALSE),1,7),"")</f>
        <v/>
      </c>
      <c r="H60" s="78" t="inlineStr"/>
    </row>
    <row r="61" ht="16" customHeight="1">
      <c r="A61" s="58">
        <f>IFERROR(INDEX(SORT(FILTER({Master!A$4:A$174,Master!B$4:B$174,Master!H$4:H$174,Master!U$4:U$174,Master!W$4:W$174,Master!K$4:K$174,Master!BN$4:BN$174},Master!J$4:J$174="Qualified",Master!D$4:D$174="Equity",Master!H$4:H$174&lt;&gt;""),3,FALSE),2,1),"")</f>
        <v/>
      </c>
      <c r="B61" s="58">
        <f>IFERROR(INDEX(SORT(FILTER({Master!A$4:A$174,Master!B$4:B$174,Master!H$4:H$174,Master!U$4:U$174,Master!W$4:W$174,Master!K$4:K$174,Master!BN$4:BN$174},Master!J$4:J$174="Qualified",Master!D$4:D$174="Equity",Master!H$4:H$174&lt;&gt;""),3,FALSE),2,2),"")</f>
        <v/>
      </c>
      <c r="C61" s="80">
        <f>IFERROR(INDEX(SORT(FILTER({Master!A$4:A$174,Master!B$4:B$174,Master!H$4:H$174,Master!U$4:U$174,Master!W$4:W$174,Master!K$4:K$174,Master!BN$4:BN$174},Master!J$4:J$174="Qualified",Master!D$4:D$174="Equity",Master!H$4:H$174&lt;&gt;""),3,FALSE),2,3),"")</f>
        <v/>
      </c>
      <c r="D61" s="74">
        <f>IFERROR(INDEX(SORT(FILTER({Master!A$4:A$174,Master!B$4:B$174,Master!H$4:H$174,Master!U$4:U$174,Master!W$4:W$174,Master!K$4:K$174,Master!BN$4:BN$174},Master!J$4:J$174="Qualified",Master!D$4:D$174="Equity",Master!H$4:H$174&lt;&gt;""),3,FALSE),2,4),"")</f>
        <v/>
      </c>
      <c r="E61" s="74">
        <f>IFERROR(INDEX(SORT(FILTER({Master!A$4:A$174,Master!B$4:B$174,Master!H$4:H$174,Master!U$4:U$174,Master!W$4:W$174,Master!K$4:K$174,Master!BN$4:BN$174},Master!J$4:J$174="Qualified",Master!D$4:D$174="Equity",Master!H$4:H$174&lt;&gt;""),3,FALSE),2,5),"")</f>
        <v/>
      </c>
      <c r="F61" s="79">
        <f>IFERROR(INDEX(SORT(FILTER({Master!A$4:A$174,Master!B$4:B$174,Master!H$4:H$174,Master!U$4:U$174,Master!W$4:W$174,Master!K$4:K$174,Master!BN$4:BN$174},Master!J$4:J$174="Qualified",Master!D$4:D$174="Equity",Master!H$4:H$174&lt;&gt;""),3,FALSE),2,6),"")</f>
        <v/>
      </c>
      <c r="G61" s="81">
        <f>IFERROR(INDEX(SORT(FILTER({Master!A$4:A$174,Master!B$4:B$174,Master!H$4:H$174,Master!U$4:U$174,Master!W$4:W$174,Master!K$4:K$174,Master!BN$4:BN$174},Master!J$4:J$174="Qualified",Master!D$4:D$174="Equity",Master!H$4:H$174&lt;&gt;""),3,FALSE),2,7),"")</f>
        <v/>
      </c>
      <c r="H61" s="81" t="inlineStr"/>
    </row>
    <row r="62" ht="16" customHeight="1">
      <c r="A62" s="59">
        <f>IFERROR(INDEX(SORT(FILTER({Master!A$4:A$174,Master!B$4:B$174,Master!H$4:H$174,Master!U$4:U$174,Master!W$4:W$174,Master!K$4:K$174,Master!BN$4:BN$174},Master!J$4:J$174="Qualified",Master!D$4:D$174="Equity",Master!H$4:H$174&lt;&gt;""),3,FALSE),3,1),"")</f>
        <v/>
      </c>
      <c r="B62" s="59">
        <f>IFERROR(INDEX(SORT(FILTER({Master!A$4:A$174,Master!B$4:B$174,Master!H$4:H$174,Master!U$4:U$174,Master!W$4:W$174,Master!K$4:K$174,Master!BN$4:BN$174},Master!J$4:J$174="Qualified",Master!D$4:D$174="Equity",Master!H$4:H$174&lt;&gt;""),3,FALSE),3,2),"")</f>
        <v/>
      </c>
      <c r="C62" s="77">
        <f>IFERROR(INDEX(SORT(FILTER({Master!A$4:A$174,Master!B$4:B$174,Master!H$4:H$174,Master!U$4:U$174,Master!W$4:W$174,Master!K$4:K$174,Master!BN$4:BN$174},Master!J$4:J$174="Qualified",Master!D$4:D$174="Equity",Master!H$4:H$174&lt;&gt;""),3,FALSE),3,3),"")</f>
        <v/>
      </c>
      <c r="D62" s="75">
        <f>IFERROR(INDEX(SORT(FILTER({Master!A$4:A$174,Master!B$4:B$174,Master!H$4:H$174,Master!U$4:U$174,Master!W$4:W$174,Master!K$4:K$174,Master!BN$4:BN$174},Master!J$4:J$174="Qualified",Master!D$4:D$174="Equity",Master!H$4:H$174&lt;&gt;""),3,FALSE),3,4),"")</f>
        <v/>
      </c>
      <c r="E62" s="75">
        <f>IFERROR(INDEX(SORT(FILTER({Master!A$4:A$174,Master!B$4:B$174,Master!H$4:H$174,Master!U$4:U$174,Master!W$4:W$174,Master!K$4:K$174,Master!BN$4:BN$174},Master!J$4:J$174="Qualified",Master!D$4:D$174="Equity",Master!H$4:H$174&lt;&gt;""),3,FALSE),3,5),"")</f>
        <v/>
      </c>
      <c r="F62" s="76">
        <f>IFERROR(INDEX(SORT(FILTER({Master!A$4:A$174,Master!B$4:B$174,Master!H$4:H$174,Master!U$4:U$174,Master!W$4:W$174,Master!K$4:K$174,Master!BN$4:BN$174},Master!J$4:J$174="Qualified",Master!D$4:D$174="Equity",Master!H$4:H$174&lt;&gt;""),3,FALSE),3,6),"")</f>
        <v/>
      </c>
      <c r="G62" s="78">
        <f>IFERROR(INDEX(SORT(FILTER({Master!A$4:A$174,Master!B$4:B$174,Master!H$4:H$174,Master!U$4:U$174,Master!W$4:W$174,Master!K$4:K$174,Master!BN$4:BN$174},Master!J$4:J$174="Qualified",Master!D$4:D$174="Equity",Master!H$4:H$174&lt;&gt;""),3,FALSE),3,7),"")</f>
        <v/>
      </c>
      <c r="H62" s="78" t="inlineStr"/>
    </row>
    <row r="63" ht="16" customHeight="1">
      <c r="A63" s="58">
        <f>IFERROR(INDEX(SORT(FILTER({Master!A$4:A$174,Master!B$4:B$174,Master!H$4:H$174,Master!U$4:U$174,Master!W$4:W$174,Master!K$4:K$174,Master!BN$4:BN$174},Master!J$4:J$174="Qualified",Master!D$4:D$174="Equity",Master!H$4:H$174&lt;&gt;""),3,FALSE),4,1),"")</f>
        <v/>
      </c>
      <c r="B63" s="58">
        <f>IFERROR(INDEX(SORT(FILTER({Master!A$4:A$174,Master!B$4:B$174,Master!H$4:H$174,Master!U$4:U$174,Master!W$4:W$174,Master!K$4:K$174,Master!BN$4:BN$174},Master!J$4:J$174="Qualified",Master!D$4:D$174="Equity",Master!H$4:H$174&lt;&gt;""),3,FALSE),4,2),"")</f>
        <v/>
      </c>
      <c r="C63" s="80">
        <f>IFERROR(INDEX(SORT(FILTER({Master!A$4:A$174,Master!B$4:B$174,Master!H$4:H$174,Master!U$4:U$174,Master!W$4:W$174,Master!K$4:K$174,Master!BN$4:BN$174},Master!J$4:J$174="Qualified",Master!D$4:D$174="Equity",Master!H$4:H$174&lt;&gt;""),3,FALSE),4,3),"")</f>
        <v/>
      </c>
      <c r="D63" s="74">
        <f>IFERROR(INDEX(SORT(FILTER({Master!A$4:A$174,Master!B$4:B$174,Master!H$4:H$174,Master!U$4:U$174,Master!W$4:W$174,Master!K$4:K$174,Master!BN$4:BN$174},Master!J$4:J$174="Qualified",Master!D$4:D$174="Equity",Master!H$4:H$174&lt;&gt;""),3,FALSE),4,4),"")</f>
        <v/>
      </c>
      <c r="E63" s="74">
        <f>IFERROR(INDEX(SORT(FILTER({Master!A$4:A$174,Master!B$4:B$174,Master!H$4:H$174,Master!U$4:U$174,Master!W$4:W$174,Master!K$4:K$174,Master!BN$4:BN$174},Master!J$4:J$174="Qualified",Master!D$4:D$174="Equity",Master!H$4:H$174&lt;&gt;""),3,FALSE),4,5),"")</f>
        <v/>
      </c>
      <c r="F63" s="79">
        <f>IFERROR(INDEX(SORT(FILTER({Master!A$4:A$174,Master!B$4:B$174,Master!H$4:H$174,Master!U$4:U$174,Master!W$4:W$174,Master!K$4:K$174,Master!BN$4:BN$174},Master!J$4:J$174="Qualified",Master!D$4:D$174="Equity",Master!H$4:H$174&lt;&gt;""),3,FALSE),4,6),"")</f>
        <v/>
      </c>
      <c r="G63" s="81">
        <f>IFERROR(INDEX(SORT(FILTER({Master!A$4:A$174,Master!B$4:B$174,Master!H$4:H$174,Master!U$4:U$174,Master!W$4:W$174,Master!K$4:K$174,Master!BN$4:BN$174},Master!J$4:J$174="Qualified",Master!D$4:D$174="Equity",Master!H$4:H$174&lt;&gt;""),3,FALSE),4,7),"")</f>
        <v/>
      </c>
      <c r="H63" s="81" t="inlineStr"/>
    </row>
    <row r="64" ht="16" customHeight="1">
      <c r="A64" s="59">
        <f>IFERROR(INDEX(SORT(FILTER({Master!A$4:A$174,Master!B$4:B$174,Master!H$4:H$174,Master!U$4:U$174,Master!W$4:W$174,Master!K$4:K$174,Master!BN$4:BN$174},Master!J$4:J$174="Qualified",Master!D$4:D$174="Equity",Master!H$4:H$174&lt;&gt;""),3,FALSE),5,1),"")</f>
        <v/>
      </c>
      <c r="B64" s="59">
        <f>IFERROR(INDEX(SORT(FILTER({Master!A$4:A$174,Master!B$4:B$174,Master!H$4:H$174,Master!U$4:U$174,Master!W$4:W$174,Master!K$4:K$174,Master!BN$4:BN$174},Master!J$4:J$174="Qualified",Master!D$4:D$174="Equity",Master!H$4:H$174&lt;&gt;""),3,FALSE),5,2),"")</f>
        <v/>
      </c>
      <c r="C64" s="77">
        <f>IFERROR(INDEX(SORT(FILTER({Master!A$4:A$174,Master!B$4:B$174,Master!H$4:H$174,Master!U$4:U$174,Master!W$4:W$174,Master!K$4:K$174,Master!BN$4:BN$174},Master!J$4:J$174="Qualified",Master!D$4:D$174="Equity",Master!H$4:H$174&lt;&gt;""),3,FALSE),5,3),"")</f>
        <v/>
      </c>
      <c r="D64" s="75">
        <f>IFERROR(INDEX(SORT(FILTER({Master!A$4:A$174,Master!B$4:B$174,Master!H$4:H$174,Master!U$4:U$174,Master!W$4:W$174,Master!K$4:K$174,Master!BN$4:BN$174},Master!J$4:J$174="Qualified",Master!D$4:D$174="Equity",Master!H$4:H$174&lt;&gt;""),3,FALSE),5,4),"")</f>
        <v/>
      </c>
      <c r="E64" s="75">
        <f>IFERROR(INDEX(SORT(FILTER({Master!A$4:A$174,Master!B$4:B$174,Master!H$4:H$174,Master!U$4:U$174,Master!W$4:W$174,Master!K$4:K$174,Master!BN$4:BN$174},Master!J$4:J$174="Qualified",Master!D$4:D$174="Equity",Master!H$4:H$174&lt;&gt;""),3,FALSE),5,5),"")</f>
        <v/>
      </c>
      <c r="F64" s="76">
        <f>IFERROR(INDEX(SORT(FILTER({Master!A$4:A$174,Master!B$4:B$174,Master!H$4:H$174,Master!U$4:U$174,Master!W$4:W$174,Master!K$4:K$174,Master!BN$4:BN$174},Master!J$4:J$174="Qualified",Master!D$4:D$174="Equity",Master!H$4:H$174&lt;&gt;""),3,FALSE),5,6),"")</f>
        <v/>
      </c>
      <c r="G64" s="78">
        <f>IFERROR(INDEX(SORT(FILTER({Master!A$4:A$174,Master!B$4:B$174,Master!H$4:H$174,Master!U$4:U$174,Master!W$4:W$174,Master!K$4:K$174,Master!BN$4:BN$174},Master!J$4:J$174="Qualified",Master!D$4:D$174="Equity",Master!H$4:H$174&lt;&gt;""),3,FALSE),5,7),"")</f>
        <v/>
      </c>
      <c r="H64" s="78" t="inlineStr"/>
    </row>
    <row r="66" ht="26" customHeight="1">
      <c r="A66" s="82" t="inlineStr">
        <is>
          <t>BALANCED / MIXED ASSET — MEDIAN STATISTICS</t>
        </is>
      </c>
      <c r="B66" s="11" t="n"/>
      <c r="C66" s="11" t="n"/>
      <c r="D66" s="11" t="n"/>
      <c r="E66" s="11" t="n"/>
      <c r="F66" s="11" t="n"/>
      <c r="G66" s="11" t="n"/>
      <c r="H66" s="11" t="n"/>
    </row>
    <row r="67" ht="28" customHeight="1">
      <c r="A67" s="83" t="inlineStr">
        <is>
          <t>Metric</t>
        </is>
      </c>
      <c r="B67" s="83" t="inlineStr">
        <is>
          <t>YTD (%)</t>
        </is>
      </c>
      <c r="C67" s="83" t="inlineStr">
        <is>
          <t>1Y (%)</t>
        </is>
      </c>
      <c r="D67" s="83" t="inlineStr">
        <is>
          <t>3Y Ann. (%)</t>
        </is>
      </c>
      <c r="E67" s="83" t="inlineStr">
        <is>
          <t>5Y Ann. (%)</t>
        </is>
      </c>
      <c r="F67" s="83" t="inlineStr">
        <is>
          <t>10Y Ann. (%)</t>
        </is>
      </c>
      <c r="G67" s="83" t="inlineStr">
        <is>
          <t>3Y Alpha (%)</t>
        </is>
      </c>
      <c r="H67" s="83" t="inlineStr">
        <is>
          <t>Beat (%)</t>
        </is>
      </c>
    </row>
    <row r="68" ht="16" customHeight="1">
      <c r="A68" s="63" t="inlineStr">
        <is>
          <t>Median</t>
        </is>
      </c>
      <c r="B68" s="73">
        <f>IFERROR(MEDIAN(FILTER(Master!O$4:O$174,(Master!J$4:J$174="Qualified")*(Master!D$4:D$174="Mixed Asset / Balanced"))),"")</f>
        <v/>
      </c>
      <c r="C68" s="74">
        <f>IFERROR(MEDIAN(FILTER(Master!R$4:R$174,(Master!J$4:J$174="Qualified")*(Master!D$4:D$174="Mixed Asset / Balanced"))),"")</f>
        <v/>
      </c>
      <c r="D68" s="74">
        <f>IFERROR(MEDIAN(FILTER(Master!U$4:U$174,(Master!J$4:J$174="Qualified")*(Master!D$4:D$174="Mixed Asset / Balanced"))),"")</f>
        <v/>
      </c>
      <c r="E68" s="74">
        <f>IFERROR(MEDIAN(FILTER(Master!X$4:X$174,(Master!J$4:J$174="Qualified")*(Master!D$4:D$174="Mixed Asset / Balanced"))),"")</f>
        <v/>
      </c>
      <c r="F68" s="74">
        <f>IFERROR(MEDIAN(FILTER(Master!AA$4:AA$174,(Master!J$4:J$174="Qualified")*(Master!D$4:D$174="Mixed Asset / Balanced"))),"")</f>
        <v/>
      </c>
      <c r="G68" s="74">
        <f>IFERROR(MEDIAN(FILTER(Master!W$4:W$174,(Master!J$4:J$174="Qualified")*(Master!D$4:D$174="Mixed Asset / Balanced"))),"")</f>
        <v/>
      </c>
      <c r="H68" s="74">
        <f>IFERROR(MEDIAN(FILTER(Master!K$4:K$174,(Master!J$4:J$174="Qualified")*(Master!D$4:D$174="Mixed Asset / Balanced"))),"")</f>
        <v/>
      </c>
    </row>
    <row r="70" ht="26" customHeight="1">
      <c r="A70" s="82" t="inlineStr">
        <is>
          <t>BALANCED / MIXED ASSET — TOP 5 BY 3Y ANN. FUND RETURN</t>
        </is>
      </c>
      <c r="B70" s="11" t="n"/>
      <c r="C70" s="11" t="n"/>
      <c r="D70" s="11" t="n"/>
      <c r="E70" s="11" t="n"/>
      <c r="F70" s="11" t="n"/>
      <c r="G70" s="11" t="n"/>
      <c r="H70" s="11" t="n"/>
    </row>
    <row r="71" ht="28" customHeight="1">
      <c r="A71" s="83" t="inlineStr">
        <is>
          <t>Fund Name</t>
        </is>
      </c>
      <c r="B71" s="83" t="inlineStr">
        <is>
          <t>Abbr</t>
        </is>
      </c>
      <c r="C71" s="83" t="inlineStr">
        <is>
          <t>3Y Fund (%)</t>
        </is>
      </c>
      <c r="D71" s="83" t="inlineStr">
        <is>
          <t>3Y Alpha (%)</t>
        </is>
      </c>
      <c r="E71" s="83" t="inlineStr">
        <is>
          <t>Beat (%)</t>
        </is>
      </c>
      <c r="F71" s="83" t="inlineStr">
        <is>
          <t>AUM (RM M)</t>
        </is>
      </c>
      <c r="G71" s="83" t="inlineStr">
        <is>
          <t>VC</t>
        </is>
      </c>
      <c r="H71" s="83" t="inlineStr"/>
    </row>
    <row r="72" ht="16" customHeight="1">
      <c r="A72" s="59">
        <f>IFERROR(INDEX(SORT(FILTER({Master!A$4:A$174,Master!B$4:B$174,Master!U$4:U$174,Master!W$4:W$174,Master!K$4:K$174,Master!H$4:H$174,Master!BN$4:BN$174},Master!J$4:J$174="Qualified",Master!D$4:D$174="Mixed Asset / Balanced",Master!U$4:U$174&lt;&gt;""),3,FALSE),1,1),"")</f>
        <v/>
      </c>
      <c r="B72" s="59">
        <f>IFERROR(INDEX(SORT(FILTER({Master!A$4:A$174,Master!B$4:B$174,Master!U$4:U$174,Master!W$4:W$174,Master!K$4:K$174,Master!H$4:H$174,Master!BN$4:BN$174},Master!J$4:J$174="Qualified",Master!D$4:D$174="Mixed Asset / Balanced",Master!U$4:U$174&lt;&gt;""),3,FALSE),1,2),"")</f>
        <v/>
      </c>
      <c r="C72" s="75">
        <f>IFERROR(INDEX(SORT(FILTER({Master!A$4:A$174,Master!B$4:B$174,Master!U$4:U$174,Master!W$4:W$174,Master!K$4:K$174,Master!H$4:H$174,Master!BN$4:BN$174},Master!J$4:J$174="Qualified",Master!D$4:D$174="Mixed Asset / Balanced",Master!U$4:U$174&lt;&gt;""),3,FALSE),1,3),"")</f>
        <v/>
      </c>
      <c r="D72" s="75">
        <f>IFERROR(INDEX(SORT(FILTER({Master!A$4:A$174,Master!B$4:B$174,Master!U$4:U$174,Master!W$4:W$174,Master!K$4:K$174,Master!H$4:H$174,Master!BN$4:BN$174},Master!J$4:J$174="Qualified",Master!D$4:D$174="Mixed Asset / Balanced",Master!U$4:U$174&lt;&gt;""),3,FALSE),1,4),"")</f>
        <v/>
      </c>
      <c r="E72" s="76">
        <f>IFERROR(INDEX(SORT(FILTER({Master!A$4:A$174,Master!B$4:B$174,Master!U$4:U$174,Master!W$4:W$174,Master!K$4:K$174,Master!H$4:H$174,Master!BN$4:BN$174},Master!J$4:J$174="Qualified",Master!D$4:D$174="Mixed Asset / Balanced",Master!U$4:U$174&lt;&gt;""),3,FALSE),1,5),"")</f>
        <v/>
      </c>
      <c r="F72" s="77">
        <f>IFERROR(INDEX(SORT(FILTER({Master!A$4:A$174,Master!B$4:B$174,Master!U$4:U$174,Master!W$4:W$174,Master!K$4:K$174,Master!H$4:H$174,Master!BN$4:BN$174},Master!J$4:J$174="Qualified",Master!D$4:D$174="Mixed Asset / Balanced",Master!U$4:U$174&lt;&gt;""),3,FALSE),1,6),"")</f>
        <v/>
      </c>
      <c r="G72" s="78">
        <f>IFERROR(INDEX(SORT(FILTER({Master!A$4:A$174,Master!B$4:B$174,Master!U$4:U$174,Master!W$4:W$174,Master!K$4:K$174,Master!H$4:H$174,Master!BN$4:BN$174},Master!J$4:J$174="Qualified",Master!D$4:D$174="Mixed Asset / Balanced",Master!U$4:U$174&lt;&gt;""),3,FALSE),1,7),"")</f>
        <v/>
      </c>
      <c r="H72" s="78" t="inlineStr"/>
    </row>
    <row r="73" ht="16" customHeight="1">
      <c r="A73" s="58">
        <f>IFERROR(INDEX(SORT(FILTER({Master!A$4:A$174,Master!B$4:B$174,Master!U$4:U$174,Master!W$4:W$174,Master!K$4:K$174,Master!H$4:H$174,Master!BN$4:BN$174},Master!J$4:J$174="Qualified",Master!D$4:D$174="Mixed Asset / Balanced",Master!U$4:U$174&lt;&gt;""),3,FALSE),2,1),"")</f>
        <v/>
      </c>
      <c r="B73" s="58">
        <f>IFERROR(INDEX(SORT(FILTER({Master!A$4:A$174,Master!B$4:B$174,Master!U$4:U$174,Master!W$4:W$174,Master!K$4:K$174,Master!H$4:H$174,Master!BN$4:BN$174},Master!J$4:J$174="Qualified",Master!D$4:D$174="Mixed Asset / Balanced",Master!U$4:U$174&lt;&gt;""),3,FALSE),2,2),"")</f>
        <v/>
      </c>
      <c r="C73" s="74">
        <f>IFERROR(INDEX(SORT(FILTER({Master!A$4:A$174,Master!B$4:B$174,Master!U$4:U$174,Master!W$4:W$174,Master!K$4:K$174,Master!H$4:H$174,Master!BN$4:BN$174},Master!J$4:J$174="Qualified",Master!D$4:D$174="Mixed Asset / Balanced",Master!U$4:U$174&lt;&gt;""),3,FALSE),2,3),"")</f>
        <v/>
      </c>
      <c r="D73" s="74">
        <f>IFERROR(INDEX(SORT(FILTER({Master!A$4:A$174,Master!B$4:B$174,Master!U$4:U$174,Master!W$4:W$174,Master!K$4:K$174,Master!H$4:H$174,Master!BN$4:BN$174},Master!J$4:J$174="Qualified",Master!D$4:D$174="Mixed Asset / Balanced",Master!U$4:U$174&lt;&gt;""),3,FALSE),2,4),"")</f>
        <v/>
      </c>
      <c r="E73" s="79">
        <f>IFERROR(INDEX(SORT(FILTER({Master!A$4:A$174,Master!B$4:B$174,Master!U$4:U$174,Master!W$4:W$174,Master!K$4:K$174,Master!H$4:H$174,Master!BN$4:BN$174},Master!J$4:J$174="Qualified",Master!D$4:D$174="Mixed Asset / Balanced",Master!U$4:U$174&lt;&gt;""),3,FALSE),2,5),"")</f>
        <v/>
      </c>
      <c r="F73" s="80">
        <f>IFERROR(INDEX(SORT(FILTER({Master!A$4:A$174,Master!B$4:B$174,Master!U$4:U$174,Master!W$4:W$174,Master!K$4:K$174,Master!H$4:H$174,Master!BN$4:BN$174},Master!J$4:J$174="Qualified",Master!D$4:D$174="Mixed Asset / Balanced",Master!U$4:U$174&lt;&gt;""),3,FALSE),2,6),"")</f>
        <v/>
      </c>
      <c r="G73" s="81">
        <f>IFERROR(INDEX(SORT(FILTER({Master!A$4:A$174,Master!B$4:B$174,Master!U$4:U$174,Master!W$4:W$174,Master!K$4:K$174,Master!H$4:H$174,Master!BN$4:BN$174},Master!J$4:J$174="Qualified",Master!D$4:D$174="Mixed Asset / Balanced",Master!U$4:U$174&lt;&gt;""),3,FALSE),2,7),"")</f>
        <v/>
      </c>
      <c r="H73" s="81" t="inlineStr"/>
    </row>
    <row r="74" ht="16" customHeight="1">
      <c r="A74" s="59">
        <f>IFERROR(INDEX(SORT(FILTER({Master!A$4:A$174,Master!B$4:B$174,Master!U$4:U$174,Master!W$4:W$174,Master!K$4:K$174,Master!H$4:H$174,Master!BN$4:BN$174},Master!J$4:J$174="Qualified",Master!D$4:D$174="Mixed Asset / Balanced",Master!U$4:U$174&lt;&gt;""),3,FALSE),3,1),"")</f>
        <v/>
      </c>
      <c r="B74" s="59">
        <f>IFERROR(INDEX(SORT(FILTER({Master!A$4:A$174,Master!B$4:B$174,Master!U$4:U$174,Master!W$4:W$174,Master!K$4:K$174,Master!H$4:H$174,Master!BN$4:BN$174},Master!J$4:J$174="Qualified",Master!D$4:D$174="Mixed Asset / Balanced",Master!U$4:U$174&lt;&gt;""),3,FALSE),3,2),"")</f>
        <v/>
      </c>
      <c r="C74" s="75">
        <f>IFERROR(INDEX(SORT(FILTER({Master!A$4:A$174,Master!B$4:B$174,Master!U$4:U$174,Master!W$4:W$174,Master!K$4:K$174,Master!H$4:H$174,Master!BN$4:BN$174},Master!J$4:J$174="Qualified",Master!D$4:D$174="Mixed Asset / Balanced",Master!U$4:U$174&lt;&gt;""),3,FALSE),3,3),"")</f>
        <v/>
      </c>
      <c r="D74" s="75">
        <f>IFERROR(INDEX(SORT(FILTER({Master!A$4:A$174,Master!B$4:B$174,Master!U$4:U$174,Master!W$4:W$174,Master!K$4:K$174,Master!H$4:H$174,Master!BN$4:BN$174},Master!J$4:J$174="Qualified",Master!D$4:D$174="Mixed Asset / Balanced",Master!U$4:U$174&lt;&gt;""),3,FALSE),3,4),"")</f>
        <v/>
      </c>
      <c r="E74" s="76">
        <f>IFERROR(INDEX(SORT(FILTER({Master!A$4:A$174,Master!B$4:B$174,Master!U$4:U$174,Master!W$4:W$174,Master!K$4:K$174,Master!H$4:H$174,Master!BN$4:BN$174},Master!J$4:J$174="Qualified",Master!D$4:D$174="Mixed Asset / Balanced",Master!U$4:U$174&lt;&gt;""),3,FALSE),3,5),"")</f>
        <v/>
      </c>
      <c r="F74" s="77">
        <f>IFERROR(INDEX(SORT(FILTER({Master!A$4:A$174,Master!B$4:B$174,Master!U$4:U$174,Master!W$4:W$174,Master!K$4:K$174,Master!H$4:H$174,Master!BN$4:BN$174},Master!J$4:J$174="Qualified",Master!D$4:D$174="Mixed Asset / Balanced",Master!U$4:U$174&lt;&gt;""),3,FALSE),3,6),"")</f>
        <v/>
      </c>
      <c r="G74" s="78">
        <f>IFERROR(INDEX(SORT(FILTER({Master!A$4:A$174,Master!B$4:B$174,Master!U$4:U$174,Master!W$4:W$174,Master!K$4:K$174,Master!H$4:H$174,Master!BN$4:BN$174},Master!J$4:J$174="Qualified",Master!D$4:D$174="Mixed Asset / Balanced",Master!U$4:U$174&lt;&gt;""),3,FALSE),3,7),"")</f>
        <v/>
      </c>
      <c r="H74" s="78" t="inlineStr"/>
    </row>
    <row r="75" ht="16" customHeight="1">
      <c r="A75" s="58">
        <f>IFERROR(INDEX(SORT(FILTER({Master!A$4:A$174,Master!B$4:B$174,Master!U$4:U$174,Master!W$4:W$174,Master!K$4:K$174,Master!H$4:H$174,Master!BN$4:BN$174},Master!J$4:J$174="Qualified",Master!D$4:D$174="Mixed Asset / Balanced",Master!U$4:U$174&lt;&gt;""),3,FALSE),4,1),"")</f>
        <v/>
      </c>
      <c r="B75" s="58">
        <f>IFERROR(INDEX(SORT(FILTER({Master!A$4:A$174,Master!B$4:B$174,Master!U$4:U$174,Master!W$4:W$174,Master!K$4:K$174,Master!H$4:H$174,Master!BN$4:BN$174},Master!J$4:J$174="Qualified",Master!D$4:D$174="Mixed Asset / Balanced",Master!U$4:U$174&lt;&gt;""),3,FALSE),4,2),"")</f>
        <v/>
      </c>
      <c r="C75" s="74">
        <f>IFERROR(INDEX(SORT(FILTER({Master!A$4:A$174,Master!B$4:B$174,Master!U$4:U$174,Master!W$4:W$174,Master!K$4:K$174,Master!H$4:H$174,Master!BN$4:BN$174},Master!J$4:J$174="Qualified",Master!D$4:D$174="Mixed Asset / Balanced",Master!U$4:U$174&lt;&gt;""),3,FALSE),4,3),"")</f>
        <v/>
      </c>
      <c r="D75" s="74">
        <f>IFERROR(INDEX(SORT(FILTER({Master!A$4:A$174,Master!B$4:B$174,Master!U$4:U$174,Master!W$4:W$174,Master!K$4:K$174,Master!H$4:H$174,Master!BN$4:BN$174},Master!J$4:J$174="Qualified",Master!D$4:D$174="Mixed Asset / Balanced",Master!U$4:U$174&lt;&gt;""),3,FALSE),4,4),"")</f>
        <v/>
      </c>
      <c r="E75" s="79">
        <f>IFERROR(INDEX(SORT(FILTER({Master!A$4:A$174,Master!B$4:B$174,Master!U$4:U$174,Master!W$4:W$174,Master!K$4:K$174,Master!H$4:H$174,Master!BN$4:BN$174},Master!J$4:J$174="Qualified",Master!D$4:D$174="Mixed Asset / Balanced",Master!U$4:U$174&lt;&gt;""),3,FALSE),4,5),"")</f>
        <v/>
      </c>
      <c r="F75" s="80">
        <f>IFERROR(INDEX(SORT(FILTER({Master!A$4:A$174,Master!B$4:B$174,Master!U$4:U$174,Master!W$4:W$174,Master!K$4:K$174,Master!H$4:H$174,Master!BN$4:BN$174},Master!J$4:J$174="Qualified",Master!D$4:D$174="Mixed Asset / Balanced",Master!U$4:U$174&lt;&gt;""),3,FALSE),4,6),"")</f>
        <v/>
      </c>
      <c r="G75" s="81">
        <f>IFERROR(INDEX(SORT(FILTER({Master!A$4:A$174,Master!B$4:B$174,Master!U$4:U$174,Master!W$4:W$174,Master!K$4:K$174,Master!H$4:H$174,Master!BN$4:BN$174},Master!J$4:J$174="Qualified",Master!D$4:D$174="Mixed Asset / Balanced",Master!U$4:U$174&lt;&gt;""),3,FALSE),4,7),"")</f>
        <v/>
      </c>
      <c r="H75" s="81" t="inlineStr"/>
    </row>
    <row r="76" ht="16" customHeight="1">
      <c r="A76" s="59">
        <f>IFERROR(INDEX(SORT(FILTER({Master!A$4:A$174,Master!B$4:B$174,Master!U$4:U$174,Master!W$4:W$174,Master!K$4:K$174,Master!H$4:H$174,Master!BN$4:BN$174},Master!J$4:J$174="Qualified",Master!D$4:D$174="Mixed Asset / Balanced",Master!U$4:U$174&lt;&gt;""),3,FALSE),5,1),"")</f>
        <v/>
      </c>
      <c r="B76" s="59">
        <f>IFERROR(INDEX(SORT(FILTER({Master!A$4:A$174,Master!B$4:B$174,Master!U$4:U$174,Master!W$4:W$174,Master!K$4:K$174,Master!H$4:H$174,Master!BN$4:BN$174},Master!J$4:J$174="Qualified",Master!D$4:D$174="Mixed Asset / Balanced",Master!U$4:U$174&lt;&gt;""),3,FALSE),5,2),"")</f>
        <v/>
      </c>
      <c r="C76" s="75">
        <f>IFERROR(INDEX(SORT(FILTER({Master!A$4:A$174,Master!B$4:B$174,Master!U$4:U$174,Master!W$4:W$174,Master!K$4:K$174,Master!H$4:H$174,Master!BN$4:BN$174},Master!J$4:J$174="Qualified",Master!D$4:D$174="Mixed Asset / Balanced",Master!U$4:U$174&lt;&gt;""),3,FALSE),5,3),"")</f>
        <v/>
      </c>
      <c r="D76" s="75">
        <f>IFERROR(INDEX(SORT(FILTER({Master!A$4:A$174,Master!B$4:B$174,Master!U$4:U$174,Master!W$4:W$174,Master!K$4:K$174,Master!H$4:H$174,Master!BN$4:BN$174},Master!J$4:J$174="Qualified",Master!D$4:D$174="Mixed Asset / Balanced",Master!U$4:U$174&lt;&gt;""),3,FALSE),5,4),"")</f>
        <v/>
      </c>
      <c r="E76" s="76">
        <f>IFERROR(INDEX(SORT(FILTER({Master!A$4:A$174,Master!B$4:B$174,Master!U$4:U$174,Master!W$4:W$174,Master!K$4:K$174,Master!H$4:H$174,Master!BN$4:BN$174},Master!J$4:J$174="Qualified",Master!D$4:D$174="Mixed Asset / Balanced",Master!U$4:U$174&lt;&gt;""),3,FALSE),5,5),"")</f>
        <v/>
      </c>
      <c r="F76" s="77">
        <f>IFERROR(INDEX(SORT(FILTER({Master!A$4:A$174,Master!B$4:B$174,Master!U$4:U$174,Master!W$4:W$174,Master!K$4:K$174,Master!H$4:H$174,Master!BN$4:BN$174},Master!J$4:J$174="Qualified",Master!D$4:D$174="Mixed Asset / Balanced",Master!U$4:U$174&lt;&gt;""),3,FALSE),5,6),"")</f>
        <v/>
      </c>
      <c r="G76" s="78">
        <f>IFERROR(INDEX(SORT(FILTER({Master!A$4:A$174,Master!B$4:B$174,Master!U$4:U$174,Master!W$4:W$174,Master!K$4:K$174,Master!H$4:H$174,Master!BN$4:BN$174},Master!J$4:J$174="Qualified",Master!D$4:D$174="Mixed Asset / Balanced",Master!U$4:U$174&lt;&gt;""),3,FALSE),5,7),"")</f>
        <v/>
      </c>
      <c r="H76" s="78" t="inlineStr"/>
    </row>
    <row r="78" ht="26" customHeight="1">
      <c r="A78" s="82" t="inlineStr">
        <is>
          <t>BALANCED / MIXED ASSET — TOP 5 BY 3Y ANN. ALPHA</t>
        </is>
      </c>
      <c r="B78" s="11" t="n"/>
      <c r="C78" s="11" t="n"/>
      <c r="D78" s="11" t="n"/>
      <c r="E78" s="11" t="n"/>
      <c r="F78" s="11" t="n"/>
      <c r="G78" s="11" t="n"/>
      <c r="H78" s="11" t="n"/>
    </row>
    <row r="79" ht="28" customHeight="1">
      <c r="A79" s="83" t="inlineStr">
        <is>
          <t>Fund Name</t>
        </is>
      </c>
      <c r="B79" s="83" t="inlineStr">
        <is>
          <t>Abbr</t>
        </is>
      </c>
      <c r="C79" s="83" t="inlineStr">
        <is>
          <t>3Y Fund (%)</t>
        </is>
      </c>
      <c r="D79" s="83" t="inlineStr">
        <is>
          <t>3Y Alpha (%)</t>
        </is>
      </c>
      <c r="E79" s="83" t="inlineStr">
        <is>
          <t>Beat (%)</t>
        </is>
      </c>
      <c r="F79" s="83" t="inlineStr">
        <is>
          <t>AUM (RM M)</t>
        </is>
      </c>
      <c r="G79" s="83" t="inlineStr">
        <is>
          <t>VC</t>
        </is>
      </c>
      <c r="H79" s="83" t="inlineStr"/>
    </row>
    <row r="80" ht="16" customHeight="1">
      <c r="A80" s="59">
        <f>IFERROR(INDEX(SORT(FILTER({Master!A$4:A$174,Master!B$4:B$174,Master!U$4:U$174,Master!W$4:W$174,Master!K$4:K$174,Master!H$4:H$174,Master!BN$4:BN$174},Master!J$4:J$174="Qualified",Master!D$4:D$174="Mixed Asset / Balanced",Master!W$4:W$174&lt;&gt;""),4,FALSE),1,1),"")</f>
        <v/>
      </c>
      <c r="B80" s="59">
        <f>IFERROR(INDEX(SORT(FILTER({Master!A$4:A$174,Master!B$4:B$174,Master!U$4:U$174,Master!W$4:W$174,Master!K$4:K$174,Master!H$4:H$174,Master!BN$4:BN$174},Master!J$4:J$174="Qualified",Master!D$4:D$174="Mixed Asset / Balanced",Master!W$4:W$174&lt;&gt;""),4,FALSE),1,2),"")</f>
        <v/>
      </c>
      <c r="C80" s="75">
        <f>IFERROR(INDEX(SORT(FILTER({Master!A$4:A$174,Master!B$4:B$174,Master!U$4:U$174,Master!W$4:W$174,Master!K$4:K$174,Master!H$4:H$174,Master!BN$4:BN$174},Master!J$4:J$174="Qualified",Master!D$4:D$174="Mixed Asset / Balanced",Master!W$4:W$174&lt;&gt;""),4,FALSE),1,3),"")</f>
        <v/>
      </c>
      <c r="D80" s="75">
        <f>IFERROR(INDEX(SORT(FILTER({Master!A$4:A$174,Master!B$4:B$174,Master!U$4:U$174,Master!W$4:W$174,Master!K$4:K$174,Master!H$4:H$174,Master!BN$4:BN$174},Master!J$4:J$174="Qualified",Master!D$4:D$174="Mixed Asset / Balanced",Master!W$4:W$174&lt;&gt;""),4,FALSE),1,4),"")</f>
        <v/>
      </c>
      <c r="E80" s="76">
        <f>IFERROR(INDEX(SORT(FILTER({Master!A$4:A$174,Master!B$4:B$174,Master!U$4:U$174,Master!W$4:W$174,Master!K$4:K$174,Master!H$4:H$174,Master!BN$4:BN$174},Master!J$4:J$174="Qualified",Master!D$4:D$174="Mixed Asset / Balanced",Master!W$4:W$174&lt;&gt;""),4,FALSE),1,5),"")</f>
        <v/>
      </c>
      <c r="F80" s="77">
        <f>IFERROR(INDEX(SORT(FILTER({Master!A$4:A$174,Master!B$4:B$174,Master!U$4:U$174,Master!W$4:W$174,Master!K$4:K$174,Master!H$4:H$174,Master!BN$4:BN$174},Master!J$4:J$174="Qualified",Master!D$4:D$174="Mixed Asset / Balanced",Master!W$4:W$174&lt;&gt;""),4,FALSE),1,6),"")</f>
        <v/>
      </c>
      <c r="G80" s="78">
        <f>IFERROR(INDEX(SORT(FILTER({Master!A$4:A$174,Master!B$4:B$174,Master!U$4:U$174,Master!W$4:W$174,Master!K$4:K$174,Master!H$4:H$174,Master!BN$4:BN$174},Master!J$4:J$174="Qualified",Master!D$4:D$174="Mixed Asset / Balanced",Master!W$4:W$174&lt;&gt;""),4,FALSE),1,7),"")</f>
        <v/>
      </c>
      <c r="H80" s="78" t="inlineStr"/>
    </row>
    <row r="81" ht="16" customHeight="1">
      <c r="A81" s="58">
        <f>IFERROR(INDEX(SORT(FILTER({Master!A$4:A$174,Master!B$4:B$174,Master!U$4:U$174,Master!W$4:W$174,Master!K$4:K$174,Master!H$4:H$174,Master!BN$4:BN$174},Master!J$4:J$174="Qualified",Master!D$4:D$174="Mixed Asset / Balanced",Master!W$4:W$174&lt;&gt;""),4,FALSE),2,1),"")</f>
        <v/>
      </c>
      <c r="B81" s="58">
        <f>IFERROR(INDEX(SORT(FILTER({Master!A$4:A$174,Master!B$4:B$174,Master!U$4:U$174,Master!W$4:W$174,Master!K$4:K$174,Master!H$4:H$174,Master!BN$4:BN$174},Master!J$4:J$174="Qualified",Master!D$4:D$174="Mixed Asset / Balanced",Master!W$4:W$174&lt;&gt;""),4,FALSE),2,2),"")</f>
        <v/>
      </c>
      <c r="C81" s="74">
        <f>IFERROR(INDEX(SORT(FILTER({Master!A$4:A$174,Master!B$4:B$174,Master!U$4:U$174,Master!W$4:W$174,Master!K$4:K$174,Master!H$4:H$174,Master!BN$4:BN$174},Master!J$4:J$174="Qualified",Master!D$4:D$174="Mixed Asset / Balanced",Master!W$4:W$174&lt;&gt;""),4,FALSE),2,3),"")</f>
        <v/>
      </c>
      <c r="D81" s="74">
        <f>IFERROR(INDEX(SORT(FILTER({Master!A$4:A$174,Master!B$4:B$174,Master!U$4:U$174,Master!W$4:W$174,Master!K$4:K$174,Master!H$4:H$174,Master!BN$4:BN$174},Master!J$4:J$174="Qualified",Master!D$4:D$174="Mixed Asset / Balanced",Master!W$4:W$174&lt;&gt;""),4,FALSE),2,4),"")</f>
        <v/>
      </c>
      <c r="E81" s="79">
        <f>IFERROR(INDEX(SORT(FILTER({Master!A$4:A$174,Master!B$4:B$174,Master!U$4:U$174,Master!W$4:W$174,Master!K$4:K$174,Master!H$4:H$174,Master!BN$4:BN$174},Master!J$4:J$174="Qualified",Master!D$4:D$174="Mixed Asset / Balanced",Master!W$4:W$174&lt;&gt;""),4,FALSE),2,5),"")</f>
        <v/>
      </c>
      <c r="F81" s="80">
        <f>IFERROR(INDEX(SORT(FILTER({Master!A$4:A$174,Master!B$4:B$174,Master!U$4:U$174,Master!W$4:W$174,Master!K$4:K$174,Master!H$4:H$174,Master!BN$4:BN$174},Master!J$4:J$174="Qualified",Master!D$4:D$174="Mixed Asset / Balanced",Master!W$4:W$174&lt;&gt;""),4,FALSE),2,6),"")</f>
        <v/>
      </c>
      <c r="G81" s="81">
        <f>IFERROR(INDEX(SORT(FILTER({Master!A$4:A$174,Master!B$4:B$174,Master!U$4:U$174,Master!W$4:W$174,Master!K$4:K$174,Master!H$4:H$174,Master!BN$4:BN$174},Master!J$4:J$174="Qualified",Master!D$4:D$174="Mixed Asset / Balanced",Master!W$4:W$174&lt;&gt;""),4,FALSE),2,7),"")</f>
        <v/>
      </c>
      <c r="H81" s="81" t="inlineStr"/>
    </row>
    <row r="82" ht="16" customHeight="1">
      <c r="A82" s="59">
        <f>IFERROR(INDEX(SORT(FILTER({Master!A$4:A$174,Master!B$4:B$174,Master!U$4:U$174,Master!W$4:W$174,Master!K$4:K$174,Master!H$4:H$174,Master!BN$4:BN$174},Master!J$4:J$174="Qualified",Master!D$4:D$174="Mixed Asset / Balanced",Master!W$4:W$174&lt;&gt;""),4,FALSE),3,1),"")</f>
        <v/>
      </c>
      <c r="B82" s="59">
        <f>IFERROR(INDEX(SORT(FILTER({Master!A$4:A$174,Master!B$4:B$174,Master!U$4:U$174,Master!W$4:W$174,Master!K$4:K$174,Master!H$4:H$174,Master!BN$4:BN$174},Master!J$4:J$174="Qualified",Master!D$4:D$174="Mixed Asset / Balanced",Master!W$4:W$174&lt;&gt;""),4,FALSE),3,2),"")</f>
        <v/>
      </c>
      <c r="C82" s="75">
        <f>IFERROR(INDEX(SORT(FILTER({Master!A$4:A$174,Master!B$4:B$174,Master!U$4:U$174,Master!W$4:W$174,Master!K$4:K$174,Master!H$4:H$174,Master!BN$4:BN$174},Master!J$4:J$174="Qualified",Master!D$4:D$174="Mixed Asset / Balanced",Master!W$4:W$174&lt;&gt;""),4,FALSE),3,3),"")</f>
        <v/>
      </c>
      <c r="D82" s="75">
        <f>IFERROR(INDEX(SORT(FILTER({Master!A$4:A$174,Master!B$4:B$174,Master!U$4:U$174,Master!W$4:W$174,Master!K$4:K$174,Master!H$4:H$174,Master!BN$4:BN$174},Master!J$4:J$174="Qualified",Master!D$4:D$174="Mixed Asset / Balanced",Master!W$4:W$174&lt;&gt;""),4,FALSE),3,4),"")</f>
        <v/>
      </c>
      <c r="E82" s="76">
        <f>IFERROR(INDEX(SORT(FILTER({Master!A$4:A$174,Master!B$4:B$174,Master!U$4:U$174,Master!W$4:W$174,Master!K$4:K$174,Master!H$4:H$174,Master!BN$4:BN$174},Master!J$4:J$174="Qualified",Master!D$4:D$174="Mixed Asset / Balanced",Master!W$4:W$174&lt;&gt;""),4,FALSE),3,5),"")</f>
        <v/>
      </c>
      <c r="F82" s="77">
        <f>IFERROR(INDEX(SORT(FILTER({Master!A$4:A$174,Master!B$4:B$174,Master!U$4:U$174,Master!W$4:W$174,Master!K$4:K$174,Master!H$4:H$174,Master!BN$4:BN$174},Master!J$4:J$174="Qualified",Master!D$4:D$174="Mixed Asset / Balanced",Master!W$4:W$174&lt;&gt;""),4,FALSE),3,6),"")</f>
        <v/>
      </c>
      <c r="G82" s="78">
        <f>IFERROR(INDEX(SORT(FILTER({Master!A$4:A$174,Master!B$4:B$174,Master!U$4:U$174,Master!W$4:W$174,Master!K$4:K$174,Master!H$4:H$174,Master!BN$4:BN$174},Master!J$4:J$174="Qualified",Master!D$4:D$174="Mixed Asset / Balanced",Master!W$4:W$174&lt;&gt;""),4,FALSE),3,7),"")</f>
        <v/>
      </c>
      <c r="H82" s="78" t="inlineStr"/>
    </row>
    <row r="83" ht="16" customHeight="1">
      <c r="A83" s="58">
        <f>IFERROR(INDEX(SORT(FILTER({Master!A$4:A$174,Master!B$4:B$174,Master!U$4:U$174,Master!W$4:W$174,Master!K$4:K$174,Master!H$4:H$174,Master!BN$4:BN$174},Master!J$4:J$174="Qualified",Master!D$4:D$174="Mixed Asset / Balanced",Master!W$4:W$174&lt;&gt;""),4,FALSE),4,1),"")</f>
        <v/>
      </c>
      <c r="B83" s="58">
        <f>IFERROR(INDEX(SORT(FILTER({Master!A$4:A$174,Master!B$4:B$174,Master!U$4:U$174,Master!W$4:W$174,Master!K$4:K$174,Master!H$4:H$174,Master!BN$4:BN$174},Master!J$4:J$174="Qualified",Master!D$4:D$174="Mixed Asset / Balanced",Master!W$4:W$174&lt;&gt;""),4,FALSE),4,2),"")</f>
        <v/>
      </c>
      <c r="C83" s="74">
        <f>IFERROR(INDEX(SORT(FILTER({Master!A$4:A$174,Master!B$4:B$174,Master!U$4:U$174,Master!W$4:W$174,Master!K$4:K$174,Master!H$4:H$174,Master!BN$4:BN$174},Master!J$4:J$174="Qualified",Master!D$4:D$174="Mixed Asset / Balanced",Master!W$4:W$174&lt;&gt;""),4,FALSE),4,3),"")</f>
        <v/>
      </c>
      <c r="D83" s="74">
        <f>IFERROR(INDEX(SORT(FILTER({Master!A$4:A$174,Master!B$4:B$174,Master!U$4:U$174,Master!W$4:W$174,Master!K$4:K$174,Master!H$4:H$174,Master!BN$4:BN$174},Master!J$4:J$174="Qualified",Master!D$4:D$174="Mixed Asset / Balanced",Master!W$4:W$174&lt;&gt;""),4,FALSE),4,4),"")</f>
        <v/>
      </c>
      <c r="E83" s="79">
        <f>IFERROR(INDEX(SORT(FILTER({Master!A$4:A$174,Master!B$4:B$174,Master!U$4:U$174,Master!W$4:W$174,Master!K$4:K$174,Master!H$4:H$174,Master!BN$4:BN$174},Master!J$4:J$174="Qualified",Master!D$4:D$174="Mixed Asset / Balanced",Master!W$4:W$174&lt;&gt;""),4,FALSE),4,5),"")</f>
        <v/>
      </c>
      <c r="F83" s="80">
        <f>IFERROR(INDEX(SORT(FILTER({Master!A$4:A$174,Master!B$4:B$174,Master!U$4:U$174,Master!W$4:W$174,Master!K$4:K$174,Master!H$4:H$174,Master!BN$4:BN$174},Master!J$4:J$174="Qualified",Master!D$4:D$174="Mixed Asset / Balanced",Master!W$4:W$174&lt;&gt;""),4,FALSE),4,6),"")</f>
        <v/>
      </c>
      <c r="G83" s="81">
        <f>IFERROR(INDEX(SORT(FILTER({Master!A$4:A$174,Master!B$4:B$174,Master!U$4:U$174,Master!W$4:W$174,Master!K$4:K$174,Master!H$4:H$174,Master!BN$4:BN$174},Master!J$4:J$174="Qualified",Master!D$4:D$174="Mixed Asset / Balanced",Master!W$4:W$174&lt;&gt;""),4,FALSE),4,7),"")</f>
        <v/>
      </c>
      <c r="H83" s="81" t="inlineStr"/>
    </row>
    <row r="84" ht="16" customHeight="1">
      <c r="A84" s="59">
        <f>IFERROR(INDEX(SORT(FILTER({Master!A$4:A$174,Master!B$4:B$174,Master!U$4:U$174,Master!W$4:W$174,Master!K$4:K$174,Master!H$4:H$174,Master!BN$4:BN$174},Master!J$4:J$174="Qualified",Master!D$4:D$174="Mixed Asset / Balanced",Master!W$4:W$174&lt;&gt;""),4,FALSE),5,1),"")</f>
        <v/>
      </c>
      <c r="B84" s="59">
        <f>IFERROR(INDEX(SORT(FILTER({Master!A$4:A$174,Master!B$4:B$174,Master!U$4:U$174,Master!W$4:W$174,Master!K$4:K$174,Master!H$4:H$174,Master!BN$4:BN$174},Master!J$4:J$174="Qualified",Master!D$4:D$174="Mixed Asset / Balanced",Master!W$4:W$174&lt;&gt;""),4,FALSE),5,2),"")</f>
        <v/>
      </c>
      <c r="C84" s="75">
        <f>IFERROR(INDEX(SORT(FILTER({Master!A$4:A$174,Master!B$4:B$174,Master!U$4:U$174,Master!W$4:W$174,Master!K$4:K$174,Master!H$4:H$174,Master!BN$4:BN$174},Master!J$4:J$174="Qualified",Master!D$4:D$174="Mixed Asset / Balanced",Master!W$4:W$174&lt;&gt;""),4,FALSE),5,3),"")</f>
        <v/>
      </c>
      <c r="D84" s="75">
        <f>IFERROR(INDEX(SORT(FILTER({Master!A$4:A$174,Master!B$4:B$174,Master!U$4:U$174,Master!W$4:W$174,Master!K$4:K$174,Master!H$4:H$174,Master!BN$4:BN$174},Master!J$4:J$174="Qualified",Master!D$4:D$174="Mixed Asset / Balanced",Master!W$4:W$174&lt;&gt;""),4,FALSE),5,4),"")</f>
        <v/>
      </c>
      <c r="E84" s="76">
        <f>IFERROR(INDEX(SORT(FILTER({Master!A$4:A$174,Master!B$4:B$174,Master!U$4:U$174,Master!W$4:W$174,Master!K$4:K$174,Master!H$4:H$174,Master!BN$4:BN$174},Master!J$4:J$174="Qualified",Master!D$4:D$174="Mixed Asset / Balanced",Master!W$4:W$174&lt;&gt;""),4,FALSE),5,5),"")</f>
        <v/>
      </c>
      <c r="F84" s="77">
        <f>IFERROR(INDEX(SORT(FILTER({Master!A$4:A$174,Master!B$4:B$174,Master!U$4:U$174,Master!W$4:W$174,Master!K$4:K$174,Master!H$4:H$174,Master!BN$4:BN$174},Master!J$4:J$174="Qualified",Master!D$4:D$174="Mixed Asset / Balanced",Master!W$4:W$174&lt;&gt;""),4,FALSE),5,6),"")</f>
        <v/>
      </c>
      <c r="G84" s="78">
        <f>IFERROR(INDEX(SORT(FILTER({Master!A$4:A$174,Master!B$4:B$174,Master!U$4:U$174,Master!W$4:W$174,Master!K$4:K$174,Master!H$4:H$174,Master!BN$4:BN$174},Master!J$4:J$174="Qualified",Master!D$4:D$174="Mixed Asset / Balanced",Master!W$4:W$174&lt;&gt;""),4,FALSE),5,7),"")</f>
        <v/>
      </c>
      <c r="H84" s="78" t="inlineStr"/>
    </row>
    <row r="86" ht="26" customHeight="1">
      <c r="A86" s="82" t="inlineStr">
        <is>
          <t>BALANCED / MIXED ASSET — TOP 5 BY ALPHA EFFICIENCY</t>
        </is>
      </c>
      <c r="B86" s="11" t="n"/>
      <c r="C86" s="11" t="n"/>
      <c r="D86" s="11" t="n"/>
      <c r="E86" s="11" t="n"/>
      <c r="F86" s="11" t="n"/>
      <c r="G86" s="11" t="n"/>
      <c r="H86" s="11" t="n"/>
    </row>
    <row r="87" ht="28" customHeight="1">
      <c r="A87" s="83" t="inlineStr">
        <is>
          <t>Fund Name</t>
        </is>
      </c>
      <c r="B87" s="83" t="inlineStr">
        <is>
          <t>Abbr</t>
        </is>
      </c>
      <c r="C87" s="83" t="inlineStr">
        <is>
          <t>Alpha Eff</t>
        </is>
      </c>
      <c r="D87" s="83" t="inlineStr">
        <is>
          <t>3Y Alpha (%)</t>
        </is>
      </c>
      <c r="E87" s="83" t="inlineStr">
        <is>
          <t>Beat (%)</t>
        </is>
      </c>
      <c r="F87" s="83" t="inlineStr">
        <is>
          <t>AUM (RM M)</t>
        </is>
      </c>
      <c r="G87" s="83" t="inlineStr">
        <is>
          <t>VC</t>
        </is>
      </c>
      <c r="H87" s="83" t="inlineStr"/>
    </row>
    <row r="88" ht="16" customHeight="1">
      <c r="A88" s="59">
        <f>IFERROR(INDEX(SORT(FILTER({Master!A$4:A$174,Master!B$4:B$174,Master!AF$4:AF$174,Master!W$4:W$174,Master!K$4:K$174,Master!H$4:H$174,Master!BN$4:BN$174},Master!J$4:J$174="Qualified",Master!D$4:D$174="Mixed Asset / Balanced",Master!AF$4:AF$174&lt;&gt;""),3,FALSE),1,1),"")</f>
        <v/>
      </c>
      <c r="B88" s="59">
        <f>IFERROR(INDEX(SORT(FILTER({Master!A$4:A$174,Master!B$4:B$174,Master!AF$4:AF$174,Master!W$4:W$174,Master!K$4:K$174,Master!H$4:H$174,Master!BN$4:BN$174},Master!J$4:J$174="Qualified",Master!D$4:D$174="Mixed Asset / Balanced",Master!AF$4:AF$174&lt;&gt;""),3,FALSE),1,2),"")</f>
        <v/>
      </c>
      <c r="C88" s="75">
        <f>IFERROR(INDEX(SORT(FILTER({Master!A$4:A$174,Master!B$4:B$174,Master!AF$4:AF$174,Master!W$4:W$174,Master!K$4:K$174,Master!H$4:H$174,Master!BN$4:BN$174},Master!J$4:J$174="Qualified",Master!D$4:D$174="Mixed Asset / Balanced",Master!AF$4:AF$174&lt;&gt;""),3,FALSE),1,3),"")</f>
        <v/>
      </c>
      <c r="D88" s="75">
        <f>IFERROR(INDEX(SORT(FILTER({Master!A$4:A$174,Master!B$4:B$174,Master!AF$4:AF$174,Master!W$4:W$174,Master!K$4:K$174,Master!H$4:H$174,Master!BN$4:BN$174},Master!J$4:J$174="Qualified",Master!D$4:D$174="Mixed Asset / Balanced",Master!AF$4:AF$174&lt;&gt;""),3,FALSE),1,4),"")</f>
        <v/>
      </c>
      <c r="E88" s="76">
        <f>IFERROR(INDEX(SORT(FILTER({Master!A$4:A$174,Master!B$4:B$174,Master!AF$4:AF$174,Master!W$4:W$174,Master!K$4:K$174,Master!H$4:H$174,Master!BN$4:BN$174},Master!J$4:J$174="Qualified",Master!D$4:D$174="Mixed Asset / Balanced",Master!AF$4:AF$174&lt;&gt;""),3,FALSE),1,5),"")</f>
        <v/>
      </c>
      <c r="F88" s="77">
        <f>IFERROR(INDEX(SORT(FILTER({Master!A$4:A$174,Master!B$4:B$174,Master!AF$4:AF$174,Master!W$4:W$174,Master!K$4:K$174,Master!H$4:H$174,Master!BN$4:BN$174},Master!J$4:J$174="Qualified",Master!D$4:D$174="Mixed Asset / Balanced",Master!AF$4:AF$174&lt;&gt;""),3,FALSE),1,6),"")</f>
        <v/>
      </c>
      <c r="G88" s="78">
        <f>IFERROR(INDEX(SORT(FILTER({Master!A$4:A$174,Master!B$4:B$174,Master!AF$4:AF$174,Master!W$4:W$174,Master!K$4:K$174,Master!H$4:H$174,Master!BN$4:BN$174},Master!J$4:J$174="Qualified",Master!D$4:D$174="Mixed Asset / Balanced",Master!AF$4:AF$174&lt;&gt;""),3,FALSE),1,7),"")</f>
        <v/>
      </c>
      <c r="H88" s="78" t="inlineStr"/>
    </row>
    <row r="89" ht="16" customHeight="1">
      <c r="A89" s="58">
        <f>IFERROR(INDEX(SORT(FILTER({Master!A$4:A$174,Master!B$4:B$174,Master!AF$4:AF$174,Master!W$4:W$174,Master!K$4:K$174,Master!H$4:H$174,Master!BN$4:BN$174},Master!J$4:J$174="Qualified",Master!D$4:D$174="Mixed Asset / Balanced",Master!AF$4:AF$174&lt;&gt;""),3,FALSE),2,1),"")</f>
        <v/>
      </c>
      <c r="B89" s="58">
        <f>IFERROR(INDEX(SORT(FILTER({Master!A$4:A$174,Master!B$4:B$174,Master!AF$4:AF$174,Master!W$4:W$174,Master!K$4:K$174,Master!H$4:H$174,Master!BN$4:BN$174},Master!J$4:J$174="Qualified",Master!D$4:D$174="Mixed Asset / Balanced",Master!AF$4:AF$174&lt;&gt;""),3,FALSE),2,2),"")</f>
        <v/>
      </c>
      <c r="C89" s="74">
        <f>IFERROR(INDEX(SORT(FILTER({Master!A$4:A$174,Master!B$4:B$174,Master!AF$4:AF$174,Master!W$4:W$174,Master!K$4:K$174,Master!H$4:H$174,Master!BN$4:BN$174},Master!J$4:J$174="Qualified",Master!D$4:D$174="Mixed Asset / Balanced",Master!AF$4:AF$174&lt;&gt;""),3,FALSE),2,3),"")</f>
        <v/>
      </c>
      <c r="D89" s="74">
        <f>IFERROR(INDEX(SORT(FILTER({Master!A$4:A$174,Master!B$4:B$174,Master!AF$4:AF$174,Master!W$4:W$174,Master!K$4:K$174,Master!H$4:H$174,Master!BN$4:BN$174},Master!J$4:J$174="Qualified",Master!D$4:D$174="Mixed Asset / Balanced",Master!AF$4:AF$174&lt;&gt;""),3,FALSE),2,4),"")</f>
        <v/>
      </c>
      <c r="E89" s="79">
        <f>IFERROR(INDEX(SORT(FILTER({Master!A$4:A$174,Master!B$4:B$174,Master!AF$4:AF$174,Master!W$4:W$174,Master!K$4:K$174,Master!H$4:H$174,Master!BN$4:BN$174},Master!J$4:J$174="Qualified",Master!D$4:D$174="Mixed Asset / Balanced",Master!AF$4:AF$174&lt;&gt;""),3,FALSE),2,5),"")</f>
        <v/>
      </c>
      <c r="F89" s="80">
        <f>IFERROR(INDEX(SORT(FILTER({Master!A$4:A$174,Master!B$4:B$174,Master!AF$4:AF$174,Master!W$4:W$174,Master!K$4:K$174,Master!H$4:H$174,Master!BN$4:BN$174},Master!J$4:J$174="Qualified",Master!D$4:D$174="Mixed Asset / Balanced",Master!AF$4:AF$174&lt;&gt;""),3,FALSE),2,6),"")</f>
        <v/>
      </c>
      <c r="G89" s="81">
        <f>IFERROR(INDEX(SORT(FILTER({Master!A$4:A$174,Master!B$4:B$174,Master!AF$4:AF$174,Master!W$4:W$174,Master!K$4:K$174,Master!H$4:H$174,Master!BN$4:BN$174},Master!J$4:J$174="Qualified",Master!D$4:D$174="Mixed Asset / Balanced",Master!AF$4:AF$174&lt;&gt;""),3,FALSE),2,7),"")</f>
        <v/>
      </c>
      <c r="H89" s="81" t="inlineStr"/>
    </row>
    <row r="90" ht="16" customHeight="1">
      <c r="A90" s="59">
        <f>IFERROR(INDEX(SORT(FILTER({Master!A$4:A$174,Master!B$4:B$174,Master!AF$4:AF$174,Master!W$4:W$174,Master!K$4:K$174,Master!H$4:H$174,Master!BN$4:BN$174},Master!J$4:J$174="Qualified",Master!D$4:D$174="Mixed Asset / Balanced",Master!AF$4:AF$174&lt;&gt;""),3,FALSE),3,1),"")</f>
        <v/>
      </c>
      <c r="B90" s="59">
        <f>IFERROR(INDEX(SORT(FILTER({Master!A$4:A$174,Master!B$4:B$174,Master!AF$4:AF$174,Master!W$4:W$174,Master!K$4:K$174,Master!H$4:H$174,Master!BN$4:BN$174},Master!J$4:J$174="Qualified",Master!D$4:D$174="Mixed Asset / Balanced",Master!AF$4:AF$174&lt;&gt;""),3,FALSE),3,2),"")</f>
        <v/>
      </c>
      <c r="C90" s="75">
        <f>IFERROR(INDEX(SORT(FILTER({Master!A$4:A$174,Master!B$4:B$174,Master!AF$4:AF$174,Master!W$4:W$174,Master!K$4:K$174,Master!H$4:H$174,Master!BN$4:BN$174},Master!J$4:J$174="Qualified",Master!D$4:D$174="Mixed Asset / Balanced",Master!AF$4:AF$174&lt;&gt;""),3,FALSE),3,3),"")</f>
        <v/>
      </c>
      <c r="D90" s="75">
        <f>IFERROR(INDEX(SORT(FILTER({Master!A$4:A$174,Master!B$4:B$174,Master!AF$4:AF$174,Master!W$4:W$174,Master!K$4:K$174,Master!H$4:H$174,Master!BN$4:BN$174},Master!J$4:J$174="Qualified",Master!D$4:D$174="Mixed Asset / Balanced",Master!AF$4:AF$174&lt;&gt;""),3,FALSE),3,4),"")</f>
        <v/>
      </c>
      <c r="E90" s="76">
        <f>IFERROR(INDEX(SORT(FILTER({Master!A$4:A$174,Master!B$4:B$174,Master!AF$4:AF$174,Master!W$4:W$174,Master!K$4:K$174,Master!H$4:H$174,Master!BN$4:BN$174},Master!J$4:J$174="Qualified",Master!D$4:D$174="Mixed Asset / Balanced",Master!AF$4:AF$174&lt;&gt;""),3,FALSE),3,5),"")</f>
        <v/>
      </c>
      <c r="F90" s="77">
        <f>IFERROR(INDEX(SORT(FILTER({Master!A$4:A$174,Master!B$4:B$174,Master!AF$4:AF$174,Master!W$4:W$174,Master!K$4:K$174,Master!H$4:H$174,Master!BN$4:BN$174},Master!J$4:J$174="Qualified",Master!D$4:D$174="Mixed Asset / Balanced",Master!AF$4:AF$174&lt;&gt;""),3,FALSE),3,6),"")</f>
        <v/>
      </c>
      <c r="G90" s="78">
        <f>IFERROR(INDEX(SORT(FILTER({Master!A$4:A$174,Master!B$4:B$174,Master!AF$4:AF$174,Master!W$4:W$174,Master!K$4:K$174,Master!H$4:H$174,Master!BN$4:BN$174},Master!J$4:J$174="Qualified",Master!D$4:D$174="Mixed Asset / Balanced",Master!AF$4:AF$174&lt;&gt;""),3,FALSE),3,7),"")</f>
        <v/>
      </c>
      <c r="H90" s="78" t="inlineStr"/>
    </row>
    <row r="91" ht="16" customHeight="1">
      <c r="A91" s="58">
        <f>IFERROR(INDEX(SORT(FILTER({Master!A$4:A$174,Master!B$4:B$174,Master!AF$4:AF$174,Master!W$4:W$174,Master!K$4:K$174,Master!H$4:H$174,Master!BN$4:BN$174},Master!J$4:J$174="Qualified",Master!D$4:D$174="Mixed Asset / Balanced",Master!AF$4:AF$174&lt;&gt;""),3,FALSE),4,1),"")</f>
        <v/>
      </c>
      <c r="B91" s="58">
        <f>IFERROR(INDEX(SORT(FILTER({Master!A$4:A$174,Master!B$4:B$174,Master!AF$4:AF$174,Master!W$4:W$174,Master!K$4:K$174,Master!H$4:H$174,Master!BN$4:BN$174},Master!J$4:J$174="Qualified",Master!D$4:D$174="Mixed Asset / Balanced",Master!AF$4:AF$174&lt;&gt;""),3,FALSE),4,2),"")</f>
        <v/>
      </c>
      <c r="C91" s="74">
        <f>IFERROR(INDEX(SORT(FILTER({Master!A$4:A$174,Master!B$4:B$174,Master!AF$4:AF$174,Master!W$4:W$174,Master!K$4:K$174,Master!H$4:H$174,Master!BN$4:BN$174},Master!J$4:J$174="Qualified",Master!D$4:D$174="Mixed Asset / Balanced",Master!AF$4:AF$174&lt;&gt;""),3,FALSE),4,3),"")</f>
        <v/>
      </c>
      <c r="D91" s="74">
        <f>IFERROR(INDEX(SORT(FILTER({Master!A$4:A$174,Master!B$4:B$174,Master!AF$4:AF$174,Master!W$4:W$174,Master!K$4:K$174,Master!H$4:H$174,Master!BN$4:BN$174},Master!J$4:J$174="Qualified",Master!D$4:D$174="Mixed Asset / Balanced",Master!AF$4:AF$174&lt;&gt;""),3,FALSE),4,4),"")</f>
        <v/>
      </c>
      <c r="E91" s="79">
        <f>IFERROR(INDEX(SORT(FILTER({Master!A$4:A$174,Master!B$4:B$174,Master!AF$4:AF$174,Master!W$4:W$174,Master!K$4:K$174,Master!H$4:H$174,Master!BN$4:BN$174},Master!J$4:J$174="Qualified",Master!D$4:D$174="Mixed Asset / Balanced",Master!AF$4:AF$174&lt;&gt;""),3,FALSE),4,5),"")</f>
        <v/>
      </c>
      <c r="F91" s="80">
        <f>IFERROR(INDEX(SORT(FILTER({Master!A$4:A$174,Master!B$4:B$174,Master!AF$4:AF$174,Master!W$4:W$174,Master!K$4:K$174,Master!H$4:H$174,Master!BN$4:BN$174},Master!J$4:J$174="Qualified",Master!D$4:D$174="Mixed Asset / Balanced",Master!AF$4:AF$174&lt;&gt;""),3,FALSE),4,6),"")</f>
        <v/>
      </c>
      <c r="G91" s="81">
        <f>IFERROR(INDEX(SORT(FILTER({Master!A$4:A$174,Master!B$4:B$174,Master!AF$4:AF$174,Master!W$4:W$174,Master!K$4:K$174,Master!H$4:H$174,Master!BN$4:BN$174},Master!J$4:J$174="Qualified",Master!D$4:D$174="Mixed Asset / Balanced",Master!AF$4:AF$174&lt;&gt;""),3,FALSE),4,7),"")</f>
        <v/>
      </c>
      <c r="H91" s="81" t="inlineStr"/>
    </row>
    <row r="92" ht="16" customHeight="1">
      <c r="A92" s="59">
        <f>IFERROR(INDEX(SORT(FILTER({Master!A$4:A$174,Master!B$4:B$174,Master!AF$4:AF$174,Master!W$4:W$174,Master!K$4:K$174,Master!H$4:H$174,Master!BN$4:BN$174},Master!J$4:J$174="Qualified",Master!D$4:D$174="Mixed Asset / Balanced",Master!AF$4:AF$174&lt;&gt;""),3,FALSE),5,1),"")</f>
        <v/>
      </c>
      <c r="B92" s="59">
        <f>IFERROR(INDEX(SORT(FILTER({Master!A$4:A$174,Master!B$4:B$174,Master!AF$4:AF$174,Master!W$4:W$174,Master!K$4:K$174,Master!H$4:H$174,Master!BN$4:BN$174},Master!J$4:J$174="Qualified",Master!D$4:D$174="Mixed Asset / Balanced",Master!AF$4:AF$174&lt;&gt;""),3,FALSE),5,2),"")</f>
        <v/>
      </c>
      <c r="C92" s="75">
        <f>IFERROR(INDEX(SORT(FILTER({Master!A$4:A$174,Master!B$4:B$174,Master!AF$4:AF$174,Master!W$4:W$174,Master!K$4:K$174,Master!H$4:H$174,Master!BN$4:BN$174},Master!J$4:J$174="Qualified",Master!D$4:D$174="Mixed Asset / Balanced",Master!AF$4:AF$174&lt;&gt;""),3,FALSE),5,3),"")</f>
        <v/>
      </c>
      <c r="D92" s="75">
        <f>IFERROR(INDEX(SORT(FILTER({Master!A$4:A$174,Master!B$4:B$174,Master!AF$4:AF$174,Master!W$4:W$174,Master!K$4:K$174,Master!H$4:H$174,Master!BN$4:BN$174},Master!J$4:J$174="Qualified",Master!D$4:D$174="Mixed Asset / Balanced",Master!AF$4:AF$174&lt;&gt;""),3,FALSE),5,4),"")</f>
        <v/>
      </c>
      <c r="E92" s="76">
        <f>IFERROR(INDEX(SORT(FILTER({Master!A$4:A$174,Master!B$4:B$174,Master!AF$4:AF$174,Master!W$4:W$174,Master!K$4:K$174,Master!H$4:H$174,Master!BN$4:BN$174},Master!J$4:J$174="Qualified",Master!D$4:D$174="Mixed Asset / Balanced",Master!AF$4:AF$174&lt;&gt;""),3,FALSE),5,5),"")</f>
        <v/>
      </c>
      <c r="F92" s="77">
        <f>IFERROR(INDEX(SORT(FILTER({Master!A$4:A$174,Master!B$4:B$174,Master!AF$4:AF$174,Master!W$4:W$174,Master!K$4:K$174,Master!H$4:H$174,Master!BN$4:BN$174},Master!J$4:J$174="Qualified",Master!D$4:D$174="Mixed Asset / Balanced",Master!AF$4:AF$174&lt;&gt;""),3,FALSE),5,6),"")</f>
        <v/>
      </c>
      <c r="G92" s="78">
        <f>IFERROR(INDEX(SORT(FILTER({Master!A$4:A$174,Master!B$4:B$174,Master!AF$4:AF$174,Master!W$4:W$174,Master!K$4:K$174,Master!H$4:H$174,Master!BN$4:BN$174},Master!J$4:J$174="Qualified",Master!D$4:D$174="Mixed Asset / Balanced",Master!AF$4:AF$174&lt;&gt;""),3,FALSE),5,7),"")</f>
        <v/>
      </c>
      <c r="H92" s="78" t="inlineStr"/>
    </row>
    <row r="94" ht="26" customHeight="1">
      <c r="A94" s="82" t="inlineStr">
        <is>
          <t>BALANCED / MIXED ASSET — TOP 5 BY AUM</t>
        </is>
      </c>
      <c r="B94" s="11" t="n"/>
      <c r="C94" s="11" t="n"/>
      <c r="D94" s="11" t="n"/>
      <c r="E94" s="11" t="n"/>
      <c r="F94" s="11" t="n"/>
      <c r="G94" s="11" t="n"/>
      <c r="H94" s="11" t="n"/>
    </row>
    <row r="95" ht="28" customHeight="1">
      <c r="A95" s="83" t="inlineStr">
        <is>
          <t>Fund Name</t>
        </is>
      </c>
      <c r="B95" s="83" t="inlineStr">
        <is>
          <t>Abbr</t>
        </is>
      </c>
      <c r="C95" s="83" t="inlineStr">
        <is>
          <t>AUM (RM M)</t>
        </is>
      </c>
      <c r="D95" s="83" t="inlineStr">
        <is>
          <t>3Y Fund (%)</t>
        </is>
      </c>
      <c r="E95" s="83" t="inlineStr">
        <is>
          <t>3Y Alpha (%)</t>
        </is>
      </c>
      <c r="F95" s="83" t="inlineStr">
        <is>
          <t>Beat (%)</t>
        </is>
      </c>
      <c r="G95" s="83" t="inlineStr">
        <is>
          <t>VC</t>
        </is>
      </c>
      <c r="H95" s="83" t="inlineStr"/>
    </row>
    <row r="96" ht="16" customHeight="1">
      <c r="A96" s="59">
        <f>IFERROR(INDEX(SORT(FILTER({Master!A$4:A$174,Master!B$4:B$174,Master!H$4:H$174,Master!U$4:U$174,Master!W$4:W$174,Master!K$4:K$174,Master!BN$4:BN$174},Master!J$4:J$174="Qualified",Master!D$4:D$174="Mixed Asset / Balanced",Master!H$4:H$174&lt;&gt;""),3,FALSE),1,1),"")</f>
        <v/>
      </c>
      <c r="B96" s="59">
        <f>IFERROR(INDEX(SORT(FILTER({Master!A$4:A$174,Master!B$4:B$174,Master!H$4:H$174,Master!U$4:U$174,Master!W$4:W$174,Master!K$4:K$174,Master!BN$4:BN$174},Master!J$4:J$174="Qualified",Master!D$4:D$174="Mixed Asset / Balanced",Master!H$4:H$174&lt;&gt;""),3,FALSE),1,2),"")</f>
        <v/>
      </c>
      <c r="C96" s="77">
        <f>IFERROR(INDEX(SORT(FILTER({Master!A$4:A$174,Master!B$4:B$174,Master!H$4:H$174,Master!U$4:U$174,Master!W$4:W$174,Master!K$4:K$174,Master!BN$4:BN$174},Master!J$4:J$174="Qualified",Master!D$4:D$174="Mixed Asset / Balanced",Master!H$4:H$174&lt;&gt;""),3,FALSE),1,3),"")</f>
        <v/>
      </c>
      <c r="D96" s="75">
        <f>IFERROR(INDEX(SORT(FILTER({Master!A$4:A$174,Master!B$4:B$174,Master!H$4:H$174,Master!U$4:U$174,Master!W$4:W$174,Master!K$4:K$174,Master!BN$4:BN$174},Master!J$4:J$174="Qualified",Master!D$4:D$174="Mixed Asset / Balanced",Master!H$4:H$174&lt;&gt;""),3,FALSE),1,4),"")</f>
        <v/>
      </c>
      <c r="E96" s="75">
        <f>IFERROR(INDEX(SORT(FILTER({Master!A$4:A$174,Master!B$4:B$174,Master!H$4:H$174,Master!U$4:U$174,Master!W$4:W$174,Master!K$4:K$174,Master!BN$4:BN$174},Master!J$4:J$174="Qualified",Master!D$4:D$174="Mixed Asset / Balanced",Master!H$4:H$174&lt;&gt;""),3,FALSE),1,5),"")</f>
        <v/>
      </c>
      <c r="F96" s="76">
        <f>IFERROR(INDEX(SORT(FILTER({Master!A$4:A$174,Master!B$4:B$174,Master!H$4:H$174,Master!U$4:U$174,Master!W$4:W$174,Master!K$4:K$174,Master!BN$4:BN$174},Master!J$4:J$174="Qualified",Master!D$4:D$174="Mixed Asset / Balanced",Master!H$4:H$174&lt;&gt;""),3,FALSE),1,6),"")</f>
        <v/>
      </c>
      <c r="G96" s="78">
        <f>IFERROR(INDEX(SORT(FILTER({Master!A$4:A$174,Master!B$4:B$174,Master!H$4:H$174,Master!U$4:U$174,Master!W$4:W$174,Master!K$4:K$174,Master!BN$4:BN$174},Master!J$4:J$174="Qualified",Master!D$4:D$174="Mixed Asset / Balanced",Master!H$4:H$174&lt;&gt;""),3,FALSE),1,7),"")</f>
        <v/>
      </c>
      <c r="H96" s="78" t="inlineStr"/>
    </row>
    <row r="97" ht="16" customHeight="1">
      <c r="A97" s="58">
        <f>IFERROR(INDEX(SORT(FILTER({Master!A$4:A$174,Master!B$4:B$174,Master!H$4:H$174,Master!U$4:U$174,Master!W$4:W$174,Master!K$4:K$174,Master!BN$4:BN$174},Master!J$4:J$174="Qualified",Master!D$4:D$174="Mixed Asset / Balanced",Master!H$4:H$174&lt;&gt;""),3,FALSE),2,1),"")</f>
        <v/>
      </c>
      <c r="B97" s="58">
        <f>IFERROR(INDEX(SORT(FILTER({Master!A$4:A$174,Master!B$4:B$174,Master!H$4:H$174,Master!U$4:U$174,Master!W$4:W$174,Master!K$4:K$174,Master!BN$4:BN$174},Master!J$4:J$174="Qualified",Master!D$4:D$174="Mixed Asset / Balanced",Master!H$4:H$174&lt;&gt;""),3,FALSE),2,2),"")</f>
        <v/>
      </c>
      <c r="C97" s="80">
        <f>IFERROR(INDEX(SORT(FILTER({Master!A$4:A$174,Master!B$4:B$174,Master!H$4:H$174,Master!U$4:U$174,Master!W$4:W$174,Master!K$4:K$174,Master!BN$4:BN$174},Master!J$4:J$174="Qualified",Master!D$4:D$174="Mixed Asset / Balanced",Master!H$4:H$174&lt;&gt;""),3,FALSE),2,3),"")</f>
        <v/>
      </c>
      <c r="D97" s="74">
        <f>IFERROR(INDEX(SORT(FILTER({Master!A$4:A$174,Master!B$4:B$174,Master!H$4:H$174,Master!U$4:U$174,Master!W$4:W$174,Master!K$4:K$174,Master!BN$4:BN$174},Master!J$4:J$174="Qualified",Master!D$4:D$174="Mixed Asset / Balanced",Master!H$4:H$174&lt;&gt;""),3,FALSE),2,4),"")</f>
        <v/>
      </c>
      <c r="E97" s="74">
        <f>IFERROR(INDEX(SORT(FILTER({Master!A$4:A$174,Master!B$4:B$174,Master!H$4:H$174,Master!U$4:U$174,Master!W$4:W$174,Master!K$4:K$174,Master!BN$4:BN$174},Master!J$4:J$174="Qualified",Master!D$4:D$174="Mixed Asset / Balanced",Master!H$4:H$174&lt;&gt;""),3,FALSE),2,5),"")</f>
        <v/>
      </c>
      <c r="F97" s="79">
        <f>IFERROR(INDEX(SORT(FILTER({Master!A$4:A$174,Master!B$4:B$174,Master!H$4:H$174,Master!U$4:U$174,Master!W$4:W$174,Master!K$4:K$174,Master!BN$4:BN$174},Master!J$4:J$174="Qualified",Master!D$4:D$174="Mixed Asset / Balanced",Master!H$4:H$174&lt;&gt;""),3,FALSE),2,6),"")</f>
        <v/>
      </c>
      <c r="G97" s="81">
        <f>IFERROR(INDEX(SORT(FILTER({Master!A$4:A$174,Master!B$4:B$174,Master!H$4:H$174,Master!U$4:U$174,Master!W$4:W$174,Master!K$4:K$174,Master!BN$4:BN$174},Master!J$4:J$174="Qualified",Master!D$4:D$174="Mixed Asset / Balanced",Master!H$4:H$174&lt;&gt;""),3,FALSE),2,7),"")</f>
        <v/>
      </c>
      <c r="H97" s="81" t="inlineStr"/>
    </row>
    <row r="98" ht="16" customHeight="1">
      <c r="A98" s="59">
        <f>IFERROR(INDEX(SORT(FILTER({Master!A$4:A$174,Master!B$4:B$174,Master!H$4:H$174,Master!U$4:U$174,Master!W$4:W$174,Master!K$4:K$174,Master!BN$4:BN$174},Master!J$4:J$174="Qualified",Master!D$4:D$174="Mixed Asset / Balanced",Master!H$4:H$174&lt;&gt;""),3,FALSE),3,1),"")</f>
        <v/>
      </c>
      <c r="B98" s="59">
        <f>IFERROR(INDEX(SORT(FILTER({Master!A$4:A$174,Master!B$4:B$174,Master!H$4:H$174,Master!U$4:U$174,Master!W$4:W$174,Master!K$4:K$174,Master!BN$4:BN$174},Master!J$4:J$174="Qualified",Master!D$4:D$174="Mixed Asset / Balanced",Master!H$4:H$174&lt;&gt;""),3,FALSE),3,2),"")</f>
        <v/>
      </c>
      <c r="C98" s="77">
        <f>IFERROR(INDEX(SORT(FILTER({Master!A$4:A$174,Master!B$4:B$174,Master!H$4:H$174,Master!U$4:U$174,Master!W$4:W$174,Master!K$4:K$174,Master!BN$4:BN$174},Master!J$4:J$174="Qualified",Master!D$4:D$174="Mixed Asset / Balanced",Master!H$4:H$174&lt;&gt;""),3,FALSE),3,3),"")</f>
        <v/>
      </c>
      <c r="D98" s="75">
        <f>IFERROR(INDEX(SORT(FILTER({Master!A$4:A$174,Master!B$4:B$174,Master!H$4:H$174,Master!U$4:U$174,Master!W$4:W$174,Master!K$4:K$174,Master!BN$4:BN$174},Master!J$4:J$174="Qualified",Master!D$4:D$174="Mixed Asset / Balanced",Master!H$4:H$174&lt;&gt;""),3,FALSE),3,4),"")</f>
        <v/>
      </c>
      <c r="E98" s="75">
        <f>IFERROR(INDEX(SORT(FILTER({Master!A$4:A$174,Master!B$4:B$174,Master!H$4:H$174,Master!U$4:U$174,Master!W$4:W$174,Master!K$4:K$174,Master!BN$4:BN$174},Master!J$4:J$174="Qualified",Master!D$4:D$174="Mixed Asset / Balanced",Master!H$4:H$174&lt;&gt;""),3,FALSE),3,5),"")</f>
        <v/>
      </c>
      <c r="F98" s="76">
        <f>IFERROR(INDEX(SORT(FILTER({Master!A$4:A$174,Master!B$4:B$174,Master!H$4:H$174,Master!U$4:U$174,Master!W$4:W$174,Master!K$4:K$174,Master!BN$4:BN$174},Master!J$4:J$174="Qualified",Master!D$4:D$174="Mixed Asset / Balanced",Master!H$4:H$174&lt;&gt;""),3,FALSE),3,6),"")</f>
        <v/>
      </c>
      <c r="G98" s="78">
        <f>IFERROR(INDEX(SORT(FILTER({Master!A$4:A$174,Master!B$4:B$174,Master!H$4:H$174,Master!U$4:U$174,Master!W$4:W$174,Master!K$4:K$174,Master!BN$4:BN$174},Master!J$4:J$174="Qualified",Master!D$4:D$174="Mixed Asset / Balanced",Master!H$4:H$174&lt;&gt;""),3,FALSE),3,7),"")</f>
        <v/>
      </c>
      <c r="H98" s="78" t="inlineStr"/>
    </row>
    <row r="99" ht="16" customHeight="1">
      <c r="A99" s="58">
        <f>IFERROR(INDEX(SORT(FILTER({Master!A$4:A$174,Master!B$4:B$174,Master!H$4:H$174,Master!U$4:U$174,Master!W$4:W$174,Master!K$4:K$174,Master!BN$4:BN$174},Master!J$4:J$174="Qualified",Master!D$4:D$174="Mixed Asset / Balanced",Master!H$4:H$174&lt;&gt;""),3,FALSE),4,1),"")</f>
        <v/>
      </c>
      <c r="B99" s="58">
        <f>IFERROR(INDEX(SORT(FILTER({Master!A$4:A$174,Master!B$4:B$174,Master!H$4:H$174,Master!U$4:U$174,Master!W$4:W$174,Master!K$4:K$174,Master!BN$4:BN$174},Master!J$4:J$174="Qualified",Master!D$4:D$174="Mixed Asset / Balanced",Master!H$4:H$174&lt;&gt;""),3,FALSE),4,2),"")</f>
        <v/>
      </c>
      <c r="C99" s="80">
        <f>IFERROR(INDEX(SORT(FILTER({Master!A$4:A$174,Master!B$4:B$174,Master!H$4:H$174,Master!U$4:U$174,Master!W$4:W$174,Master!K$4:K$174,Master!BN$4:BN$174},Master!J$4:J$174="Qualified",Master!D$4:D$174="Mixed Asset / Balanced",Master!H$4:H$174&lt;&gt;""),3,FALSE),4,3),"")</f>
        <v/>
      </c>
      <c r="D99" s="74">
        <f>IFERROR(INDEX(SORT(FILTER({Master!A$4:A$174,Master!B$4:B$174,Master!H$4:H$174,Master!U$4:U$174,Master!W$4:W$174,Master!K$4:K$174,Master!BN$4:BN$174},Master!J$4:J$174="Qualified",Master!D$4:D$174="Mixed Asset / Balanced",Master!H$4:H$174&lt;&gt;""),3,FALSE),4,4),"")</f>
        <v/>
      </c>
      <c r="E99" s="74">
        <f>IFERROR(INDEX(SORT(FILTER({Master!A$4:A$174,Master!B$4:B$174,Master!H$4:H$174,Master!U$4:U$174,Master!W$4:W$174,Master!K$4:K$174,Master!BN$4:BN$174},Master!J$4:J$174="Qualified",Master!D$4:D$174="Mixed Asset / Balanced",Master!H$4:H$174&lt;&gt;""),3,FALSE),4,5),"")</f>
        <v/>
      </c>
      <c r="F99" s="79">
        <f>IFERROR(INDEX(SORT(FILTER({Master!A$4:A$174,Master!B$4:B$174,Master!H$4:H$174,Master!U$4:U$174,Master!W$4:W$174,Master!K$4:K$174,Master!BN$4:BN$174},Master!J$4:J$174="Qualified",Master!D$4:D$174="Mixed Asset / Balanced",Master!H$4:H$174&lt;&gt;""),3,FALSE),4,6),"")</f>
        <v/>
      </c>
      <c r="G99" s="81">
        <f>IFERROR(INDEX(SORT(FILTER({Master!A$4:A$174,Master!B$4:B$174,Master!H$4:H$174,Master!U$4:U$174,Master!W$4:W$174,Master!K$4:K$174,Master!BN$4:BN$174},Master!J$4:J$174="Qualified",Master!D$4:D$174="Mixed Asset / Balanced",Master!H$4:H$174&lt;&gt;""),3,FALSE),4,7),"")</f>
        <v/>
      </c>
      <c r="H99" s="81" t="inlineStr"/>
    </row>
    <row r="100" ht="16" customHeight="1">
      <c r="A100" s="59">
        <f>IFERROR(INDEX(SORT(FILTER({Master!A$4:A$174,Master!B$4:B$174,Master!H$4:H$174,Master!U$4:U$174,Master!W$4:W$174,Master!K$4:K$174,Master!BN$4:BN$174},Master!J$4:J$174="Qualified",Master!D$4:D$174="Mixed Asset / Balanced",Master!H$4:H$174&lt;&gt;""),3,FALSE),5,1),"")</f>
        <v/>
      </c>
      <c r="B100" s="59">
        <f>IFERROR(INDEX(SORT(FILTER({Master!A$4:A$174,Master!B$4:B$174,Master!H$4:H$174,Master!U$4:U$174,Master!W$4:W$174,Master!K$4:K$174,Master!BN$4:BN$174},Master!J$4:J$174="Qualified",Master!D$4:D$174="Mixed Asset / Balanced",Master!H$4:H$174&lt;&gt;""),3,FALSE),5,2),"")</f>
        <v/>
      </c>
      <c r="C100" s="77">
        <f>IFERROR(INDEX(SORT(FILTER({Master!A$4:A$174,Master!B$4:B$174,Master!H$4:H$174,Master!U$4:U$174,Master!W$4:W$174,Master!K$4:K$174,Master!BN$4:BN$174},Master!J$4:J$174="Qualified",Master!D$4:D$174="Mixed Asset / Balanced",Master!H$4:H$174&lt;&gt;""),3,FALSE),5,3),"")</f>
        <v/>
      </c>
      <c r="D100" s="75">
        <f>IFERROR(INDEX(SORT(FILTER({Master!A$4:A$174,Master!B$4:B$174,Master!H$4:H$174,Master!U$4:U$174,Master!W$4:W$174,Master!K$4:K$174,Master!BN$4:BN$174},Master!J$4:J$174="Qualified",Master!D$4:D$174="Mixed Asset / Balanced",Master!H$4:H$174&lt;&gt;""),3,FALSE),5,4),"")</f>
        <v/>
      </c>
      <c r="E100" s="75">
        <f>IFERROR(INDEX(SORT(FILTER({Master!A$4:A$174,Master!B$4:B$174,Master!H$4:H$174,Master!U$4:U$174,Master!W$4:W$174,Master!K$4:K$174,Master!BN$4:BN$174},Master!J$4:J$174="Qualified",Master!D$4:D$174="Mixed Asset / Balanced",Master!H$4:H$174&lt;&gt;""),3,FALSE),5,5),"")</f>
        <v/>
      </c>
      <c r="F100" s="76">
        <f>IFERROR(INDEX(SORT(FILTER({Master!A$4:A$174,Master!B$4:B$174,Master!H$4:H$174,Master!U$4:U$174,Master!W$4:W$174,Master!K$4:K$174,Master!BN$4:BN$174},Master!J$4:J$174="Qualified",Master!D$4:D$174="Mixed Asset / Balanced",Master!H$4:H$174&lt;&gt;""),3,FALSE),5,6),"")</f>
        <v/>
      </c>
      <c r="G100" s="78">
        <f>IFERROR(INDEX(SORT(FILTER({Master!A$4:A$174,Master!B$4:B$174,Master!H$4:H$174,Master!U$4:U$174,Master!W$4:W$174,Master!K$4:K$174,Master!BN$4:BN$174},Master!J$4:J$174="Qualified",Master!D$4:D$174="Mixed Asset / Balanced",Master!H$4:H$174&lt;&gt;""),3,FALSE),5,7),"")</f>
        <v/>
      </c>
      <c r="H100" s="78" t="inlineStr"/>
    </row>
    <row r="102" ht="26" customHeight="1">
      <c r="A102" s="84" t="inlineStr">
        <is>
          <t>FIXED INCOME — MEDIAN STATISTICS</t>
        </is>
      </c>
      <c r="B102" s="85" t="n"/>
      <c r="C102" s="85" t="n"/>
      <c r="D102" s="85" t="n"/>
      <c r="E102" s="85" t="n"/>
      <c r="F102" s="85" t="n"/>
      <c r="G102" s="85" t="n"/>
      <c r="H102" s="85" t="n"/>
    </row>
    <row r="103" ht="28" customHeight="1">
      <c r="A103" s="86" t="inlineStr">
        <is>
          <t>Metric</t>
        </is>
      </c>
      <c r="B103" s="86" t="inlineStr">
        <is>
          <t>YTD (%)</t>
        </is>
      </c>
      <c r="C103" s="86" t="inlineStr">
        <is>
          <t>1Y (%)</t>
        </is>
      </c>
      <c r="D103" s="86" t="inlineStr">
        <is>
          <t>3Y Ann. (%)</t>
        </is>
      </c>
      <c r="E103" s="86" t="inlineStr">
        <is>
          <t>5Y Ann. (%)</t>
        </is>
      </c>
      <c r="F103" s="86" t="inlineStr">
        <is>
          <t>10Y Ann. (%)</t>
        </is>
      </c>
      <c r="G103" s="86" t="inlineStr">
        <is>
          <t>3Y Alpha (%)</t>
        </is>
      </c>
      <c r="H103" s="86" t="inlineStr">
        <is>
          <t>Beat (%)</t>
        </is>
      </c>
    </row>
    <row r="104" ht="16" customHeight="1">
      <c r="A104" s="63" t="inlineStr">
        <is>
          <t>Median</t>
        </is>
      </c>
      <c r="B104" s="73">
        <f>IFERROR(MEDIAN(FILTER(Master!O$4:O$174,(Master!J$4:J$174="Qualified")*(Master!D$4:D$174="Fixed Income"))),"")</f>
        <v/>
      </c>
      <c r="C104" s="74">
        <f>IFERROR(MEDIAN(FILTER(Master!R$4:R$174,(Master!J$4:J$174="Qualified")*(Master!D$4:D$174="Fixed Income"))),"")</f>
        <v/>
      </c>
      <c r="D104" s="74">
        <f>IFERROR(MEDIAN(FILTER(Master!U$4:U$174,(Master!J$4:J$174="Qualified")*(Master!D$4:D$174="Fixed Income"))),"")</f>
        <v/>
      </c>
      <c r="E104" s="74">
        <f>IFERROR(MEDIAN(FILTER(Master!X$4:X$174,(Master!J$4:J$174="Qualified")*(Master!D$4:D$174="Fixed Income"))),"")</f>
        <v/>
      </c>
      <c r="F104" s="74">
        <f>IFERROR(MEDIAN(FILTER(Master!AA$4:AA$174,(Master!J$4:J$174="Qualified")*(Master!D$4:D$174="Fixed Income"))),"")</f>
        <v/>
      </c>
      <c r="G104" s="74">
        <f>IFERROR(MEDIAN(FILTER(Master!W$4:W$174,(Master!J$4:J$174="Qualified")*(Master!D$4:D$174="Fixed Income"))),"")</f>
        <v/>
      </c>
      <c r="H104" s="74">
        <f>IFERROR(MEDIAN(FILTER(Master!K$4:K$174,(Master!J$4:J$174="Qualified")*(Master!D$4:D$174="Fixed Income"))),"")</f>
        <v/>
      </c>
    </row>
    <row r="106" ht="26" customHeight="1">
      <c r="A106" s="84" t="inlineStr">
        <is>
          <t>FIXED INCOME — TOP 5 BY 3Y ANN. FUND RETURN</t>
        </is>
      </c>
      <c r="B106" s="85" t="n"/>
      <c r="C106" s="85" t="n"/>
      <c r="D106" s="85" t="n"/>
      <c r="E106" s="85" t="n"/>
      <c r="F106" s="85" t="n"/>
      <c r="G106" s="85" t="n"/>
      <c r="H106" s="85" t="n"/>
    </row>
    <row r="107" ht="28" customHeight="1">
      <c r="A107" s="86" t="inlineStr">
        <is>
          <t>Fund Name</t>
        </is>
      </c>
      <c r="B107" s="86" t="inlineStr">
        <is>
          <t>Abbr</t>
        </is>
      </c>
      <c r="C107" s="86" t="inlineStr">
        <is>
          <t>3Y Fund (%)</t>
        </is>
      </c>
      <c r="D107" s="86" t="inlineStr">
        <is>
          <t>3Y Alpha (%)</t>
        </is>
      </c>
      <c r="E107" s="86" t="inlineStr">
        <is>
          <t>Beat (%)</t>
        </is>
      </c>
      <c r="F107" s="86" t="inlineStr">
        <is>
          <t>AUM (RM M)</t>
        </is>
      </c>
      <c r="G107" s="86" t="inlineStr">
        <is>
          <t>VC</t>
        </is>
      </c>
      <c r="H107" s="86" t="inlineStr"/>
    </row>
    <row r="108" ht="16" customHeight="1">
      <c r="A108" s="59">
        <f>IFERROR(INDEX(SORT(FILTER({Master!A$4:A$174,Master!B$4:B$174,Master!U$4:U$174,Master!W$4:W$174,Master!K$4:K$174,Master!H$4:H$174,Master!BN$4:BN$174},Master!J$4:J$174="Qualified",Master!D$4:D$174="Fixed Income",Master!U$4:U$174&lt;&gt;""),3,FALSE),1,1),"")</f>
        <v/>
      </c>
      <c r="B108" s="59">
        <f>IFERROR(INDEX(SORT(FILTER({Master!A$4:A$174,Master!B$4:B$174,Master!U$4:U$174,Master!W$4:W$174,Master!K$4:K$174,Master!H$4:H$174,Master!BN$4:BN$174},Master!J$4:J$174="Qualified",Master!D$4:D$174="Fixed Income",Master!U$4:U$174&lt;&gt;""),3,FALSE),1,2),"")</f>
        <v/>
      </c>
      <c r="C108" s="75">
        <f>IFERROR(INDEX(SORT(FILTER({Master!A$4:A$174,Master!B$4:B$174,Master!U$4:U$174,Master!W$4:W$174,Master!K$4:K$174,Master!H$4:H$174,Master!BN$4:BN$174},Master!J$4:J$174="Qualified",Master!D$4:D$174="Fixed Income",Master!U$4:U$174&lt;&gt;""),3,FALSE),1,3),"")</f>
        <v/>
      </c>
      <c r="D108" s="75">
        <f>IFERROR(INDEX(SORT(FILTER({Master!A$4:A$174,Master!B$4:B$174,Master!U$4:U$174,Master!W$4:W$174,Master!K$4:K$174,Master!H$4:H$174,Master!BN$4:BN$174},Master!J$4:J$174="Qualified",Master!D$4:D$174="Fixed Income",Master!U$4:U$174&lt;&gt;""),3,FALSE),1,4),"")</f>
        <v/>
      </c>
      <c r="E108" s="76">
        <f>IFERROR(INDEX(SORT(FILTER({Master!A$4:A$174,Master!B$4:B$174,Master!U$4:U$174,Master!W$4:W$174,Master!K$4:K$174,Master!H$4:H$174,Master!BN$4:BN$174},Master!J$4:J$174="Qualified",Master!D$4:D$174="Fixed Income",Master!U$4:U$174&lt;&gt;""),3,FALSE),1,5),"")</f>
        <v/>
      </c>
      <c r="F108" s="77">
        <f>IFERROR(INDEX(SORT(FILTER({Master!A$4:A$174,Master!B$4:B$174,Master!U$4:U$174,Master!W$4:W$174,Master!K$4:K$174,Master!H$4:H$174,Master!BN$4:BN$174},Master!J$4:J$174="Qualified",Master!D$4:D$174="Fixed Income",Master!U$4:U$174&lt;&gt;""),3,FALSE),1,6),"")</f>
        <v/>
      </c>
      <c r="G108" s="78">
        <f>IFERROR(INDEX(SORT(FILTER({Master!A$4:A$174,Master!B$4:B$174,Master!U$4:U$174,Master!W$4:W$174,Master!K$4:K$174,Master!H$4:H$174,Master!BN$4:BN$174},Master!J$4:J$174="Qualified",Master!D$4:D$174="Fixed Income",Master!U$4:U$174&lt;&gt;""),3,FALSE),1,7),"")</f>
        <v/>
      </c>
      <c r="H108" s="78" t="inlineStr"/>
    </row>
    <row r="109" ht="16" customHeight="1">
      <c r="A109" s="58">
        <f>IFERROR(INDEX(SORT(FILTER({Master!A$4:A$174,Master!B$4:B$174,Master!U$4:U$174,Master!W$4:W$174,Master!K$4:K$174,Master!H$4:H$174,Master!BN$4:BN$174},Master!J$4:J$174="Qualified",Master!D$4:D$174="Fixed Income",Master!U$4:U$174&lt;&gt;""),3,FALSE),2,1),"")</f>
        <v/>
      </c>
      <c r="B109" s="58">
        <f>IFERROR(INDEX(SORT(FILTER({Master!A$4:A$174,Master!B$4:B$174,Master!U$4:U$174,Master!W$4:W$174,Master!K$4:K$174,Master!H$4:H$174,Master!BN$4:BN$174},Master!J$4:J$174="Qualified",Master!D$4:D$174="Fixed Income",Master!U$4:U$174&lt;&gt;""),3,FALSE),2,2),"")</f>
        <v/>
      </c>
      <c r="C109" s="74">
        <f>IFERROR(INDEX(SORT(FILTER({Master!A$4:A$174,Master!B$4:B$174,Master!U$4:U$174,Master!W$4:W$174,Master!K$4:K$174,Master!H$4:H$174,Master!BN$4:BN$174},Master!J$4:J$174="Qualified",Master!D$4:D$174="Fixed Income",Master!U$4:U$174&lt;&gt;""),3,FALSE),2,3),"")</f>
        <v/>
      </c>
      <c r="D109" s="74">
        <f>IFERROR(INDEX(SORT(FILTER({Master!A$4:A$174,Master!B$4:B$174,Master!U$4:U$174,Master!W$4:W$174,Master!K$4:K$174,Master!H$4:H$174,Master!BN$4:BN$174},Master!J$4:J$174="Qualified",Master!D$4:D$174="Fixed Income",Master!U$4:U$174&lt;&gt;""),3,FALSE),2,4),"")</f>
        <v/>
      </c>
      <c r="E109" s="79">
        <f>IFERROR(INDEX(SORT(FILTER({Master!A$4:A$174,Master!B$4:B$174,Master!U$4:U$174,Master!W$4:W$174,Master!K$4:K$174,Master!H$4:H$174,Master!BN$4:BN$174},Master!J$4:J$174="Qualified",Master!D$4:D$174="Fixed Income",Master!U$4:U$174&lt;&gt;""),3,FALSE),2,5),"")</f>
        <v/>
      </c>
      <c r="F109" s="80">
        <f>IFERROR(INDEX(SORT(FILTER({Master!A$4:A$174,Master!B$4:B$174,Master!U$4:U$174,Master!W$4:W$174,Master!K$4:K$174,Master!H$4:H$174,Master!BN$4:BN$174},Master!J$4:J$174="Qualified",Master!D$4:D$174="Fixed Income",Master!U$4:U$174&lt;&gt;""),3,FALSE),2,6),"")</f>
        <v/>
      </c>
      <c r="G109" s="81">
        <f>IFERROR(INDEX(SORT(FILTER({Master!A$4:A$174,Master!B$4:B$174,Master!U$4:U$174,Master!W$4:W$174,Master!K$4:K$174,Master!H$4:H$174,Master!BN$4:BN$174},Master!J$4:J$174="Qualified",Master!D$4:D$174="Fixed Income",Master!U$4:U$174&lt;&gt;""),3,FALSE),2,7),"")</f>
        <v/>
      </c>
      <c r="H109" s="81" t="inlineStr"/>
    </row>
    <row r="110" ht="16" customHeight="1">
      <c r="A110" s="59">
        <f>IFERROR(INDEX(SORT(FILTER({Master!A$4:A$174,Master!B$4:B$174,Master!U$4:U$174,Master!W$4:W$174,Master!K$4:K$174,Master!H$4:H$174,Master!BN$4:BN$174},Master!J$4:J$174="Qualified",Master!D$4:D$174="Fixed Income",Master!U$4:U$174&lt;&gt;""),3,FALSE),3,1),"")</f>
        <v/>
      </c>
      <c r="B110" s="59">
        <f>IFERROR(INDEX(SORT(FILTER({Master!A$4:A$174,Master!B$4:B$174,Master!U$4:U$174,Master!W$4:W$174,Master!K$4:K$174,Master!H$4:H$174,Master!BN$4:BN$174},Master!J$4:J$174="Qualified",Master!D$4:D$174="Fixed Income",Master!U$4:U$174&lt;&gt;""),3,FALSE),3,2),"")</f>
        <v/>
      </c>
      <c r="C110" s="75">
        <f>IFERROR(INDEX(SORT(FILTER({Master!A$4:A$174,Master!B$4:B$174,Master!U$4:U$174,Master!W$4:W$174,Master!K$4:K$174,Master!H$4:H$174,Master!BN$4:BN$174},Master!J$4:J$174="Qualified",Master!D$4:D$174="Fixed Income",Master!U$4:U$174&lt;&gt;""),3,FALSE),3,3),"")</f>
        <v/>
      </c>
      <c r="D110" s="75">
        <f>IFERROR(INDEX(SORT(FILTER({Master!A$4:A$174,Master!B$4:B$174,Master!U$4:U$174,Master!W$4:W$174,Master!K$4:K$174,Master!H$4:H$174,Master!BN$4:BN$174},Master!J$4:J$174="Qualified",Master!D$4:D$174="Fixed Income",Master!U$4:U$174&lt;&gt;""),3,FALSE),3,4),"")</f>
        <v/>
      </c>
      <c r="E110" s="76">
        <f>IFERROR(INDEX(SORT(FILTER({Master!A$4:A$174,Master!B$4:B$174,Master!U$4:U$174,Master!W$4:W$174,Master!K$4:K$174,Master!H$4:H$174,Master!BN$4:BN$174},Master!J$4:J$174="Qualified",Master!D$4:D$174="Fixed Income",Master!U$4:U$174&lt;&gt;""),3,FALSE),3,5),"")</f>
        <v/>
      </c>
      <c r="F110" s="77">
        <f>IFERROR(INDEX(SORT(FILTER({Master!A$4:A$174,Master!B$4:B$174,Master!U$4:U$174,Master!W$4:W$174,Master!K$4:K$174,Master!H$4:H$174,Master!BN$4:BN$174},Master!J$4:J$174="Qualified",Master!D$4:D$174="Fixed Income",Master!U$4:U$174&lt;&gt;""),3,FALSE),3,6),"")</f>
        <v/>
      </c>
      <c r="G110" s="78">
        <f>IFERROR(INDEX(SORT(FILTER({Master!A$4:A$174,Master!B$4:B$174,Master!U$4:U$174,Master!W$4:W$174,Master!K$4:K$174,Master!H$4:H$174,Master!BN$4:BN$174},Master!J$4:J$174="Qualified",Master!D$4:D$174="Fixed Income",Master!U$4:U$174&lt;&gt;""),3,FALSE),3,7),"")</f>
        <v/>
      </c>
      <c r="H110" s="78" t="inlineStr"/>
    </row>
    <row r="111" ht="16" customHeight="1">
      <c r="A111" s="58">
        <f>IFERROR(INDEX(SORT(FILTER({Master!A$4:A$174,Master!B$4:B$174,Master!U$4:U$174,Master!W$4:W$174,Master!K$4:K$174,Master!H$4:H$174,Master!BN$4:BN$174},Master!J$4:J$174="Qualified",Master!D$4:D$174="Fixed Income",Master!U$4:U$174&lt;&gt;""),3,FALSE),4,1),"")</f>
        <v/>
      </c>
      <c r="B111" s="58">
        <f>IFERROR(INDEX(SORT(FILTER({Master!A$4:A$174,Master!B$4:B$174,Master!U$4:U$174,Master!W$4:W$174,Master!K$4:K$174,Master!H$4:H$174,Master!BN$4:BN$174},Master!J$4:J$174="Qualified",Master!D$4:D$174="Fixed Income",Master!U$4:U$174&lt;&gt;""),3,FALSE),4,2),"")</f>
        <v/>
      </c>
      <c r="C111" s="74">
        <f>IFERROR(INDEX(SORT(FILTER({Master!A$4:A$174,Master!B$4:B$174,Master!U$4:U$174,Master!W$4:W$174,Master!K$4:K$174,Master!H$4:H$174,Master!BN$4:BN$174},Master!J$4:J$174="Qualified",Master!D$4:D$174="Fixed Income",Master!U$4:U$174&lt;&gt;""),3,FALSE),4,3),"")</f>
        <v/>
      </c>
      <c r="D111" s="74">
        <f>IFERROR(INDEX(SORT(FILTER({Master!A$4:A$174,Master!B$4:B$174,Master!U$4:U$174,Master!W$4:W$174,Master!K$4:K$174,Master!H$4:H$174,Master!BN$4:BN$174},Master!J$4:J$174="Qualified",Master!D$4:D$174="Fixed Income",Master!U$4:U$174&lt;&gt;""),3,FALSE),4,4),"")</f>
        <v/>
      </c>
      <c r="E111" s="79">
        <f>IFERROR(INDEX(SORT(FILTER({Master!A$4:A$174,Master!B$4:B$174,Master!U$4:U$174,Master!W$4:W$174,Master!K$4:K$174,Master!H$4:H$174,Master!BN$4:BN$174},Master!J$4:J$174="Qualified",Master!D$4:D$174="Fixed Income",Master!U$4:U$174&lt;&gt;""),3,FALSE),4,5),"")</f>
        <v/>
      </c>
      <c r="F111" s="80">
        <f>IFERROR(INDEX(SORT(FILTER({Master!A$4:A$174,Master!B$4:B$174,Master!U$4:U$174,Master!W$4:W$174,Master!K$4:K$174,Master!H$4:H$174,Master!BN$4:BN$174},Master!J$4:J$174="Qualified",Master!D$4:D$174="Fixed Income",Master!U$4:U$174&lt;&gt;""),3,FALSE),4,6),"")</f>
        <v/>
      </c>
      <c r="G111" s="81">
        <f>IFERROR(INDEX(SORT(FILTER({Master!A$4:A$174,Master!B$4:B$174,Master!U$4:U$174,Master!W$4:W$174,Master!K$4:K$174,Master!H$4:H$174,Master!BN$4:BN$174},Master!J$4:J$174="Qualified",Master!D$4:D$174="Fixed Income",Master!U$4:U$174&lt;&gt;""),3,FALSE),4,7),"")</f>
        <v/>
      </c>
      <c r="H111" s="81" t="inlineStr"/>
    </row>
    <row r="112" ht="16" customHeight="1">
      <c r="A112" s="59">
        <f>IFERROR(INDEX(SORT(FILTER({Master!A$4:A$174,Master!B$4:B$174,Master!U$4:U$174,Master!W$4:W$174,Master!K$4:K$174,Master!H$4:H$174,Master!BN$4:BN$174},Master!J$4:J$174="Qualified",Master!D$4:D$174="Fixed Income",Master!U$4:U$174&lt;&gt;""),3,FALSE),5,1),"")</f>
        <v/>
      </c>
      <c r="B112" s="59">
        <f>IFERROR(INDEX(SORT(FILTER({Master!A$4:A$174,Master!B$4:B$174,Master!U$4:U$174,Master!W$4:W$174,Master!K$4:K$174,Master!H$4:H$174,Master!BN$4:BN$174},Master!J$4:J$174="Qualified",Master!D$4:D$174="Fixed Income",Master!U$4:U$174&lt;&gt;""),3,FALSE),5,2),"")</f>
        <v/>
      </c>
      <c r="C112" s="75">
        <f>IFERROR(INDEX(SORT(FILTER({Master!A$4:A$174,Master!B$4:B$174,Master!U$4:U$174,Master!W$4:W$174,Master!K$4:K$174,Master!H$4:H$174,Master!BN$4:BN$174},Master!J$4:J$174="Qualified",Master!D$4:D$174="Fixed Income",Master!U$4:U$174&lt;&gt;""),3,FALSE),5,3),"")</f>
        <v/>
      </c>
      <c r="D112" s="75">
        <f>IFERROR(INDEX(SORT(FILTER({Master!A$4:A$174,Master!B$4:B$174,Master!U$4:U$174,Master!W$4:W$174,Master!K$4:K$174,Master!H$4:H$174,Master!BN$4:BN$174},Master!J$4:J$174="Qualified",Master!D$4:D$174="Fixed Income",Master!U$4:U$174&lt;&gt;""),3,FALSE),5,4),"")</f>
        <v/>
      </c>
      <c r="E112" s="76">
        <f>IFERROR(INDEX(SORT(FILTER({Master!A$4:A$174,Master!B$4:B$174,Master!U$4:U$174,Master!W$4:W$174,Master!K$4:K$174,Master!H$4:H$174,Master!BN$4:BN$174},Master!J$4:J$174="Qualified",Master!D$4:D$174="Fixed Income",Master!U$4:U$174&lt;&gt;""),3,FALSE),5,5),"")</f>
        <v/>
      </c>
      <c r="F112" s="77">
        <f>IFERROR(INDEX(SORT(FILTER({Master!A$4:A$174,Master!B$4:B$174,Master!U$4:U$174,Master!W$4:W$174,Master!K$4:K$174,Master!H$4:H$174,Master!BN$4:BN$174},Master!J$4:J$174="Qualified",Master!D$4:D$174="Fixed Income",Master!U$4:U$174&lt;&gt;""),3,FALSE),5,6),"")</f>
        <v/>
      </c>
      <c r="G112" s="78">
        <f>IFERROR(INDEX(SORT(FILTER({Master!A$4:A$174,Master!B$4:B$174,Master!U$4:U$174,Master!W$4:W$174,Master!K$4:K$174,Master!H$4:H$174,Master!BN$4:BN$174},Master!J$4:J$174="Qualified",Master!D$4:D$174="Fixed Income",Master!U$4:U$174&lt;&gt;""),3,FALSE),5,7),"")</f>
        <v/>
      </c>
      <c r="H112" s="78" t="inlineStr"/>
    </row>
    <row r="114" ht="26" customHeight="1">
      <c r="A114" s="84" t="inlineStr">
        <is>
          <t>FIXED INCOME — TOP 5 BY 3Y ANN. ALPHA</t>
        </is>
      </c>
      <c r="B114" s="85" t="n"/>
      <c r="C114" s="85" t="n"/>
      <c r="D114" s="85" t="n"/>
      <c r="E114" s="85" t="n"/>
      <c r="F114" s="85" t="n"/>
      <c r="G114" s="85" t="n"/>
      <c r="H114" s="85" t="n"/>
    </row>
    <row r="115" ht="28" customHeight="1">
      <c r="A115" s="86" t="inlineStr">
        <is>
          <t>Fund Name</t>
        </is>
      </c>
      <c r="B115" s="86" t="inlineStr">
        <is>
          <t>Abbr</t>
        </is>
      </c>
      <c r="C115" s="86" t="inlineStr">
        <is>
          <t>3Y Fund (%)</t>
        </is>
      </c>
      <c r="D115" s="86" t="inlineStr">
        <is>
          <t>3Y Alpha (%)</t>
        </is>
      </c>
      <c r="E115" s="86" t="inlineStr">
        <is>
          <t>Beat (%)</t>
        </is>
      </c>
      <c r="F115" s="86" t="inlineStr">
        <is>
          <t>AUM (RM M)</t>
        </is>
      </c>
      <c r="G115" s="86" t="inlineStr">
        <is>
          <t>VC</t>
        </is>
      </c>
      <c r="H115" s="86" t="inlineStr"/>
    </row>
    <row r="116" ht="16" customHeight="1">
      <c r="A116" s="59">
        <f>IFERROR(INDEX(SORT(FILTER({Master!A$4:A$174,Master!B$4:B$174,Master!U$4:U$174,Master!W$4:W$174,Master!K$4:K$174,Master!H$4:H$174,Master!BN$4:BN$174},Master!J$4:J$174="Qualified",Master!D$4:D$174="Fixed Income",Master!W$4:W$174&lt;&gt;""),4,FALSE),1,1),"")</f>
        <v/>
      </c>
      <c r="B116" s="59">
        <f>IFERROR(INDEX(SORT(FILTER({Master!A$4:A$174,Master!B$4:B$174,Master!U$4:U$174,Master!W$4:W$174,Master!K$4:K$174,Master!H$4:H$174,Master!BN$4:BN$174},Master!J$4:J$174="Qualified",Master!D$4:D$174="Fixed Income",Master!W$4:W$174&lt;&gt;""),4,FALSE),1,2),"")</f>
        <v/>
      </c>
      <c r="C116" s="75">
        <f>IFERROR(INDEX(SORT(FILTER({Master!A$4:A$174,Master!B$4:B$174,Master!U$4:U$174,Master!W$4:W$174,Master!K$4:K$174,Master!H$4:H$174,Master!BN$4:BN$174},Master!J$4:J$174="Qualified",Master!D$4:D$174="Fixed Income",Master!W$4:W$174&lt;&gt;""),4,FALSE),1,3),"")</f>
        <v/>
      </c>
      <c r="D116" s="75">
        <f>IFERROR(INDEX(SORT(FILTER({Master!A$4:A$174,Master!B$4:B$174,Master!U$4:U$174,Master!W$4:W$174,Master!K$4:K$174,Master!H$4:H$174,Master!BN$4:BN$174},Master!J$4:J$174="Qualified",Master!D$4:D$174="Fixed Income",Master!W$4:W$174&lt;&gt;""),4,FALSE),1,4),"")</f>
        <v/>
      </c>
      <c r="E116" s="76">
        <f>IFERROR(INDEX(SORT(FILTER({Master!A$4:A$174,Master!B$4:B$174,Master!U$4:U$174,Master!W$4:W$174,Master!K$4:K$174,Master!H$4:H$174,Master!BN$4:BN$174},Master!J$4:J$174="Qualified",Master!D$4:D$174="Fixed Income",Master!W$4:W$174&lt;&gt;""),4,FALSE),1,5),"")</f>
        <v/>
      </c>
      <c r="F116" s="77">
        <f>IFERROR(INDEX(SORT(FILTER({Master!A$4:A$174,Master!B$4:B$174,Master!U$4:U$174,Master!W$4:W$174,Master!K$4:K$174,Master!H$4:H$174,Master!BN$4:BN$174},Master!J$4:J$174="Qualified",Master!D$4:D$174="Fixed Income",Master!W$4:W$174&lt;&gt;""),4,FALSE),1,6),"")</f>
        <v/>
      </c>
      <c r="G116" s="78">
        <f>IFERROR(INDEX(SORT(FILTER({Master!A$4:A$174,Master!B$4:B$174,Master!U$4:U$174,Master!W$4:W$174,Master!K$4:K$174,Master!H$4:H$174,Master!BN$4:BN$174},Master!J$4:J$174="Qualified",Master!D$4:D$174="Fixed Income",Master!W$4:W$174&lt;&gt;""),4,FALSE),1,7),"")</f>
        <v/>
      </c>
      <c r="H116" s="78" t="inlineStr"/>
    </row>
    <row r="117" ht="16" customHeight="1">
      <c r="A117" s="58">
        <f>IFERROR(INDEX(SORT(FILTER({Master!A$4:A$174,Master!B$4:B$174,Master!U$4:U$174,Master!W$4:W$174,Master!K$4:K$174,Master!H$4:H$174,Master!BN$4:BN$174},Master!J$4:J$174="Qualified",Master!D$4:D$174="Fixed Income",Master!W$4:W$174&lt;&gt;""),4,FALSE),2,1),"")</f>
        <v/>
      </c>
      <c r="B117" s="58">
        <f>IFERROR(INDEX(SORT(FILTER({Master!A$4:A$174,Master!B$4:B$174,Master!U$4:U$174,Master!W$4:W$174,Master!K$4:K$174,Master!H$4:H$174,Master!BN$4:BN$174},Master!J$4:J$174="Qualified",Master!D$4:D$174="Fixed Income",Master!W$4:W$174&lt;&gt;""),4,FALSE),2,2),"")</f>
        <v/>
      </c>
      <c r="C117" s="74">
        <f>IFERROR(INDEX(SORT(FILTER({Master!A$4:A$174,Master!B$4:B$174,Master!U$4:U$174,Master!W$4:W$174,Master!K$4:K$174,Master!H$4:H$174,Master!BN$4:BN$174},Master!J$4:J$174="Qualified",Master!D$4:D$174="Fixed Income",Master!W$4:W$174&lt;&gt;""),4,FALSE),2,3),"")</f>
        <v/>
      </c>
      <c r="D117" s="74">
        <f>IFERROR(INDEX(SORT(FILTER({Master!A$4:A$174,Master!B$4:B$174,Master!U$4:U$174,Master!W$4:W$174,Master!K$4:K$174,Master!H$4:H$174,Master!BN$4:BN$174},Master!J$4:J$174="Qualified",Master!D$4:D$174="Fixed Income",Master!W$4:W$174&lt;&gt;""),4,FALSE),2,4),"")</f>
        <v/>
      </c>
      <c r="E117" s="79">
        <f>IFERROR(INDEX(SORT(FILTER({Master!A$4:A$174,Master!B$4:B$174,Master!U$4:U$174,Master!W$4:W$174,Master!K$4:K$174,Master!H$4:H$174,Master!BN$4:BN$174},Master!J$4:J$174="Qualified",Master!D$4:D$174="Fixed Income",Master!W$4:W$174&lt;&gt;""),4,FALSE),2,5),"")</f>
        <v/>
      </c>
      <c r="F117" s="80">
        <f>IFERROR(INDEX(SORT(FILTER({Master!A$4:A$174,Master!B$4:B$174,Master!U$4:U$174,Master!W$4:W$174,Master!K$4:K$174,Master!H$4:H$174,Master!BN$4:BN$174},Master!J$4:J$174="Qualified",Master!D$4:D$174="Fixed Income",Master!W$4:W$174&lt;&gt;""),4,FALSE),2,6),"")</f>
        <v/>
      </c>
      <c r="G117" s="81">
        <f>IFERROR(INDEX(SORT(FILTER({Master!A$4:A$174,Master!B$4:B$174,Master!U$4:U$174,Master!W$4:W$174,Master!K$4:K$174,Master!H$4:H$174,Master!BN$4:BN$174},Master!J$4:J$174="Qualified",Master!D$4:D$174="Fixed Income",Master!W$4:W$174&lt;&gt;""),4,FALSE),2,7),"")</f>
        <v/>
      </c>
      <c r="H117" s="81" t="inlineStr"/>
    </row>
    <row r="118" ht="16" customHeight="1">
      <c r="A118" s="59">
        <f>IFERROR(INDEX(SORT(FILTER({Master!A$4:A$174,Master!B$4:B$174,Master!U$4:U$174,Master!W$4:W$174,Master!K$4:K$174,Master!H$4:H$174,Master!BN$4:BN$174},Master!J$4:J$174="Qualified",Master!D$4:D$174="Fixed Income",Master!W$4:W$174&lt;&gt;""),4,FALSE),3,1),"")</f>
        <v/>
      </c>
      <c r="B118" s="59">
        <f>IFERROR(INDEX(SORT(FILTER({Master!A$4:A$174,Master!B$4:B$174,Master!U$4:U$174,Master!W$4:W$174,Master!K$4:K$174,Master!H$4:H$174,Master!BN$4:BN$174},Master!J$4:J$174="Qualified",Master!D$4:D$174="Fixed Income",Master!W$4:W$174&lt;&gt;""),4,FALSE),3,2),"")</f>
        <v/>
      </c>
      <c r="C118" s="75">
        <f>IFERROR(INDEX(SORT(FILTER({Master!A$4:A$174,Master!B$4:B$174,Master!U$4:U$174,Master!W$4:W$174,Master!K$4:K$174,Master!H$4:H$174,Master!BN$4:BN$174},Master!J$4:J$174="Qualified",Master!D$4:D$174="Fixed Income",Master!W$4:W$174&lt;&gt;""),4,FALSE),3,3),"")</f>
        <v/>
      </c>
      <c r="D118" s="75">
        <f>IFERROR(INDEX(SORT(FILTER({Master!A$4:A$174,Master!B$4:B$174,Master!U$4:U$174,Master!W$4:W$174,Master!K$4:K$174,Master!H$4:H$174,Master!BN$4:BN$174},Master!J$4:J$174="Qualified",Master!D$4:D$174="Fixed Income",Master!W$4:W$174&lt;&gt;""),4,FALSE),3,4),"")</f>
        <v/>
      </c>
      <c r="E118" s="76">
        <f>IFERROR(INDEX(SORT(FILTER({Master!A$4:A$174,Master!B$4:B$174,Master!U$4:U$174,Master!W$4:W$174,Master!K$4:K$174,Master!H$4:H$174,Master!BN$4:BN$174},Master!J$4:J$174="Qualified",Master!D$4:D$174="Fixed Income",Master!W$4:W$174&lt;&gt;""),4,FALSE),3,5),"")</f>
        <v/>
      </c>
      <c r="F118" s="77">
        <f>IFERROR(INDEX(SORT(FILTER({Master!A$4:A$174,Master!B$4:B$174,Master!U$4:U$174,Master!W$4:W$174,Master!K$4:K$174,Master!H$4:H$174,Master!BN$4:BN$174},Master!J$4:J$174="Qualified",Master!D$4:D$174="Fixed Income",Master!W$4:W$174&lt;&gt;""),4,FALSE),3,6),"")</f>
        <v/>
      </c>
      <c r="G118" s="78">
        <f>IFERROR(INDEX(SORT(FILTER({Master!A$4:A$174,Master!B$4:B$174,Master!U$4:U$174,Master!W$4:W$174,Master!K$4:K$174,Master!H$4:H$174,Master!BN$4:BN$174},Master!J$4:J$174="Qualified",Master!D$4:D$174="Fixed Income",Master!W$4:W$174&lt;&gt;""),4,FALSE),3,7),"")</f>
        <v/>
      </c>
      <c r="H118" s="78" t="inlineStr"/>
    </row>
    <row r="119" ht="16" customHeight="1">
      <c r="A119" s="58">
        <f>IFERROR(INDEX(SORT(FILTER({Master!A$4:A$174,Master!B$4:B$174,Master!U$4:U$174,Master!W$4:W$174,Master!K$4:K$174,Master!H$4:H$174,Master!BN$4:BN$174},Master!J$4:J$174="Qualified",Master!D$4:D$174="Fixed Income",Master!W$4:W$174&lt;&gt;""),4,FALSE),4,1),"")</f>
        <v/>
      </c>
      <c r="B119" s="58">
        <f>IFERROR(INDEX(SORT(FILTER({Master!A$4:A$174,Master!B$4:B$174,Master!U$4:U$174,Master!W$4:W$174,Master!K$4:K$174,Master!H$4:H$174,Master!BN$4:BN$174},Master!J$4:J$174="Qualified",Master!D$4:D$174="Fixed Income",Master!W$4:W$174&lt;&gt;""),4,FALSE),4,2),"")</f>
        <v/>
      </c>
      <c r="C119" s="74">
        <f>IFERROR(INDEX(SORT(FILTER({Master!A$4:A$174,Master!B$4:B$174,Master!U$4:U$174,Master!W$4:W$174,Master!K$4:K$174,Master!H$4:H$174,Master!BN$4:BN$174},Master!J$4:J$174="Qualified",Master!D$4:D$174="Fixed Income",Master!W$4:W$174&lt;&gt;""),4,FALSE),4,3),"")</f>
        <v/>
      </c>
      <c r="D119" s="74">
        <f>IFERROR(INDEX(SORT(FILTER({Master!A$4:A$174,Master!B$4:B$174,Master!U$4:U$174,Master!W$4:W$174,Master!K$4:K$174,Master!H$4:H$174,Master!BN$4:BN$174},Master!J$4:J$174="Qualified",Master!D$4:D$174="Fixed Income",Master!W$4:W$174&lt;&gt;""),4,FALSE),4,4),"")</f>
        <v/>
      </c>
      <c r="E119" s="79">
        <f>IFERROR(INDEX(SORT(FILTER({Master!A$4:A$174,Master!B$4:B$174,Master!U$4:U$174,Master!W$4:W$174,Master!K$4:K$174,Master!H$4:H$174,Master!BN$4:BN$174},Master!J$4:J$174="Qualified",Master!D$4:D$174="Fixed Income",Master!W$4:W$174&lt;&gt;""),4,FALSE),4,5),"")</f>
        <v/>
      </c>
      <c r="F119" s="80">
        <f>IFERROR(INDEX(SORT(FILTER({Master!A$4:A$174,Master!B$4:B$174,Master!U$4:U$174,Master!W$4:W$174,Master!K$4:K$174,Master!H$4:H$174,Master!BN$4:BN$174},Master!J$4:J$174="Qualified",Master!D$4:D$174="Fixed Income",Master!W$4:W$174&lt;&gt;""),4,FALSE),4,6),"")</f>
        <v/>
      </c>
      <c r="G119" s="81">
        <f>IFERROR(INDEX(SORT(FILTER({Master!A$4:A$174,Master!B$4:B$174,Master!U$4:U$174,Master!W$4:W$174,Master!K$4:K$174,Master!H$4:H$174,Master!BN$4:BN$174},Master!J$4:J$174="Qualified",Master!D$4:D$174="Fixed Income",Master!W$4:W$174&lt;&gt;""),4,FALSE),4,7),"")</f>
        <v/>
      </c>
      <c r="H119" s="81" t="inlineStr"/>
    </row>
    <row r="120" ht="16" customHeight="1">
      <c r="A120" s="59">
        <f>IFERROR(INDEX(SORT(FILTER({Master!A$4:A$174,Master!B$4:B$174,Master!U$4:U$174,Master!W$4:W$174,Master!K$4:K$174,Master!H$4:H$174,Master!BN$4:BN$174},Master!J$4:J$174="Qualified",Master!D$4:D$174="Fixed Income",Master!W$4:W$174&lt;&gt;""),4,FALSE),5,1),"")</f>
        <v/>
      </c>
      <c r="B120" s="59">
        <f>IFERROR(INDEX(SORT(FILTER({Master!A$4:A$174,Master!B$4:B$174,Master!U$4:U$174,Master!W$4:W$174,Master!K$4:K$174,Master!H$4:H$174,Master!BN$4:BN$174},Master!J$4:J$174="Qualified",Master!D$4:D$174="Fixed Income",Master!W$4:W$174&lt;&gt;""),4,FALSE),5,2),"")</f>
        <v/>
      </c>
      <c r="C120" s="75">
        <f>IFERROR(INDEX(SORT(FILTER({Master!A$4:A$174,Master!B$4:B$174,Master!U$4:U$174,Master!W$4:W$174,Master!K$4:K$174,Master!H$4:H$174,Master!BN$4:BN$174},Master!J$4:J$174="Qualified",Master!D$4:D$174="Fixed Income",Master!W$4:W$174&lt;&gt;""),4,FALSE),5,3),"")</f>
        <v/>
      </c>
      <c r="D120" s="75">
        <f>IFERROR(INDEX(SORT(FILTER({Master!A$4:A$174,Master!B$4:B$174,Master!U$4:U$174,Master!W$4:W$174,Master!K$4:K$174,Master!H$4:H$174,Master!BN$4:BN$174},Master!J$4:J$174="Qualified",Master!D$4:D$174="Fixed Income",Master!W$4:W$174&lt;&gt;""),4,FALSE),5,4),"")</f>
        <v/>
      </c>
      <c r="E120" s="76">
        <f>IFERROR(INDEX(SORT(FILTER({Master!A$4:A$174,Master!B$4:B$174,Master!U$4:U$174,Master!W$4:W$174,Master!K$4:K$174,Master!H$4:H$174,Master!BN$4:BN$174},Master!J$4:J$174="Qualified",Master!D$4:D$174="Fixed Income",Master!W$4:W$174&lt;&gt;""),4,FALSE),5,5),"")</f>
        <v/>
      </c>
      <c r="F120" s="77">
        <f>IFERROR(INDEX(SORT(FILTER({Master!A$4:A$174,Master!B$4:B$174,Master!U$4:U$174,Master!W$4:W$174,Master!K$4:K$174,Master!H$4:H$174,Master!BN$4:BN$174},Master!J$4:J$174="Qualified",Master!D$4:D$174="Fixed Income",Master!W$4:W$174&lt;&gt;""),4,FALSE),5,6),"")</f>
        <v/>
      </c>
      <c r="G120" s="78">
        <f>IFERROR(INDEX(SORT(FILTER({Master!A$4:A$174,Master!B$4:B$174,Master!U$4:U$174,Master!W$4:W$174,Master!K$4:K$174,Master!H$4:H$174,Master!BN$4:BN$174},Master!J$4:J$174="Qualified",Master!D$4:D$174="Fixed Income",Master!W$4:W$174&lt;&gt;""),4,FALSE),5,7),"")</f>
        <v/>
      </c>
      <c r="H120" s="78" t="inlineStr"/>
    </row>
    <row r="122" ht="26" customHeight="1">
      <c r="A122" s="84" t="inlineStr">
        <is>
          <t>FIXED INCOME — TOP 5 BY ALPHA EFFICIENCY</t>
        </is>
      </c>
      <c r="B122" s="85" t="n"/>
      <c r="C122" s="85" t="n"/>
      <c r="D122" s="85" t="n"/>
      <c r="E122" s="85" t="n"/>
      <c r="F122" s="85" t="n"/>
      <c r="G122" s="85" t="n"/>
      <c r="H122" s="85" t="n"/>
    </row>
    <row r="123" ht="28" customHeight="1">
      <c r="A123" s="86" t="inlineStr">
        <is>
          <t>Fund Name</t>
        </is>
      </c>
      <c r="B123" s="86" t="inlineStr">
        <is>
          <t>Abbr</t>
        </is>
      </c>
      <c r="C123" s="86" t="inlineStr">
        <is>
          <t>Alpha Eff</t>
        </is>
      </c>
      <c r="D123" s="86" t="inlineStr">
        <is>
          <t>3Y Alpha (%)</t>
        </is>
      </c>
      <c r="E123" s="86" t="inlineStr">
        <is>
          <t>Beat (%)</t>
        </is>
      </c>
      <c r="F123" s="86" t="inlineStr">
        <is>
          <t>AUM (RM M)</t>
        </is>
      </c>
      <c r="G123" s="86" t="inlineStr">
        <is>
          <t>VC</t>
        </is>
      </c>
      <c r="H123" s="86" t="inlineStr"/>
    </row>
    <row r="124" ht="16" customHeight="1">
      <c r="A124" s="59">
        <f>IFERROR(INDEX(SORT(FILTER({Master!A$4:A$174,Master!B$4:B$174,Master!AF$4:AF$174,Master!W$4:W$174,Master!K$4:K$174,Master!H$4:H$174,Master!BN$4:BN$174},Master!J$4:J$174="Qualified",Master!D$4:D$174="Fixed Income",Master!AF$4:AF$174&lt;&gt;""),3,FALSE),1,1),"")</f>
        <v/>
      </c>
      <c r="B124" s="59">
        <f>IFERROR(INDEX(SORT(FILTER({Master!A$4:A$174,Master!B$4:B$174,Master!AF$4:AF$174,Master!W$4:W$174,Master!K$4:K$174,Master!H$4:H$174,Master!BN$4:BN$174},Master!J$4:J$174="Qualified",Master!D$4:D$174="Fixed Income",Master!AF$4:AF$174&lt;&gt;""),3,FALSE),1,2),"")</f>
        <v/>
      </c>
      <c r="C124" s="75">
        <f>IFERROR(INDEX(SORT(FILTER({Master!A$4:A$174,Master!B$4:B$174,Master!AF$4:AF$174,Master!W$4:W$174,Master!K$4:K$174,Master!H$4:H$174,Master!BN$4:BN$174},Master!J$4:J$174="Qualified",Master!D$4:D$174="Fixed Income",Master!AF$4:AF$174&lt;&gt;""),3,FALSE),1,3),"")</f>
        <v/>
      </c>
      <c r="D124" s="75">
        <f>IFERROR(INDEX(SORT(FILTER({Master!A$4:A$174,Master!B$4:B$174,Master!AF$4:AF$174,Master!W$4:W$174,Master!K$4:K$174,Master!H$4:H$174,Master!BN$4:BN$174},Master!J$4:J$174="Qualified",Master!D$4:D$174="Fixed Income",Master!AF$4:AF$174&lt;&gt;""),3,FALSE),1,4),"")</f>
        <v/>
      </c>
      <c r="E124" s="76">
        <f>IFERROR(INDEX(SORT(FILTER({Master!A$4:A$174,Master!B$4:B$174,Master!AF$4:AF$174,Master!W$4:W$174,Master!K$4:K$174,Master!H$4:H$174,Master!BN$4:BN$174},Master!J$4:J$174="Qualified",Master!D$4:D$174="Fixed Income",Master!AF$4:AF$174&lt;&gt;""),3,FALSE),1,5),"")</f>
        <v/>
      </c>
      <c r="F124" s="77">
        <f>IFERROR(INDEX(SORT(FILTER({Master!A$4:A$174,Master!B$4:B$174,Master!AF$4:AF$174,Master!W$4:W$174,Master!K$4:K$174,Master!H$4:H$174,Master!BN$4:BN$174},Master!J$4:J$174="Qualified",Master!D$4:D$174="Fixed Income",Master!AF$4:AF$174&lt;&gt;""),3,FALSE),1,6),"")</f>
        <v/>
      </c>
      <c r="G124" s="78">
        <f>IFERROR(INDEX(SORT(FILTER({Master!A$4:A$174,Master!B$4:B$174,Master!AF$4:AF$174,Master!W$4:W$174,Master!K$4:K$174,Master!H$4:H$174,Master!BN$4:BN$174},Master!J$4:J$174="Qualified",Master!D$4:D$174="Fixed Income",Master!AF$4:AF$174&lt;&gt;""),3,FALSE),1,7),"")</f>
        <v/>
      </c>
      <c r="H124" s="78" t="inlineStr"/>
    </row>
    <row r="125" ht="16" customHeight="1">
      <c r="A125" s="58">
        <f>IFERROR(INDEX(SORT(FILTER({Master!A$4:A$174,Master!B$4:B$174,Master!AF$4:AF$174,Master!W$4:W$174,Master!K$4:K$174,Master!H$4:H$174,Master!BN$4:BN$174},Master!J$4:J$174="Qualified",Master!D$4:D$174="Fixed Income",Master!AF$4:AF$174&lt;&gt;""),3,FALSE),2,1),"")</f>
        <v/>
      </c>
      <c r="B125" s="58">
        <f>IFERROR(INDEX(SORT(FILTER({Master!A$4:A$174,Master!B$4:B$174,Master!AF$4:AF$174,Master!W$4:W$174,Master!K$4:K$174,Master!H$4:H$174,Master!BN$4:BN$174},Master!J$4:J$174="Qualified",Master!D$4:D$174="Fixed Income",Master!AF$4:AF$174&lt;&gt;""),3,FALSE),2,2),"")</f>
        <v/>
      </c>
      <c r="C125" s="74">
        <f>IFERROR(INDEX(SORT(FILTER({Master!A$4:A$174,Master!B$4:B$174,Master!AF$4:AF$174,Master!W$4:W$174,Master!K$4:K$174,Master!H$4:H$174,Master!BN$4:BN$174},Master!J$4:J$174="Qualified",Master!D$4:D$174="Fixed Income",Master!AF$4:AF$174&lt;&gt;""),3,FALSE),2,3),"")</f>
        <v/>
      </c>
      <c r="D125" s="74">
        <f>IFERROR(INDEX(SORT(FILTER({Master!A$4:A$174,Master!B$4:B$174,Master!AF$4:AF$174,Master!W$4:W$174,Master!K$4:K$174,Master!H$4:H$174,Master!BN$4:BN$174},Master!J$4:J$174="Qualified",Master!D$4:D$174="Fixed Income",Master!AF$4:AF$174&lt;&gt;""),3,FALSE),2,4),"")</f>
        <v/>
      </c>
      <c r="E125" s="79">
        <f>IFERROR(INDEX(SORT(FILTER({Master!A$4:A$174,Master!B$4:B$174,Master!AF$4:AF$174,Master!W$4:W$174,Master!K$4:K$174,Master!H$4:H$174,Master!BN$4:BN$174},Master!J$4:J$174="Qualified",Master!D$4:D$174="Fixed Income",Master!AF$4:AF$174&lt;&gt;""),3,FALSE),2,5),"")</f>
        <v/>
      </c>
      <c r="F125" s="80">
        <f>IFERROR(INDEX(SORT(FILTER({Master!A$4:A$174,Master!B$4:B$174,Master!AF$4:AF$174,Master!W$4:W$174,Master!K$4:K$174,Master!H$4:H$174,Master!BN$4:BN$174},Master!J$4:J$174="Qualified",Master!D$4:D$174="Fixed Income",Master!AF$4:AF$174&lt;&gt;""),3,FALSE),2,6),"")</f>
        <v/>
      </c>
      <c r="G125" s="81">
        <f>IFERROR(INDEX(SORT(FILTER({Master!A$4:A$174,Master!B$4:B$174,Master!AF$4:AF$174,Master!W$4:W$174,Master!K$4:K$174,Master!H$4:H$174,Master!BN$4:BN$174},Master!J$4:J$174="Qualified",Master!D$4:D$174="Fixed Income",Master!AF$4:AF$174&lt;&gt;""),3,FALSE),2,7),"")</f>
        <v/>
      </c>
      <c r="H125" s="81" t="inlineStr"/>
    </row>
    <row r="126" ht="16" customHeight="1">
      <c r="A126" s="59">
        <f>IFERROR(INDEX(SORT(FILTER({Master!A$4:A$174,Master!B$4:B$174,Master!AF$4:AF$174,Master!W$4:W$174,Master!K$4:K$174,Master!H$4:H$174,Master!BN$4:BN$174},Master!J$4:J$174="Qualified",Master!D$4:D$174="Fixed Income",Master!AF$4:AF$174&lt;&gt;""),3,FALSE),3,1),"")</f>
        <v/>
      </c>
      <c r="B126" s="59">
        <f>IFERROR(INDEX(SORT(FILTER({Master!A$4:A$174,Master!B$4:B$174,Master!AF$4:AF$174,Master!W$4:W$174,Master!K$4:K$174,Master!H$4:H$174,Master!BN$4:BN$174},Master!J$4:J$174="Qualified",Master!D$4:D$174="Fixed Income",Master!AF$4:AF$174&lt;&gt;""),3,FALSE),3,2),"")</f>
        <v/>
      </c>
      <c r="C126" s="75">
        <f>IFERROR(INDEX(SORT(FILTER({Master!A$4:A$174,Master!B$4:B$174,Master!AF$4:AF$174,Master!W$4:W$174,Master!K$4:K$174,Master!H$4:H$174,Master!BN$4:BN$174},Master!J$4:J$174="Qualified",Master!D$4:D$174="Fixed Income",Master!AF$4:AF$174&lt;&gt;""),3,FALSE),3,3),"")</f>
        <v/>
      </c>
      <c r="D126" s="75">
        <f>IFERROR(INDEX(SORT(FILTER({Master!A$4:A$174,Master!B$4:B$174,Master!AF$4:AF$174,Master!W$4:W$174,Master!K$4:K$174,Master!H$4:H$174,Master!BN$4:BN$174},Master!J$4:J$174="Qualified",Master!D$4:D$174="Fixed Income",Master!AF$4:AF$174&lt;&gt;""),3,FALSE),3,4),"")</f>
        <v/>
      </c>
      <c r="E126" s="76">
        <f>IFERROR(INDEX(SORT(FILTER({Master!A$4:A$174,Master!B$4:B$174,Master!AF$4:AF$174,Master!W$4:W$174,Master!K$4:K$174,Master!H$4:H$174,Master!BN$4:BN$174},Master!J$4:J$174="Qualified",Master!D$4:D$174="Fixed Income",Master!AF$4:AF$174&lt;&gt;""),3,FALSE),3,5),"")</f>
        <v/>
      </c>
      <c r="F126" s="77">
        <f>IFERROR(INDEX(SORT(FILTER({Master!A$4:A$174,Master!B$4:B$174,Master!AF$4:AF$174,Master!W$4:W$174,Master!K$4:K$174,Master!H$4:H$174,Master!BN$4:BN$174},Master!J$4:J$174="Qualified",Master!D$4:D$174="Fixed Income",Master!AF$4:AF$174&lt;&gt;""),3,FALSE),3,6),"")</f>
        <v/>
      </c>
      <c r="G126" s="78">
        <f>IFERROR(INDEX(SORT(FILTER({Master!A$4:A$174,Master!B$4:B$174,Master!AF$4:AF$174,Master!W$4:W$174,Master!K$4:K$174,Master!H$4:H$174,Master!BN$4:BN$174},Master!J$4:J$174="Qualified",Master!D$4:D$174="Fixed Income",Master!AF$4:AF$174&lt;&gt;""),3,FALSE),3,7),"")</f>
        <v/>
      </c>
      <c r="H126" s="78" t="inlineStr"/>
    </row>
    <row r="127" ht="16" customHeight="1">
      <c r="A127" s="58">
        <f>IFERROR(INDEX(SORT(FILTER({Master!A$4:A$174,Master!B$4:B$174,Master!AF$4:AF$174,Master!W$4:W$174,Master!K$4:K$174,Master!H$4:H$174,Master!BN$4:BN$174},Master!J$4:J$174="Qualified",Master!D$4:D$174="Fixed Income",Master!AF$4:AF$174&lt;&gt;""),3,FALSE),4,1),"")</f>
        <v/>
      </c>
      <c r="B127" s="58">
        <f>IFERROR(INDEX(SORT(FILTER({Master!A$4:A$174,Master!B$4:B$174,Master!AF$4:AF$174,Master!W$4:W$174,Master!K$4:K$174,Master!H$4:H$174,Master!BN$4:BN$174},Master!J$4:J$174="Qualified",Master!D$4:D$174="Fixed Income",Master!AF$4:AF$174&lt;&gt;""),3,FALSE),4,2),"")</f>
        <v/>
      </c>
      <c r="C127" s="74">
        <f>IFERROR(INDEX(SORT(FILTER({Master!A$4:A$174,Master!B$4:B$174,Master!AF$4:AF$174,Master!W$4:W$174,Master!K$4:K$174,Master!H$4:H$174,Master!BN$4:BN$174},Master!J$4:J$174="Qualified",Master!D$4:D$174="Fixed Income",Master!AF$4:AF$174&lt;&gt;""),3,FALSE),4,3),"")</f>
        <v/>
      </c>
      <c r="D127" s="74">
        <f>IFERROR(INDEX(SORT(FILTER({Master!A$4:A$174,Master!B$4:B$174,Master!AF$4:AF$174,Master!W$4:W$174,Master!K$4:K$174,Master!H$4:H$174,Master!BN$4:BN$174},Master!J$4:J$174="Qualified",Master!D$4:D$174="Fixed Income",Master!AF$4:AF$174&lt;&gt;""),3,FALSE),4,4),"")</f>
        <v/>
      </c>
      <c r="E127" s="79">
        <f>IFERROR(INDEX(SORT(FILTER({Master!A$4:A$174,Master!B$4:B$174,Master!AF$4:AF$174,Master!W$4:W$174,Master!K$4:K$174,Master!H$4:H$174,Master!BN$4:BN$174},Master!J$4:J$174="Qualified",Master!D$4:D$174="Fixed Income",Master!AF$4:AF$174&lt;&gt;""),3,FALSE),4,5),"")</f>
        <v/>
      </c>
      <c r="F127" s="80">
        <f>IFERROR(INDEX(SORT(FILTER({Master!A$4:A$174,Master!B$4:B$174,Master!AF$4:AF$174,Master!W$4:W$174,Master!K$4:K$174,Master!H$4:H$174,Master!BN$4:BN$174},Master!J$4:J$174="Qualified",Master!D$4:D$174="Fixed Income",Master!AF$4:AF$174&lt;&gt;""),3,FALSE),4,6),"")</f>
        <v/>
      </c>
      <c r="G127" s="81">
        <f>IFERROR(INDEX(SORT(FILTER({Master!A$4:A$174,Master!B$4:B$174,Master!AF$4:AF$174,Master!W$4:W$174,Master!K$4:K$174,Master!H$4:H$174,Master!BN$4:BN$174},Master!J$4:J$174="Qualified",Master!D$4:D$174="Fixed Income",Master!AF$4:AF$174&lt;&gt;""),3,FALSE),4,7),"")</f>
        <v/>
      </c>
      <c r="H127" s="81" t="inlineStr"/>
    </row>
    <row r="128" ht="16" customHeight="1">
      <c r="A128" s="59">
        <f>IFERROR(INDEX(SORT(FILTER({Master!A$4:A$174,Master!B$4:B$174,Master!AF$4:AF$174,Master!W$4:W$174,Master!K$4:K$174,Master!H$4:H$174,Master!BN$4:BN$174},Master!J$4:J$174="Qualified",Master!D$4:D$174="Fixed Income",Master!AF$4:AF$174&lt;&gt;""),3,FALSE),5,1),"")</f>
        <v/>
      </c>
      <c r="B128" s="59">
        <f>IFERROR(INDEX(SORT(FILTER({Master!A$4:A$174,Master!B$4:B$174,Master!AF$4:AF$174,Master!W$4:W$174,Master!K$4:K$174,Master!H$4:H$174,Master!BN$4:BN$174},Master!J$4:J$174="Qualified",Master!D$4:D$174="Fixed Income",Master!AF$4:AF$174&lt;&gt;""),3,FALSE),5,2),"")</f>
        <v/>
      </c>
      <c r="C128" s="75">
        <f>IFERROR(INDEX(SORT(FILTER({Master!A$4:A$174,Master!B$4:B$174,Master!AF$4:AF$174,Master!W$4:W$174,Master!K$4:K$174,Master!H$4:H$174,Master!BN$4:BN$174},Master!J$4:J$174="Qualified",Master!D$4:D$174="Fixed Income",Master!AF$4:AF$174&lt;&gt;""),3,FALSE),5,3),"")</f>
        <v/>
      </c>
      <c r="D128" s="75">
        <f>IFERROR(INDEX(SORT(FILTER({Master!A$4:A$174,Master!B$4:B$174,Master!AF$4:AF$174,Master!W$4:W$174,Master!K$4:K$174,Master!H$4:H$174,Master!BN$4:BN$174},Master!J$4:J$174="Qualified",Master!D$4:D$174="Fixed Income",Master!AF$4:AF$174&lt;&gt;""),3,FALSE),5,4),"")</f>
        <v/>
      </c>
      <c r="E128" s="76">
        <f>IFERROR(INDEX(SORT(FILTER({Master!A$4:A$174,Master!B$4:B$174,Master!AF$4:AF$174,Master!W$4:W$174,Master!K$4:K$174,Master!H$4:H$174,Master!BN$4:BN$174},Master!J$4:J$174="Qualified",Master!D$4:D$174="Fixed Income",Master!AF$4:AF$174&lt;&gt;""),3,FALSE),5,5),"")</f>
        <v/>
      </c>
      <c r="F128" s="77">
        <f>IFERROR(INDEX(SORT(FILTER({Master!A$4:A$174,Master!B$4:B$174,Master!AF$4:AF$174,Master!W$4:W$174,Master!K$4:K$174,Master!H$4:H$174,Master!BN$4:BN$174},Master!J$4:J$174="Qualified",Master!D$4:D$174="Fixed Income",Master!AF$4:AF$174&lt;&gt;""),3,FALSE),5,6),"")</f>
        <v/>
      </c>
      <c r="G128" s="78">
        <f>IFERROR(INDEX(SORT(FILTER({Master!A$4:A$174,Master!B$4:B$174,Master!AF$4:AF$174,Master!W$4:W$174,Master!K$4:K$174,Master!H$4:H$174,Master!BN$4:BN$174},Master!J$4:J$174="Qualified",Master!D$4:D$174="Fixed Income",Master!AF$4:AF$174&lt;&gt;""),3,FALSE),5,7),"")</f>
        <v/>
      </c>
      <c r="H128" s="78" t="inlineStr"/>
    </row>
    <row r="130" ht="26" customHeight="1">
      <c r="A130" s="84" t="inlineStr">
        <is>
          <t>FIXED INCOME — TOP 5 BY AUM</t>
        </is>
      </c>
      <c r="B130" s="85" t="n"/>
      <c r="C130" s="85" t="n"/>
      <c r="D130" s="85" t="n"/>
      <c r="E130" s="85" t="n"/>
      <c r="F130" s="85" t="n"/>
      <c r="G130" s="85" t="n"/>
      <c r="H130" s="85" t="n"/>
    </row>
    <row r="131" ht="28" customHeight="1">
      <c r="A131" s="86" t="inlineStr">
        <is>
          <t>Fund Name</t>
        </is>
      </c>
      <c r="B131" s="86" t="inlineStr">
        <is>
          <t>Abbr</t>
        </is>
      </c>
      <c r="C131" s="86" t="inlineStr">
        <is>
          <t>AUM (RM M)</t>
        </is>
      </c>
      <c r="D131" s="86" t="inlineStr">
        <is>
          <t>3Y Fund (%)</t>
        </is>
      </c>
      <c r="E131" s="86" t="inlineStr">
        <is>
          <t>3Y Alpha (%)</t>
        </is>
      </c>
      <c r="F131" s="86" t="inlineStr">
        <is>
          <t>Beat (%)</t>
        </is>
      </c>
      <c r="G131" s="86" t="inlineStr">
        <is>
          <t>VC</t>
        </is>
      </c>
      <c r="H131" s="86" t="inlineStr"/>
    </row>
    <row r="132" ht="16" customHeight="1">
      <c r="A132" s="59">
        <f>IFERROR(INDEX(SORT(FILTER({Master!A$4:A$174,Master!B$4:B$174,Master!H$4:H$174,Master!U$4:U$174,Master!W$4:W$174,Master!K$4:K$174,Master!BN$4:BN$174},Master!J$4:J$174="Qualified",Master!D$4:D$174="Fixed Income",Master!H$4:H$174&lt;&gt;""),3,FALSE),1,1),"")</f>
        <v/>
      </c>
      <c r="B132" s="59">
        <f>IFERROR(INDEX(SORT(FILTER({Master!A$4:A$174,Master!B$4:B$174,Master!H$4:H$174,Master!U$4:U$174,Master!W$4:W$174,Master!K$4:K$174,Master!BN$4:BN$174},Master!J$4:J$174="Qualified",Master!D$4:D$174="Fixed Income",Master!H$4:H$174&lt;&gt;""),3,FALSE),1,2),"")</f>
        <v/>
      </c>
      <c r="C132" s="77">
        <f>IFERROR(INDEX(SORT(FILTER({Master!A$4:A$174,Master!B$4:B$174,Master!H$4:H$174,Master!U$4:U$174,Master!W$4:W$174,Master!K$4:K$174,Master!BN$4:BN$174},Master!J$4:J$174="Qualified",Master!D$4:D$174="Fixed Income",Master!H$4:H$174&lt;&gt;""),3,FALSE),1,3),"")</f>
        <v/>
      </c>
      <c r="D132" s="75">
        <f>IFERROR(INDEX(SORT(FILTER({Master!A$4:A$174,Master!B$4:B$174,Master!H$4:H$174,Master!U$4:U$174,Master!W$4:W$174,Master!K$4:K$174,Master!BN$4:BN$174},Master!J$4:J$174="Qualified",Master!D$4:D$174="Fixed Income",Master!H$4:H$174&lt;&gt;""),3,FALSE),1,4),"")</f>
        <v/>
      </c>
      <c r="E132" s="75">
        <f>IFERROR(INDEX(SORT(FILTER({Master!A$4:A$174,Master!B$4:B$174,Master!H$4:H$174,Master!U$4:U$174,Master!W$4:W$174,Master!K$4:K$174,Master!BN$4:BN$174},Master!J$4:J$174="Qualified",Master!D$4:D$174="Fixed Income",Master!H$4:H$174&lt;&gt;""),3,FALSE),1,5),"")</f>
        <v/>
      </c>
      <c r="F132" s="76">
        <f>IFERROR(INDEX(SORT(FILTER({Master!A$4:A$174,Master!B$4:B$174,Master!H$4:H$174,Master!U$4:U$174,Master!W$4:W$174,Master!K$4:K$174,Master!BN$4:BN$174},Master!J$4:J$174="Qualified",Master!D$4:D$174="Fixed Income",Master!H$4:H$174&lt;&gt;""),3,FALSE),1,6),"")</f>
        <v/>
      </c>
      <c r="G132" s="78">
        <f>IFERROR(INDEX(SORT(FILTER({Master!A$4:A$174,Master!B$4:B$174,Master!H$4:H$174,Master!U$4:U$174,Master!W$4:W$174,Master!K$4:K$174,Master!BN$4:BN$174},Master!J$4:J$174="Qualified",Master!D$4:D$174="Fixed Income",Master!H$4:H$174&lt;&gt;""),3,FALSE),1,7),"")</f>
        <v/>
      </c>
      <c r="H132" s="78" t="inlineStr"/>
    </row>
    <row r="133" ht="16" customHeight="1">
      <c r="A133" s="58">
        <f>IFERROR(INDEX(SORT(FILTER({Master!A$4:A$174,Master!B$4:B$174,Master!H$4:H$174,Master!U$4:U$174,Master!W$4:W$174,Master!K$4:K$174,Master!BN$4:BN$174},Master!J$4:J$174="Qualified",Master!D$4:D$174="Fixed Income",Master!H$4:H$174&lt;&gt;""),3,FALSE),2,1),"")</f>
        <v/>
      </c>
      <c r="B133" s="58">
        <f>IFERROR(INDEX(SORT(FILTER({Master!A$4:A$174,Master!B$4:B$174,Master!H$4:H$174,Master!U$4:U$174,Master!W$4:W$174,Master!K$4:K$174,Master!BN$4:BN$174},Master!J$4:J$174="Qualified",Master!D$4:D$174="Fixed Income",Master!H$4:H$174&lt;&gt;""),3,FALSE),2,2),"")</f>
        <v/>
      </c>
      <c r="C133" s="80">
        <f>IFERROR(INDEX(SORT(FILTER({Master!A$4:A$174,Master!B$4:B$174,Master!H$4:H$174,Master!U$4:U$174,Master!W$4:W$174,Master!K$4:K$174,Master!BN$4:BN$174},Master!J$4:J$174="Qualified",Master!D$4:D$174="Fixed Income",Master!H$4:H$174&lt;&gt;""),3,FALSE),2,3),"")</f>
        <v/>
      </c>
      <c r="D133" s="74">
        <f>IFERROR(INDEX(SORT(FILTER({Master!A$4:A$174,Master!B$4:B$174,Master!H$4:H$174,Master!U$4:U$174,Master!W$4:W$174,Master!K$4:K$174,Master!BN$4:BN$174},Master!J$4:J$174="Qualified",Master!D$4:D$174="Fixed Income",Master!H$4:H$174&lt;&gt;""),3,FALSE),2,4),"")</f>
        <v/>
      </c>
      <c r="E133" s="74">
        <f>IFERROR(INDEX(SORT(FILTER({Master!A$4:A$174,Master!B$4:B$174,Master!H$4:H$174,Master!U$4:U$174,Master!W$4:W$174,Master!K$4:K$174,Master!BN$4:BN$174},Master!J$4:J$174="Qualified",Master!D$4:D$174="Fixed Income",Master!H$4:H$174&lt;&gt;""),3,FALSE),2,5),"")</f>
        <v/>
      </c>
      <c r="F133" s="79">
        <f>IFERROR(INDEX(SORT(FILTER({Master!A$4:A$174,Master!B$4:B$174,Master!H$4:H$174,Master!U$4:U$174,Master!W$4:W$174,Master!K$4:K$174,Master!BN$4:BN$174},Master!J$4:J$174="Qualified",Master!D$4:D$174="Fixed Income",Master!H$4:H$174&lt;&gt;""),3,FALSE),2,6),"")</f>
        <v/>
      </c>
      <c r="G133" s="81">
        <f>IFERROR(INDEX(SORT(FILTER({Master!A$4:A$174,Master!B$4:B$174,Master!H$4:H$174,Master!U$4:U$174,Master!W$4:W$174,Master!K$4:K$174,Master!BN$4:BN$174},Master!J$4:J$174="Qualified",Master!D$4:D$174="Fixed Income",Master!H$4:H$174&lt;&gt;""),3,FALSE),2,7),"")</f>
        <v/>
      </c>
      <c r="H133" s="81" t="inlineStr"/>
    </row>
    <row r="134" ht="16" customHeight="1">
      <c r="A134" s="59">
        <f>IFERROR(INDEX(SORT(FILTER({Master!A$4:A$174,Master!B$4:B$174,Master!H$4:H$174,Master!U$4:U$174,Master!W$4:W$174,Master!K$4:K$174,Master!BN$4:BN$174},Master!J$4:J$174="Qualified",Master!D$4:D$174="Fixed Income",Master!H$4:H$174&lt;&gt;""),3,FALSE),3,1),"")</f>
        <v/>
      </c>
      <c r="B134" s="59">
        <f>IFERROR(INDEX(SORT(FILTER({Master!A$4:A$174,Master!B$4:B$174,Master!H$4:H$174,Master!U$4:U$174,Master!W$4:W$174,Master!K$4:K$174,Master!BN$4:BN$174},Master!J$4:J$174="Qualified",Master!D$4:D$174="Fixed Income",Master!H$4:H$174&lt;&gt;""),3,FALSE),3,2),"")</f>
        <v/>
      </c>
      <c r="C134" s="77">
        <f>IFERROR(INDEX(SORT(FILTER({Master!A$4:A$174,Master!B$4:B$174,Master!H$4:H$174,Master!U$4:U$174,Master!W$4:W$174,Master!K$4:K$174,Master!BN$4:BN$174},Master!J$4:J$174="Qualified",Master!D$4:D$174="Fixed Income",Master!H$4:H$174&lt;&gt;""),3,FALSE),3,3),"")</f>
        <v/>
      </c>
      <c r="D134" s="75">
        <f>IFERROR(INDEX(SORT(FILTER({Master!A$4:A$174,Master!B$4:B$174,Master!H$4:H$174,Master!U$4:U$174,Master!W$4:W$174,Master!K$4:K$174,Master!BN$4:BN$174},Master!J$4:J$174="Qualified",Master!D$4:D$174="Fixed Income",Master!H$4:H$174&lt;&gt;""),3,FALSE),3,4),"")</f>
        <v/>
      </c>
      <c r="E134" s="75">
        <f>IFERROR(INDEX(SORT(FILTER({Master!A$4:A$174,Master!B$4:B$174,Master!H$4:H$174,Master!U$4:U$174,Master!W$4:W$174,Master!K$4:K$174,Master!BN$4:BN$174},Master!J$4:J$174="Qualified",Master!D$4:D$174="Fixed Income",Master!H$4:H$174&lt;&gt;""),3,FALSE),3,5),"")</f>
        <v/>
      </c>
      <c r="F134" s="76">
        <f>IFERROR(INDEX(SORT(FILTER({Master!A$4:A$174,Master!B$4:B$174,Master!H$4:H$174,Master!U$4:U$174,Master!W$4:W$174,Master!K$4:K$174,Master!BN$4:BN$174},Master!J$4:J$174="Qualified",Master!D$4:D$174="Fixed Income",Master!H$4:H$174&lt;&gt;""),3,FALSE),3,6),"")</f>
        <v/>
      </c>
      <c r="G134" s="78">
        <f>IFERROR(INDEX(SORT(FILTER({Master!A$4:A$174,Master!B$4:B$174,Master!H$4:H$174,Master!U$4:U$174,Master!W$4:W$174,Master!K$4:K$174,Master!BN$4:BN$174},Master!J$4:J$174="Qualified",Master!D$4:D$174="Fixed Income",Master!H$4:H$174&lt;&gt;""),3,FALSE),3,7),"")</f>
        <v/>
      </c>
      <c r="H134" s="78" t="inlineStr"/>
    </row>
    <row r="135" ht="16" customHeight="1">
      <c r="A135" s="58">
        <f>IFERROR(INDEX(SORT(FILTER({Master!A$4:A$174,Master!B$4:B$174,Master!H$4:H$174,Master!U$4:U$174,Master!W$4:W$174,Master!K$4:K$174,Master!BN$4:BN$174},Master!J$4:J$174="Qualified",Master!D$4:D$174="Fixed Income",Master!H$4:H$174&lt;&gt;""),3,FALSE),4,1),"")</f>
        <v/>
      </c>
      <c r="B135" s="58">
        <f>IFERROR(INDEX(SORT(FILTER({Master!A$4:A$174,Master!B$4:B$174,Master!H$4:H$174,Master!U$4:U$174,Master!W$4:W$174,Master!K$4:K$174,Master!BN$4:BN$174},Master!J$4:J$174="Qualified",Master!D$4:D$174="Fixed Income",Master!H$4:H$174&lt;&gt;""),3,FALSE),4,2),"")</f>
        <v/>
      </c>
      <c r="C135" s="80">
        <f>IFERROR(INDEX(SORT(FILTER({Master!A$4:A$174,Master!B$4:B$174,Master!H$4:H$174,Master!U$4:U$174,Master!W$4:W$174,Master!K$4:K$174,Master!BN$4:BN$174},Master!J$4:J$174="Qualified",Master!D$4:D$174="Fixed Income",Master!H$4:H$174&lt;&gt;""),3,FALSE),4,3),"")</f>
        <v/>
      </c>
      <c r="D135" s="74">
        <f>IFERROR(INDEX(SORT(FILTER({Master!A$4:A$174,Master!B$4:B$174,Master!H$4:H$174,Master!U$4:U$174,Master!W$4:W$174,Master!K$4:K$174,Master!BN$4:BN$174},Master!J$4:J$174="Qualified",Master!D$4:D$174="Fixed Income",Master!H$4:H$174&lt;&gt;""),3,FALSE),4,4),"")</f>
        <v/>
      </c>
      <c r="E135" s="74">
        <f>IFERROR(INDEX(SORT(FILTER({Master!A$4:A$174,Master!B$4:B$174,Master!H$4:H$174,Master!U$4:U$174,Master!W$4:W$174,Master!K$4:K$174,Master!BN$4:BN$174},Master!J$4:J$174="Qualified",Master!D$4:D$174="Fixed Income",Master!H$4:H$174&lt;&gt;""),3,FALSE),4,5),"")</f>
        <v/>
      </c>
      <c r="F135" s="79">
        <f>IFERROR(INDEX(SORT(FILTER({Master!A$4:A$174,Master!B$4:B$174,Master!H$4:H$174,Master!U$4:U$174,Master!W$4:W$174,Master!K$4:K$174,Master!BN$4:BN$174},Master!J$4:J$174="Qualified",Master!D$4:D$174="Fixed Income",Master!H$4:H$174&lt;&gt;""),3,FALSE),4,6),"")</f>
        <v/>
      </c>
      <c r="G135" s="81">
        <f>IFERROR(INDEX(SORT(FILTER({Master!A$4:A$174,Master!B$4:B$174,Master!H$4:H$174,Master!U$4:U$174,Master!W$4:W$174,Master!K$4:K$174,Master!BN$4:BN$174},Master!J$4:J$174="Qualified",Master!D$4:D$174="Fixed Income",Master!H$4:H$174&lt;&gt;""),3,FALSE),4,7),"")</f>
        <v/>
      </c>
      <c r="H135" s="81" t="inlineStr"/>
    </row>
    <row r="136" ht="16" customHeight="1">
      <c r="A136" s="59">
        <f>IFERROR(INDEX(SORT(FILTER({Master!A$4:A$174,Master!B$4:B$174,Master!H$4:H$174,Master!U$4:U$174,Master!W$4:W$174,Master!K$4:K$174,Master!BN$4:BN$174},Master!J$4:J$174="Qualified",Master!D$4:D$174="Fixed Income",Master!H$4:H$174&lt;&gt;""),3,FALSE),5,1),"")</f>
        <v/>
      </c>
      <c r="B136" s="59">
        <f>IFERROR(INDEX(SORT(FILTER({Master!A$4:A$174,Master!B$4:B$174,Master!H$4:H$174,Master!U$4:U$174,Master!W$4:W$174,Master!K$4:K$174,Master!BN$4:BN$174},Master!J$4:J$174="Qualified",Master!D$4:D$174="Fixed Income",Master!H$4:H$174&lt;&gt;""),3,FALSE),5,2),"")</f>
        <v/>
      </c>
      <c r="C136" s="77">
        <f>IFERROR(INDEX(SORT(FILTER({Master!A$4:A$174,Master!B$4:B$174,Master!H$4:H$174,Master!U$4:U$174,Master!W$4:W$174,Master!K$4:K$174,Master!BN$4:BN$174},Master!J$4:J$174="Qualified",Master!D$4:D$174="Fixed Income",Master!H$4:H$174&lt;&gt;""),3,FALSE),5,3),"")</f>
        <v/>
      </c>
      <c r="D136" s="75">
        <f>IFERROR(INDEX(SORT(FILTER({Master!A$4:A$174,Master!B$4:B$174,Master!H$4:H$174,Master!U$4:U$174,Master!W$4:W$174,Master!K$4:K$174,Master!BN$4:BN$174},Master!J$4:J$174="Qualified",Master!D$4:D$174="Fixed Income",Master!H$4:H$174&lt;&gt;""),3,FALSE),5,4),"")</f>
        <v/>
      </c>
      <c r="E136" s="75">
        <f>IFERROR(INDEX(SORT(FILTER({Master!A$4:A$174,Master!B$4:B$174,Master!H$4:H$174,Master!U$4:U$174,Master!W$4:W$174,Master!K$4:K$174,Master!BN$4:BN$174},Master!J$4:J$174="Qualified",Master!D$4:D$174="Fixed Income",Master!H$4:H$174&lt;&gt;""),3,FALSE),5,5),"")</f>
        <v/>
      </c>
      <c r="F136" s="76">
        <f>IFERROR(INDEX(SORT(FILTER({Master!A$4:A$174,Master!B$4:B$174,Master!H$4:H$174,Master!U$4:U$174,Master!W$4:W$174,Master!K$4:K$174,Master!BN$4:BN$174},Master!J$4:J$174="Qualified",Master!D$4:D$174="Fixed Income",Master!H$4:H$174&lt;&gt;""),3,FALSE),5,6),"")</f>
        <v/>
      </c>
      <c r="G136" s="78">
        <f>IFERROR(INDEX(SORT(FILTER({Master!A$4:A$174,Master!B$4:B$174,Master!H$4:H$174,Master!U$4:U$174,Master!W$4:W$174,Master!K$4:K$174,Master!BN$4:BN$174},Master!J$4:J$174="Qualified",Master!D$4:D$174="Fixed Income",Master!H$4:H$174&lt;&gt;""),3,FALSE),5,7),"")</f>
        <v/>
      </c>
      <c r="H136" s="78" t="inlineStr"/>
    </row>
    <row r="138" ht="26" customHeight="1">
      <c r="A138" s="61" t="inlineStr">
        <is>
          <t>MONEY MARKET — MEDIAN STATISTICS</t>
        </is>
      </c>
      <c r="B138" s="7" t="n"/>
      <c r="C138" s="7" t="n"/>
      <c r="D138" s="7" t="n"/>
      <c r="E138" s="7" t="n"/>
      <c r="F138" s="7" t="n"/>
      <c r="G138" s="7" t="n"/>
      <c r="H138" s="7" t="n"/>
    </row>
    <row r="139" ht="28" customHeight="1">
      <c r="A139" s="62" t="inlineStr">
        <is>
          <t>Metric</t>
        </is>
      </c>
      <c r="B139" s="62" t="inlineStr">
        <is>
          <t>YTD (%)</t>
        </is>
      </c>
      <c r="C139" s="62" t="inlineStr">
        <is>
          <t>1Y (%)</t>
        </is>
      </c>
      <c r="D139" s="62" t="inlineStr">
        <is>
          <t>3Y Ann. (%)</t>
        </is>
      </c>
      <c r="E139" s="62" t="inlineStr">
        <is>
          <t>5Y Ann. (%)</t>
        </is>
      </c>
      <c r="F139" s="62" t="inlineStr">
        <is>
          <t>10Y Ann. (%)</t>
        </is>
      </c>
      <c r="G139" s="62" t="inlineStr">
        <is>
          <t>3Y Alpha (%)</t>
        </is>
      </c>
      <c r="H139" s="62" t="inlineStr">
        <is>
          <t>Beat (%)</t>
        </is>
      </c>
    </row>
    <row r="140" ht="16" customHeight="1">
      <c r="A140" s="63" t="inlineStr">
        <is>
          <t>Median</t>
        </is>
      </c>
      <c r="B140" s="73">
        <f>IFERROR(MEDIAN(FILTER(Master!O$4:O$174,(Master!J$4:J$174="Qualified")*(Master!D$4:D$174="Money Market"))),"")</f>
        <v/>
      </c>
      <c r="C140" s="74">
        <f>IFERROR(MEDIAN(FILTER(Master!R$4:R$174,(Master!J$4:J$174="Qualified")*(Master!D$4:D$174="Money Market"))),"")</f>
        <v/>
      </c>
      <c r="D140" s="74">
        <f>IFERROR(MEDIAN(FILTER(Master!U$4:U$174,(Master!J$4:J$174="Qualified")*(Master!D$4:D$174="Money Market"))),"")</f>
        <v/>
      </c>
      <c r="E140" s="74">
        <f>IFERROR(MEDIAN(FILTER(Master!X$4:X$174,(Master!J$4:J$174="Qualified")*(Master!D$4:D$174="Money Market"))),"")</f>
        <v/>
      </c>
      <c r="F140" s="74">
        <f>IFERROR(MEDIAN(FILTER(Master!AA$4:AA$174,(Master!J$4:J$174="Qualified")*(Master!D$4:D$174="Money Market"))),"")</f>
        <v/>
      </c>
      <c r="G140" s="74">
        <f>IFERROR(MEDIAN(FILTER(Master!W$4:W$174,(Master!J$4:J$174="Qualified")*(Master!D$4:D$174="Money Market"))),"")</f>
        <v/>
      </c>
      <c r="H140" s="74">
        <f>IFERROR(MEDIAN(FILTER(Master!K$4:K$174,(Master!J$4:J$174="Qualified")*(Master!D$4:D$174="Money Market"))),"")</f>
        <v/>
      </c>
    </row>
    <row r="142" ht="26" customHeight="1">
      <c r="A142" s="61" t="inlineStr">
        <is>
          <t>MONEY MARKET — TOP 5 BY 3Y ANN. FUND RETURN</t>
        </is>
      </c>
      <c r="B142" s="7" t="n"/>
      <c r="C142" s="7" t="n"/>
      <c r="D142" s="7" t="n"/>
      <c r="E142" s="7" t="n"/>
      <c r="F142" s="7" t="n"/>
      <c r="G142" s="7" t="n"/>
      <c r="H142" s="7" t="n"/>
    </row>
    <row r="143" ht="28" customHeight="1">
      <c r="A143" s="62" t="inlineStr">
        <is>
          <t>Fund Name</t>
        </is>
      </c>
      <c r="B143" s="62" t="inlineStr">
        <is>
          <t>Abbr</t>
        </is>
      </c>
      <c r="C143" s="62" t="inlineStr">
        <is>
          <t>3Y Fund (%)</t>
        </is>
      </c>
      <c r="D143" s="62" t="inlineStr">
        <is>
          <t>3Y Alpha (%)</t>
        </is>
      </c>
      <c r="E143" s="62" t="inlineStr">
        <is>
          <t>Beat (%)</t>
        </is>
      </c>
      <c r="F143" s="62" t="inlineStr">
        <is>
          <t>AUM (RM M)</t>
        </is>
      </c>
      <c r="G143" s="62" t="inlineStr">
        <is>
          <t>VC</t>
        </is>
      </c>
      <c r="H143" s="62" t="inlineStr"/>
    </row>
    <row r="144" ht="16" customHeight="1">
      <c r="A144" s="59">
        <f>IFERROR(INDEX(SORT(FILTER({Master!A$4:A$174,Master!B$4:B$174,Master!U$4:U$174,Master!W$4:W$174,Master!K$4:K$174,Master!H$4:H$174,Master!BN$4:BN$174},Master!J$4:J$174="Qualified",Master!D$4:D$174="Money Market",Master!U$4:U$174&lt;&gt;""),3,FALSE),1,1),"")</f>
        <v/>
      </c>
      <c r="B144" s="59">
        <f>IFERROR(INDEX(SORT(FILTER({Master!A$4:A$174,Master!B$4:B$174,Master!U$4:U$174,Master!W$4:W$174,Master!K$4:K$174,Master!H$4:H$174,Master!BN$4:BN$174},Master!J$4:J$174="Qualified",Master!D$4:D$174="Money Market",Master!U$4:U$174&lt;&gt;""),3,FALSE),1,2),"")</f>
        <v/>
      </c>
      <c r="C144" s="75">
        <f>IFERROR(INDEX(SORT(FILTER({Master!A$4:A$174,Master!B$4:B$174,Master!U$4:U$174,Master!W$4:W$174,Master!K$4:K$174,Master!H$4:H$174,Master!BN$4:BN$174},Master!J$4:J$174="Qualified",Master!D$4:D$174="Money Market",Master!U$4:U$174&lt;&gt;""),3,FALSE),1,3),"")</f>
        <v/>
      </c>
      <c r="D144" s="75">
        <f>IFERROR(INDEX(SORT(FILTER({Master!A$4:A$174,Master!B$4:B$174,Master!U$4:U$174,Master!W$4:W$174,Master!K$4:K$174,Master!H$4:H$174,Master!BN$4:BN$174},Master!J$4:J$174="Qualified",Master!D$4:D$174="Money Market",Master!U$4:U$174&lt;&gt;""),3,FALSE),1,4),"")</f>
        <v/>
      </c>
      <c r="E144" s="76">
        <f>IFERROR(INDEX(SORT(FILTER({Master!A$4:A$174,Master!B$4:B$174,Master!U$4:U$174,Master!W$4:W$174,Master!K$4:K$174,Master!H$4:H$174,Master!BN$4:BN$174},Master!J$4:J$174="Qualified",Master!D$4:D$174="Money Market",Master!U$4:U$174&lt;&gt;""),3,FALSE),1,5),"")</f>
        <v/>
      </c>
      <c r="F144" s="77">
        <f>IFERROR(INDEX(SORT(FILTER({Master!A$4:A$174,Master!B$4:B$174,Master!U$4:U$174,Master!W$4:W$174,Master!K$4:K$174,Master!H$4:H$174,Master!BN$4:BN$174},Master!J$4:J$174="Qualified",Master!D$4:D$174="Money Market",Master!U$4:U$174&lt;&gt;""),3,FALSE),1,6),"")</f>
        <v/>
      </c>
      <c r="G144" s="78">
        <f>IFERROR(INDEX(SORT(FILTER({Master!A$4:A$174,Master!B$4:B$174,Master!U$4:U$174,Master!W$4:W$174,Master!K$4:K$174,Master!H$4:H$174,Master!BN$4:BN$174},Master!J$4:J$174="Qualified",Master!D$4:D$174="Money Market",Master!U$4:U$174&lt;&gt;""),3,FALSE),1,7),"")</f>
        <v/>
      </c>
      <c r="H144" s="78" t="inlineStr"/>
    </row>
    <row r="145" ht="16" customHeight="1">
      <c r="A145" s="58">
        <f>IFERROR(INDEX(SORT(FILTER({Master!A$4:A$174,Master!B$4:B$174,Master!U$4:U$174,Master!W$4:W$174,Master!K$4:K$174,Master!H$4:H$174,Master!BN$4:BN$174},Master!J$4:J$174="Qualified",Master!D$4:D$174="Money Market",Master!U$4:U$174&lt;&gt;""),3,FALSE),2,1),"")</f>
        <v/>
      </c>
      <c r="B145" s="58">
        <f>IFERROR(INDEX(SORT(FILTER({Master!A$4:A$174,Master!B$4:B$174,Master!U$4:U$174,Master!W$4:W$174,Master!K$4:K$174,Master!H$4:H$174,Master!BN$4:BN$174},Master!J$4:J$174="Qualified",Master!D$4:D$174="Money Market",Master!U$4:U$174&lt;&gt;""),3,FALSE),2,2),"")</f>
        <v/>
      </c>
      <c r="C145" s="74">
        <f>IFERROR(INDEX(SORT(FILTER({Master!A$4:A$174,Master!B$4:B$174,Master!U$4:U$174,Master!W$4:W$174,Master!K$4:K$174,Master!H$4:H$174,Master!BN$4:BN$174},Master!J$4:J$174="Qualified",Master!D$4:D$174="Money Market",Master!U$4:U$174&lt;&gt;""),3,FALSE),2,3),"")</f>
        <v/>
      </c>
      <c r="D145" s="74">
        <f>IFERROR(INDEX(SORT(FILTER({Master!A$4:A$174,Master!B$4:B$174,Master!U$4:U$174,Master!W$4:W$174,Master!K$4:K$174,Master!H$4:H$174,Master!BN$4:BN$174},Master!J$4:J$174="Qualified",Master!D$4:D$174="Money Market",Master!U$4:U$174&lt;&gt;""),3,FALSE),2,4),"")</f>
        <v/>
      </c>
      <c r="E145" s="79">
        <f>IFERROR(INDEX(SORT(FILTER({Master!A$4:A$174,Master!B$4:B$174,Master!U$4:U$174,Master!W$4:W$174,Master!K$4:K$174,Master!H$4:H$174,Master!BN$4:BN$174},Master!J$4:J$174="Qualified",Master!D$4:D$174="Money Market",Master!U$4:U$174&lt;&gt;""),3,FALSE),2,5),"")</f>
        <v/>
      </c>
      <c r="F145" s="80">
        <f>IFERROR(INDEX(SORT(FILTER({Master!A$4:A$174,Master!B$4:B$174,Master!U$4:U$174,Master!W$4:W$174,Master!K$4:K$174,Master!H$4:H$174,Master!BN$4:BN$174},Master!J$4:J$174="Qualified",Master!D$4:D$174="Money Market",Master!U$4:U$174&lt;&gt;""),3,FALSE),2,6),"")</f>
        <v/>
      </c>
      <c r="G145" s="81">
        <f>IFERROR(INDEX(SORT(FILTER({Master!A$4:A$174,Master!B$4:B$174,Master!U$4:U$174,Master!W$4:W$174,Master!K$4:K$174,Master!H$4:H$174,Master!BN$4:BN$174},Master!J$4:J$174="Qualified",Master!D$4:D$174="Money Market",Master!U$4:U$174&lt;&gt;""),3,FALSE),2,7),"")</f>
        <v/>
      </c>
      <c r="H145" s="81" t="inlineStr"/>
    </row>
    <row r="146" ht="16" customHeight="1">
      <c r="A146" s="59">
        <f>IFERROR(INDEX(SORT(FILTER({Master!A$4:A$174,Master!B$4:B$174,Master!U$4:U$174,Master!W$4:W$174,Master!K$4:K$174,Master!H$4:H$174,Master!BN$4:BN$174},Master!J$4:J$174="Qualified",Master!D$4:D$174="Money Market",Master!U$4:U$174&lt;&gt;""),3,FALSE),3,1),"")</f>
        <v/>
      </c>
      <c r="B146" s="59">
        <f>IFERROR(INDEX(SORT(FILTER({Master!A$4:A$174,Master!B$4:B$174,Master!U$4:U$174,Master!W$4:W$174,Master!K$4:K$174,Master!H$4:H$174,Master!BN$4:BN$174},Master!J$4:J$174="Qualified",Master!D$4:D$174="Money Market",Master!U$4:U$174&lt;&gt;""),3,FALSE),3,2),"")</f>
        <v/>
      </c>
      <c r="C146" s="75">
        <f>IFERROR(INDEX(SORT(FILTER({Master!A$4:A$174,Master!B$4:B$174,Master!U$4:U$174,Master!W$4:W$174,Master!K$4:K$174,Master!H$4:H$174,Master!BN$4:BN$174},Master!J$4:J$174="Qualified",Master!D$4:D$174="Money Market",Master!U$4:U$174&lt;&gt;""),3,FALSE),3,3),"")</f>
        <v/>
      </c>
      <c r="D146" s="75">
        <f>IFERROR(INDEX(SORT(FILTER({Master!A$4:A$174,Master!B$4:B$174,Master!U$4:U$174,Master!W$4:W$174,Master!K$4:K$174,Master!H$4:H$174,Master!BN$4:BN$174},Master!J$4:J$174="Qualified",Master!D$4:D$174="Money Market",Master!U$4:U$174&lt;&gt;""),3,FALSE),3,4),"")</f>
        <v/>
      </c>
      <c r="E146" s="76">
        <f>IFERROR(INDEX(SORT(FILTER({Master!A$4:A$174,Master!B$4:B$174,Master!U$4:U$174,Master!W$4:W$174,Master!K$4:K$174,Master!H$4:H$174,Master!BN$4:BN$174},Master!J$4:J$174="Qualified",Master!D$4:D$174="Money Market",Master!U$4:U$174&lt;&gt;""),3,FALSE),3,5),"")</f>
        <v/>
      </c>
      <c r="F146" s="77">
        <f>IFERROR(INDEX(SORT(FILTER({Master!A$4:A$174,Master!B$4:B$174,Master!U$4:U$174,Master!W$4:W$174,Master!K$4:K$174,Master!H$4:H$174,Master!BN$4:BN$174},Master!J$4:J$174="Qualified",Master!D$4:D$174="Money Market",Master!U$4:U$174&lt;&gt;""),3,FALSE),3,6),"")</f>
        <v/>
      </c>
      <c r="G146" s="78">
        <f>IFERROR(INDEX(SORT(FILTER({Master!A$4:A$174,Master!B$4:B$174,Master!U$4:U$174,Master!W$4:W$174,Master!K$4:K$174,Master!H$4:H$174,Master!BN$4:BN$174},Master!J$4:J$174="Qualified",Master!D$4:D$174="Money Market",Master!U$4:U$174&lt;&gt;""),3,FALSE),3,7),"")</f>
        <v/>
      </c>
      <c r="H146" s="78" t="inlineStr"/>
    </row>
    <row r="147" ht="16" customHeight="1">
      <c r="A147" s="58">
        <f>IFERROR(INDEX(SORT(FILTER({Master!A$4:A$174,Master!B$4:B$174,Master!U$4:U$174,Master!W$4:W$174,Master!K$4:K$174,Master!H$4:H$174,Master!BN$4:BN$174},Master!J$4:J$174="Qualified",Master!D$4:D$174="Money Market",Master!U$4:U$174&lt;&gt;""),3,FALSE),4,1),"")</f>
        <v/>
      </c>
      <c r="B147" s="58">
        <f>IFERROR(INDEX(SORT(FILTER({Master!A$4:A$174,Master!B$4:B$174,Master!U$4:U$174,Master!W$4:W$174,Master!K$4:K$174,Master!H$4:H$174,Master!BN$4:BN$174},Master!J$4:J$174="Qualified",Master!D$4:D$174="Money Market",Master!U$4:U$174&lt;&gt;""),3,FALSE),4,2),"")</f>
        <v/>
      </c>
      <c r="C147" s="74">
        <f>IFERROR(INDEX(SORT(FILTER({Master!A$4:A$174,Master!B$4:B$174,Master!U$4:U$174,Master!W$4:W$174,Master!K$4:K$174,Master!H$4:H$174,Master!BN$4:BN$174},Master!J$4:J$174="Qualified",Master!D$4:D$174="Money Market",Master!U$4:U$174&lt;&gt;""),3,FALSE),4,3),"")</f>
        <v/>
      </c>
      <c r="D147" s="74">
        <f>IFERROR(INDEX(SORT(FILTER({Master!A$4:A$174,Master!B$4:B$174,Master!U$4:U$174,Master!W$4:W$174,Master!K$4:K$174,Master!H$4:H$174,Master!BN$4:BN$174},Master!J$4:J$174="Qualified",Master!D$4:D$174="Money Market",Master!U$4:U$174&lt;&gt;""),3,FALSE),4,4),"")</f>
        <v/>
      </c>
      <c r="E147" s="79">
        <f>IFERROR(INDEX(SORT(FILTER({Master!A$4:A$174,Master!B$4:B$174,Master!U$4:U$174,Master!W$4:W$174,Master!K$4:K$174,Master!H$4:H$174,Master!BN$4:BN$174},Master!J$4:J$174="Qualified",Master!D$4:D$174="Money Market",Master!U$4:U$174&lt;&gt;""),3,FALSE),4,5),"")</f>
        <v/>
      </c>
      <c r="F147" s="80">
        <f>IFERROR(INDEX(SORT(FILTER({Master!A$4:A$174,Master!B$4:B$174,Master!U$4:U$174,Master!W$4:W$174,Master!K$4:K$174,Master!H$4:H$174,Master!BN$4:BN$174},Master!J$4:J$174="Qualified",Master!D$4:D$174="Money Market",Master!U$4:U$174&lt;&gt;""),3,FALSE),4,6),"")</f>
        <v/>
      </c>
      <c r="G147" s="81">
        <f>IFERROR(INDEX(SORT(FILTER({Master!A$4:A$174,Master!B$4:B$174,Master!U$4:U$174,Master!W$4:W$174,Master!K$4:K$174,Master!H$4:H$174,Master!BN$4:BN$174},Master!J$4:J$174="Qualified",Master!D$4:D$174="Money Market",Master!U$4:U$174&lt;&gt;""),3,FALSE),4,7),"")</f>
        <v/>
      </c>
      <c r="H147" s="81" t="inlineStr"/>
    </row>
    <row r="148" ht="16" customHeight="1">
      <c r="A148" s="59">
        <f>IFERROR(INDEX(SORT(FILTER({Master!A$4:A$174,Master!B$4:B$174,Master!U$4:U$174,Master!W$4:W$174,Master!K$4:K$174,Master!H$4:H$174,Master!BN$4:BN$174},Master!J$4:J$174="Qualified",Master!D$4:D$174="Money Market",Master!U$4:U$174&lt;&gt;""),3,FALSE),5,1),"")</f>
        <v/>
      </c>
      <c r="B148" s="59">
        <f>IFERROR(INDEX(SORT(FILTER({Master!A$4:A$174,Master!B$4:B$174,Master!U$4:U$174,Master!W$4:W$174,Master!K$4:K$174,Master!H$4:H$174,Master!BN$4:BN$174},Master!J$4:J$174="Qualified",Master!D$4:D$174="Money Market",Master!U$4:U$174&lt;&gt;""),3,FALSE),5,2),"")</f>
        <v/>
      </c>
      <c r="C148" s="75">
        <f>IFERROR(INDEX(SORT(FILTER({Master!A$4:A$174,Master!B$4:B$174,Master!U$4:U$174,Master!W$4:W$174,Master!K$4:K$174,Master!H$4:H$174,Master!BN$4:BN$174},Master!J$4:J$174="Qualified",Master!D$4:D$174="Money Market",Master!U$4:U$174&lt;&gt;""),3,FALSE),5,3),"")</f>
        <v/>
      </c>
      <c r="D148" s="75">
        <f>IFERROR(INDEX(SORT(FILTER({Master!A$4:A$174,Master!B$4:B$174,Master!U$4:U$174,Master!W$4:W$174,Master!K$4:K$174,Master!H$4:H$174,Master!BN$4:BN$174},Master!J$4:J$174="Qualified",Master!D$4:D$174="Money Market",Master!U$4:U$174&lt;&gt;""),3,FALSE),5,4),"")</f>
        <v/>
      </c>
      <c r="E148" s="76">
        <f>IFERROR(INDEX(SORT(FILTER({Master!A$4:A$174,Master!B$4:B$174,Master!U$4:U$174,Master!W$4:W$174,Master!K$4:K$174,Master!H$4:H$174,Master!BN$4:BN$174},Master!J$4:J$174="Qualified",Master!D$4:D$174="Money Market",Master!U$4:U$174&lt;&gt;""),3,FALSE),5,5),"")</f>
        <v/>
      </c>
      <c r="F148" s="77">
        <f>IFERROR(INDEX(SORT(FILTER({Master!A$4:A$174,Master!B$4:B$174,Master!U$4:U$174,Master!W$4:W$174,Master!K$4:K$174,Master!H$4:H$174,Master!BN$4:BN$174},Master!J$4:J$174="Qualified",Master!D$4:D$174="Money Market",Master!U$4:U$174&lt;&gt;""),3,FALSE),5,6),"")</f>
        <v/>
      </c>
      <c r="G148" s="78">
        <f>IFERROR(INDEX(SORT(FILTER({Master!A$4:A$174,Master!B$4:B$174,Master!U$4:U$174,Master!W$4:W$174,Master!K$4:K$174,Master!H$4:H$174,Master!BN$4:BN$174},Master!J$4:J$174="Qualified",Master!D$4:D$174="Money Market",Master!U$4:U$174&lt;&gt;""),3,FALSE),5,7),"")</f>
        <v/>
      </c>
      <c r="H148" s="78" t="inlineStr"/>
    </row>
    <row r="150" ht="26" customHeight="1">
      <c r="A150" s="61" t="inlineStr">
        <is>
          <t>MONEY MARKET — TOP 5 BY 3Y ANN. ALPHA</t>
        </is>
      </c>
      <c r="B150" s="7" t="n"/>
      <c r="C150" s="7" t="n"/>
      <c r="D150" s="7" t="n"/>
      <c r="E150" s="7" t="n"/>
      <c r="F150" s="7" t="n"/>
      <c r="G150" s="7" t="n"/>
      <c r="H150" s="7" t="n"/>
    </row>
    <row r="151" ht="28" customHeight="1">
      <c r="A151" s="62" t="inlineStr">
        <is>
          <t>Fund Name</t>
        </is>
      </c>
      <c r="B151" s="62" t="inlineStr">
        <is>
          <t>Abbr</t>
        </is>
      </c>
      <c r="C151" s="62" t="inlineStr">
        <is>
          <t>3Y Fund (%)</t>
        </is>
      </c>
      <c r="D151" s="62" t="inlineStr">
        <is>
          <t>3Y Alpha (%)</t>
        </is>
      </c>
      <c r="E151" s="62" t="inlineStr">
        <is>
          <t>Beat (%)</t>
        </is>
      </c>
      <c r="F151" s="62" t="inlineStr">
        <is>
          <t>AUM (RM M)</t>
        </is>
      </c>
      <c r="G151" s="62" t="inlineStr">
        <is>
          <t>VC</t>
        </is>
      </c>
      <c r="H151" s="62" t="inlineStr"/>
    </row>
    <row r="152" ht="16" customHeight="1">
      <c r="A152" s="59">
        <f>IFERROR(INDEX(SORT(FILTER({Master!A$4:A$174,Master!B$4:B$174,Master!U$4:U$174,Master!W$4:W$174,Master!K$4:K$174,Master!H$4:H$174,Master!BN$4:BN$174},Master!J$4:J$174="Qualified",Master!D$4:D$174="Money Market",Master!W$4:W$174&lt;&gt;""),4,FALSE),1,1),"")</f>
        <v/>
      </c>
      <c r="B152" s="59">
        <f>IFERROR(INDEX(SORT(FILTER({Master!A$4:A$174,Master!B$4:B$174,Master!U$4:U$174,Master!W$4:W$174,Master!K$4:K$174,Master!H$4:H$174,Master!BN$4:BN$174},Master!J$4:J$174="Qualified",Master!D$4:D$174="Money Market",Master!W$4:W$174&lt;&gt;""),4,FALSE),1,2),"")</f>
        <v/>
      </c>
      <c r="C152" s="75">
        <f>IFERROR(INDEX(SORT(FILTER({Master!A$4:A$174,Master!B$4:B$174,Master!U$4:U$174,Master!W$4:W$174,Master!K$4:K$174,Master!H$4:H$174,Master!BN$4:BN$174},Master!J$4:J$174="Qualified",Master!D$4:D$174="Money Market",Master!W$4:W$174&lt;&gt;""),4,FALSE),1,3),"")</f>
        <v/>
      </c>
      <c r="D152" s="75">
        <f>IFERROR(INDEX(SORT(FILTER({Master!A$4:A$174,Master!B$4:B$174,Master!U$4:U$174,Master!W$4:W$174,Master!K$4:K$174,Master!H$4:H$174,Master!BN$4:BN$174},Master!J$4:J$174="Qualified",Master!D$4:D$174="Money Market",Master!W$4:W$174&lt;&gt;""),4,FALSE),1,4),"")</f>
        <v/>
      </c>
      <c r="E152" s="76">
        <f>IFERROR(INDEX(SORT(FILTER({Master!A$4:A$174,Master!B$4:B$174,Master!U$4:U$174,Master!W$4:W$174,Master!K$4:K$174,Master!H$4:H$174,Master!BN$4:BN$174},Master!J$4:J$174="Qualified",Master!D$4:D$174="Money Market",Master!W$4:W$174&lt;&gt;""),4,FALSE),1,5),"")</f>
        <v/>
      </c>
      <c r="F152" s="77">
        <f>IFERROR(INDEX(SORT(FILTER({Master!A$4:A$174,Master!B$4:B$174,Master!U$4:U$174,Master!W$4:W$174,Master!K$4:K$174,Master!H$4:H$174,Master!BN$4:BN$174},Master!J$4:J$174="Qualified",Master!D$4:D$174="Money Market",Master!W$4:W$174&lt;&gt;""),4,FALSE),1,6),"")</f>
        <v/>
      </c>
      <c r="G152" s="78">
        <f>IFERROR(INDEX(SORT(FILTER({Master!A$4:A$174,Master!B$4:B$174,Master!U$4:U$174,Master!W$4:W$174,Master!K$4:K$174,Master!H$4:H$174,Master!BN$4:BN$174},Master!J$4:J$174="Qualified",Master!D$4:D$174="Money Market",Master!W$4:W$174&lt;&gt;""),4,FALSE),1,7),"")</f>
        <v/>
      </c>
      <c r="H152" s="78" t="inlineStr"/>
    </row>
    <row r="153" ht="16" customHeight="1">
      <c r="A153" s="58">
        <f>IFERROR(INDEX(SORT(FILTER({Master!A$4:A$174,Master!B$4:B$174,Master!U$4:U$174,Master!W$4:W$174,Master!K$4:K$174,Master!H$4:H$174,Master!BN$4:BN$174},Master!J$4:J$174="Qualified",Master!D$4:D$174="Money Market",Master!W$4:W$174&lt;&gt;""),4,FALSE),2,1),"")</f>
        <v/>
      </c>
      <c r="B153" s="58">
        <f>IFERROR(INDEX(SORT(FILTER({Master!A$4:A$174,Master!B$4:B$174,Master!U$4:U$174,Master!W$4:W$174,Master!K$4:K$174,Master!H$4:H$174,Master!BN$4:BN$174},Master!J$4:J$174="Qualified",Master!D$4:D$174="Money Market",Master!W$4:W$174&lt;&gt;""),4,FALSE),2,2),"")</f>
        <v/>
      </c>
      <c r="C153" s="74">
        <f>IFERROR(INDEX(SORT(FILTER({Master!A$4:A$174,Master!B$4:B$174,Master!U$4:U$174,Master!W$4:W$174,Master!K$4:K$174,Master!H$4:H$174,Master!BN$4:BN$174},Master!J$4:J$174="Qualified",Master!D$4:D$174="Money Market",Master!W$4:W$174&lt;&gt;""),4,FALSE),2,3),"")</f>
        <v/>
      </c>
      <c r="D153" s="74">
        <f>IFERROR(INDEX(SORT(FILTER({Master!A$4:A$174,Master!B$4:B$174,Master!U$4:U$174,Master!W$4:W$174,Master!K$4:K$174,Master!H$4:H$174,Master!BN$4:BN$174},Master!J$4:J$174="Qualified",Master!D$4:D$174="Money Market",Master!W$4:W$174&lt;&gt;""),4,FALSE),2,4),"")</f>
        <v/>
      </c>
      <c r="E153" s="79">
        <f>IFERROR(INDEX(SORT(FILTER({Master!A$4:A$174,Master!B$4:B$174,Master!U$4:U$174,Master!W$4:W$174,Master!K$4:K$174,Master!H$4:H$174,Master!BN$4:BN$174},Master!J$4:J$174="Qualified",Master!D$4:D$174="Money Market",Master!W$4:W$174&lt;&gt;""),4,FALSE),2,5),"")</f>
        <v/>
      </c>
      <c r="F153" s="80">
        <f>IFERROR(INDEX(SORT(FILTER({Master!A$4:A$174,Master!B$4:B$174,Master!U$4:U$174,Master!W$4:W$174,Master!K$4:K$174,Master!H$4:H$174,Master!BN$4:BN$174},Master!J$4:J$174="Qualified",Master!D$4:D$174="Money Market",Master!W$4:W$174&lt;&gt;""),4,FALSE),2,6),"")</f>
        <v/>
      </c>
      <c r="G153" s="81">
        <f>IFERROR(INDEX(SORT(FILTER({Master!A$4:A$174,Master!B$4:B$174,Master!U$4:U$174,Master!W$4:W$174,Master!K$4:K$174,Master!H$4:H$174,Master!BN$4:BN$174},Master!J$4:J$174="Qualified",Master!D$4:D$174="Money Market",Master!W$4:W$174&lt;&gt;""),4,FALSE),2,7),"")</f>
        <v/>
      </c>
      <c r="H153" s="81" t="inlineStr"/>
    </row>
    <row r="154" ht="16" customHeight="1">
      <c r="A154" s="59">
        <f>IFERROR(INDEX(SORT(FILTER({Master!A$4:A$174,Master!B$4:B$174,Master!U$4:U$174,Master!W$4:W$174,Master!K$4:K$174,Master!H$4:H$174,Master!BN$4:BN$174},Master!J$4:J$174="Qualified",Master!D$4:D$174="Money Market",Master!W$4:W$174&lt;&gt;""),4,FALSE),3,1),"")</f>
        <v/>
      </c>
      <c r="B154" s="59">
        <f>IFERROR(INDEX(SORT(FILTER({Master!A$4:A$174,Master!B$4:B$174,Master!U$4:U$174,Master!W$4:W$174,Master!K$4:K$174,Master!H$4:H$174,Master!BN$4:BN$174},Master!J$4:J$174="Qualified",Master!D$4:D$174="Money Market",Master!W$4:W$174&lt;&gt;""),4,FALSE),3,2),"")</f>
        <v/>
      </c>
      <c r="C154" s="75">
        <f>IFERROR(INDEX(SORT(FILTER({Master!A$4:A$174,Master!B$4:B$174,Master!U$4:U$174,Master!W$4:W$174,Master!K$4:K$174,Master!H$4:H$174,Master!BN$4:BN$174},Master!J$4:J$174="Qualified",Master!D$4:D$174="Money Market",Master!W$4:W$174&lt;&gt;""),4,FALSE),3,3),"")</f>
        <v/>
      </c>
      <c r="D154" s="75">
        <f>IFERROR(INDEX(SORT(FILTER({Master!A$4:A$174,Master!B$4:B$174,Master!U$4:U$174,Master!W$4:W$174,Master!K$4:K$174,Master!H$4:H$174,Master!BN$4:BN$174},Master!J$4:J$174="Qualified",Master!D$4:D$174="Money Market",Master!W$4:W$174&lt;&gt;""),4,FALSE),3,4),"")</f>
        <v/>
      </c>
      <c r="E154" s="76">
        <f>IFERROR(INDEX(SORT(FILTER({Master!A$4:A$174,Master!B$4:B$174,Master!U$4:U$174,Master!W$4:W$174,Master!K$4:K$174,Master!H$4:H$174,Master!BN$4:BN$174},Master!J$4:J$174="Qualified",Master!D$4:D$174="Money Market",Master!W$4:W$174&lt;&gt;""),4,FALSE),3,5),"")</f>
        <v/>
      </c>
      <c r="F154" s="77">
        <f>IFERROR(INDEX(SORT(FILTER({Master!A$4:A$174,Master!B$4:B$174,Master!U$4:U$174,Master!W$4:W$174,Master!K$4:K$174,Master!H$4:H$174,Master!BN$4:BN$174},Master!J$4:J$174="Qualified",Master!D$4:D$174="Money Market",Master!W$4:W$174&lt;&gt;""),4,FALSE),3,6),"")</f>
        <v/>
      </c>
      <c r="G154" s="78">
        <f>IFERROR(INDEX(SORT(FILTER({Master!A$4:A$174,Master!B$4:B$174,Master!U$4:U$174,Master!W$4:W$174,Master!K$4:K$174,Master!H$4:H$174,Master!BN$4:BN$174},Master!J$4:J$174="Qualified",Master!D$4:D$174="Money Market",Master!W$4:W$174&lt;&gt;""),4,FALSE),3,7),"")</f>
        <v/>
      </c>
      <c r="H154" s="78" t="inlineStr"/>
    </row>
    <row r="155" ht="16" customHeight="1">
      <c r="A155" s="58">
        <f>IFERROR(INDEX(SORT(FILTER({Master!A$4:A$174,Master!B$4:B$174,Master!U$4:U$174,Master!W$4:W$174,Master!K$4:K$174,Master!H$4:H$174,Master!BN$4:BN$174},Master!J$4:J$174="Qualified",Master!D$4:D$174="Money Market",Master!W$4:W$174&lt;&gt;""),4,FALSE),4,1),"")</f>
        <v/>
      </c>
      <c r="B155" s="58">
        <f>IFERROR(INDEX(SORT(FILTER({Master!A$4:A$174,Master!B$4:B$174,Master!U$4:U$174,Master!W$4:W$174,Master!K$4:K$174,Master!H$4:H$174,Master!BN$4:BN$174},Master!J$4:J$174="Qualified",Master!D$4:D$174="Money Market",Master!W$4:W$174&lt;&gt;""),4,FALSE),4,2),"")</f>
        <v/>
      </c>
      <c r="C155" s="74">
        <f>IFERROR(INDEX(SORT(FILTER({Master!A$4:A$174,Master!B$4:B$174,Master!U$4:U$174,Master!W$4:W$174,Master!K$4:K$174,Master!H$4:H$174,Master!BN$4:BN$174},Master!J$4:J$174="Qualified",Master!D$4:D$174="Money Market",Master!W$4:W$174&lt;&gt;""),4,FALSE),4,3),"")</f>
        <v/>
      </c>
      <c r="D155" s="74">
        <f>IFERROR(INDEX(SORT(FILTER({Master!A$4:A$174,Master!B$4:B$174,Master!U$4:U$174,Master!W$4:W$174,Master!K$4:K$174,Master!H$4:H$174,Master!BN$4:BN$174},Master!J$4:J$174="Qualified",Master!D$4:D$174="Money Market",Master!W$4:W$174&lt;&gt;""),4,FALSE),4,4),"")</f>
        <v/>
      </c>
      <c r="E155" s="79">
        <f>IFERROR(INDEX(SORT(FILTER({Master!A$4:A$174,Master!B$4:B$174,Master!U$4:U$174,Master!W$4:W$174,Master!K$4:K$174,Master!H$4:H$174,Master!BN$4:BN$174},Master!J$4:J$174="Qualified",Master!D$4:D$174="Money Market",Master!W$4:W$174&lt;&gt;""),4,FALSE),4,5),"")</f>
        <v/>
      </c>
      <c r="F155" s="80">
        <f>IFERROR(INDEX(SORT(FILTER({Master!A$4:A$174,Master!B$4:B$174,Master!U$4:U$174,Master!W$4:W$174,Master!K$4:K$174,Master!H$4:H$174,Master!BN$4:BN$174},Master!J$4:J$174="Qualified",Master!D$4:D$174="Money Market",Master!W$4:W$174&lt;&gt;""),4,FALSE),4,6),"")</f>
        <v/>
      </c>
      <c r="G155" s="81">
        <f>IFERROR(INDEX(SORT(FILTER({Master!A$4:A$174,Master!B$4:B$174,Master!U$4:U$174,Master!W$4:W$174,Master!K$4:K$174,Master!H$4:H$174,Master!BN$4:BN$174},Master!J$4:J$174="Qualified",Master!D$4:D$174="Money Market",Master!W$4:W$174&lt;&gt;""),4,FALSE),4,7),"")</f>
        <v/>
      </c>
      <c r="H155" s="81" t="inlineStr"/>
    </row>
    <row r="156" ht="16" customHeight="1">
      <c r="A156" s="59">
        <f>IFERROR(INDEX(SORT(FILTER({Master!A$4:A$174,Master!B$4:B$174,Master!U$4:U$174,Master!W$4:W$174,Master!K$4:K$174,Master!H$4:H$174,Master!BN$4:BN$174},Master!J$4:J$174="Qualified",Master!D$4:D$174="Money Market",Master!W$4:W$174&lt;&gt;""),4,FALSE),5,1),"")</f>
        <v/>
      </c>
      <c r="B156" s="59">
        <f>IFERROR(INDEX(SORT(FILTER({Master!A$4:A$174,Master!B$4:B$174,Master!U$4:U$174,Master!W$4:W$174,Master!K$4:K$174,Master!H$4:H$174,Master!BN$4:BN$174},Master!J$4:J$174="Qualified",Master!D$4:D$174="Money Market",Master!W$4:W$174&lt;&gt;""),4,FALSE),5,2),"")</f>
        <v/>
      </c>
      <c r="C156" s="75">
        <f>IFERROR(INDEX(SORT(FILTER({Master!A$4:A$174,Master!B$4:B$174,Master!U$4:U$174,Master!W$4:W$174,Master!K$4:K$174,Master!H$4:H$174,Master!BN$4:BN$174},Master!J$4:J$174="Qualified",Master!D$4:D$174="Money Market",Master!W$4:W$174&lt;&gt;""),4,FALSE),5,3),"")</f>
        <v/>
      </c>
      <c r="D156" s="75">
        <f>IFERROR(INDEX(SORT(FILTER({Master!A$4:A$174,Master!B$4:B$174,Master!U$4:U$174,Master!W$4:W$174,Master!K$4:K$174,Master!H$4:H$174,Master!BN$4:BN$174},Master!J$4:J$174="Qualified",Master!D$4:D$174="Money Market",Master!W$4:W$174&lt;&gt;""),4,FALSE),5,4),"")</f>
        <v/>
      </c>
      <c r="E156" s="76">
        <f>IFERROR(INDEX(SORT(FILTER({Master!A$4:A$174,Master!B$4:B$174,Master!U$4:U$174,Master!W$4:W$174,Master!K$4:K$174,Master!H$4:H$174,Master!BN$4:BN$174},Master!J$4:J$174="Qualified",Master!D$4:D$174="Money Market",Master!W$4:W$174&lt;&gt;""),4,FALSE),5,5),"")</f>
        <v/>
      </c>
      <c r="F156" s="77">
        <f>IFERROR(INDEX(SORT(FILTER({Master!A$4:A$174,Master!B$4:B$174,Master!U$4:U$174,Master!W$4:W$174,Master!K$4:K$174,Master!H$4:H$174,Master!BN$4:BN$174},Master!J$4:J$174="Qualified",Master!D$4:D$174="Money Market",Master!W$4:W$174&lt;&gt;""),4,FALSE),5,6),"")</f>
        <v/>
      </c>
      <c r="G156" s="78">
        <f>IFERROR(INDEX(SORT(FILTER({Master!A$4:A$174,Master!B$4:B$174,Master!U$4:U$174,Master!W$4:W$174,Master!K$4:K$174,Master!H$4:H$174,Master!BN$4:BN$174},Master!J$4:J$174="Qualified",Master!D$4:D$174="Money Market",Master!W$4:W$174&lt;&gt;""),4,FALSE),5,7),"")</f>
        <v/>
      </c>
      <c r="H156" s="78" t="inlineStr"/>
    </row>
    <row r="158" ht="26" customHeight="1">
      <c r="A158" s="61" t="inlineStr">
        <is>
          <t>MONEY MARKET — TOP 5 BY ALPHA EFFICIENCY</t>
        </is>
      </c>
      <c r="B158" s="7" t="n"/>
      <c r="C158" s="7" t="n"/>
      <c r="D158" s="7" t="n"/>
      <c r="E158" s="7" t="n"/>
      <c r="F158" s="7" t="n"/>
      <c r="G158" s="7" t="n"/>
      <c r="H158" s="7" t="n"/>
    </row>
    <row r="159" ht="28" customHeight="1">
      <c r="A159" s="62" t="inlineStr">
        <is>
          <t>Fund Name</t>
        </is>
      </c>
      <c r="B159" s="62" t="inlineStr">
        <is>
          <t>Abbr</t>
        </is>
      </c>
      <c r="C159" s="62" t="inlineStr">
        <is>
          <t>Alpha Eff</t>
        </is>
      </c>
      <c r="D159" s="62" t="inlineStr">
        <is>
          <t>3Y Alpha (%)</t>
        </is>
      </c>
      <c r="E159" s="62" t="inlineStr">
        <is>
          <t>Beat (%)</t>
        </is>
      </c>
      <c r="F159" s="62" t="inlineStr">
        <is>
          <t>AUM (RM M)</t>
        </is>
      </c>
      <c r="G159" s="62" t="inlineStr">
        <is>
          <t>VC</t>
        </is>
      </c>
      <c r="H159" s="62" t="inlineStr"/>
    </row>
    <row r="160" ht="16" customHeight="1">
      <c r="A160" s="59">
        <f>IFERROR(INDEX(SORT(FILTER({Master!A$4:A$174,Master!B$4:B$174,Master!AF$4:AF$174,Master!W$4:W$174,Master!K$4:K$174,Master!H$4:H$174,Master!BN$4:BN$174},Master!J$4:J$174="Qualified",Master!D$4:D$174="Money Market",Master!AF$4:AF$174&lt;&gt;""),3,FALSE),1,1),"")</f>
        <v/>
      </c>
      <c r="B160" s="59">
        <f>IFERROR(INDEX(SORT(FILTER({Master!A$4:A$174,Master!B$4:B$174,Master!AF$4:AF$174,Master!W$4:W$174,Master!K$4:K$174,Master!H$4:H$174,Master!BN$4:BN$174},Master!J$4:J$174="Qualified",Master!D$4:D$174="Money Market",Master!AF$4:AF$174&lt;&gt;""),3,FALSE),1,2),"")</f>
        <v/>
      </c>
      <c r="C160" s="75">
        <f>IFERROR(INDEX(SORT(FILTER({Master!A$4:A$174,Master!B$4:B$174,Master!AF$4:AF$174,Master!W$4:W$174,Master!K$4:K$174,Master!H$4:H$174,Master!BN$4:BN$174},Master!J$4:J$174="Qualified",Master!D$4:D$174="Money Market",Master!AF$4:AF$174&lt;&gt;""),3,FALSE),1,3),"")</f>
        <v/>
      </c>
      <c r="D160" s="75">
        <f>IFERROR(INDEX(SORT(FILTER({Master!A$4:A$174,Master!B$4:B$174,Master!AF$4:AF$174,Master!W$4:W$174,Master!K$4:K$174,Master!H$4:H$174,Master!BN$4:BN$174},Master!J$4:J$174="Qualified",Master!D$4:D$174="Money Market",Master!AF$4:AF$174&lt;&gt;""),3,FALSE),1,4),"")</f>
        <v/>
      </c>
      <c r="E160" s="76">
        <f>IFERROR(INDEX(SORT(FILTER({Master!A$4:A$174,Master!B$4:B$174,Master!AF$4:AF$174,Master!W$4:W$174,Master!K$4:K$174,Master!H$4:H$174,Master!BN$4:BN$174},Master!J$4:J$174="Qualified",Master!D$4:D$174="Money Market",Master!AF$4:AF$174&lt;&gt;""),3,FALSE),1,5),"")</f>
        <v/>
      </c>
      <c r="F160" s="77">
        <f>IFERROR(INDEX(SORT(FILTER({Master!A$4:A$174,Master!B$4:B$174,Master!AF$4:AF$174,Master!W$4:W$174,Master!K$4:K$174,Master!H$4:H$174,Master!BN$4:BN$174},Master!J$4:J$174="Qualified",Master!D$4:D$174="Money Market",Master!AF$4:AF$174&lt;&gt;""),3,FALSE),1,6),"")</f>
        <v/>
      </c>
      <c r="G160" s="78">
        <f>IFERROR(INDEX(SORT(FILTER({Master!A$4:A$174,Master!B$4:B$174,Master!AF$4:AF$174,Master!W$4:W$174,Master!K$4:K$174,Master!H$4:H$174,Master!BN$4:BN$174},Master!J$4:J$174="Qualified",Master!D$4:D$174="Money Market",Master!AF$4:AF$174&lt;&gt;""),3,FALSE),1,7),"")</f>
        <v/>
      </c>
      <c r="H160" s="78" t="inlineStr"/>
    </row>
    <row r="161" ht="16" customHeight="1">
      <c r="A161" s="58">
        <f>IFERROR(INDEX(SORT(FILTER({Master!A$4:A$174,Master!B$4:B$174,Master!AF$4:AF$174,Master!W$4:W$174,Master!K$4:K$174,Master!H$4:H$174,Master!BN$4:BN$174},Master!J$4:J$174="Qualified",Master!D$4:D$174="Money Market",Master!AF$4:AF$174&lt;&gt;""),3,FALSE),2,1),"")</f>
        <v/>
      </c>
      <c r="B161" s="58">
        <f>IFERROR(INDEX(SORT(FILTER({Master!A$4:A$174,Master!B$4:B$174,Master!AF$4:AF$174,Master!W$4:W$174,Master!K$4:K$174,Master!H$4:H$174,Master!BN$4:BN$174},Master!J$4:J$174="Qualified",Master!D$4:D$174="Money Market",Master!AF$4:AF$174&lt;&gt;""),3,FALSE),2,2),"")</f>
        <v/>
      </c>
      <c r="C161" s="74">
        <f>IFERROR(INDEX(SORT(FILTER({Master!A$4:A$174,Master!B$4:B$174,Master!AF$4:AF$174,Master!W$4:W$174,Master!K$4:K$174,Master!H$4:H$174,Master!BN$4:BN$174},Master!J$4:J$174="Qualified",Master!D$4:D$174="Money Market",Master!AF$4:AF$174&lt;&gt;""),3,FALSE),2,3),"")</f>
        <v/>
      </c>
      <c r="D161" s="74">
        <f>IFERROR(INDEX(SORT(FILTER({Master!A$4:A$174,Master!B$4:B$174,Master!AF$4:AF$174,Master!W$4:W$174,Master!K$4:K$174,Master!H$4:H$174,Master!BN$4:BN$174},Master!J$4:J$174="Qualified",Master!D$4:D$174="Money Market",Master!AF$4:AF$174&lt;&gt;""),3,FALSE),2,4),"")</f>
        <v/>
      </c>
      <c r="E161" s="79">
        <f>IFERROR(INDEX(SORT(FILTER({Master!A$4:A$174,Master!B$4:B$174,Master!AF$4:AF$174,Master!W$4:W$174,Master!K$4:K$174,Master!H$4:H$174,Master!BN$4:BN$174},Master!J$4:J$174="Qualified",Master!D$4:D$174="Money Market",Master!AF$4:AF$174&lt;&gt;""),3,FALSE),2,5),"")</f>
        <v/>
      </c>
      <c r="F161" s="80">
        <f>IFERROR(INDEX(SORT(FILTER({Master!A$4:A$174,Master!B$4:B$174,Master!AF$4:AF$174,Master!W$4:W$174,Master!K$4:K$174,Master!H$4:H$174,Master!BN$4:BN$174},Master!J$4:J$174="Qualified",Master!D$4:D$174="Money Market",Master!AF$4:AF$174&lt;&gt;""),3,FALSE),2,6),"")</f>
        <v/>
      </c>
      <c r="G161" s="81">
        <f>IFERROR(INDEX(SORT(FILTER({Master!A$4:A$174,Master!B$4:B$174,Master!AF$4:AF$174,Master!W$4:W$174,Master!K$4:K$174,Master!H$4:H$174,Master!BN$4:BN$174},Master!J$4:J$174="Qualified",Master!D$4:D$174="Money Market",Master!AF$4:AF$174&lt;&gt;""),3,FALSE),2,7),"")</f>
        <v/>
      </c>
      <c r="H161" s="81" t="inlineStr"/>
    </row>
    <row r="162" ht="16" customHeight="1">
      <c r="A162" s="59">
        <f>IFERROR(INDEX(SORT(FILTER({Master!A$4:A$174,Master!B$4:B$174,Master!AF$4:AF$174,Master!W$4:W$174,Master!K$4:K$174,Master!H$4:H$174,Master!BN$4:BN$174},Master!J$4:J$174="Qualified",Master!D$4:D$174="Money Market",Master!AF$4:AF$174&lt;&gt;""),3,FALSE),3,1),"")</f>
        <v/>
      </c>
      <c r="B162" s="59">
        <f>IFERROR(INDEX(SORT(FILTER({Master!A$4:A$174,Master!B$4:B$174,Master!AF$4:AF$174,Master!W$4:W$174,Master!K$4:K$174,Master!H$4:H$174,Master!BN$4:BN$174},Master!J$4:J$174="Qualified",Master!D$4:D$174="Money Market",Master!AF$4:AF$174&lt;&gt;""),3,FALSE),3,2),"")</f>
        <v/>
      </c>
      <c r="C162" s="75">
        <f>IFERROR(INDEX(SORT(FILTER({Master!A$4:A$174,Master!B$4:B$174,Master!AF$4:AF$174,Master!W$4:W$174,Master!K$4:K$174,Master!H$4:H$174,Master!BN$4:BN$174},Master!J$4:J$174="Qualified",Master!D$4:D$174="Money Market",Master!AF$4:AF$174&lt;&gt;""),3,FALSE),3,3),"")</f>
        <v/>
      </c>
      <c r="D162" s="75">
        <f>IFERROR(INDEX(SORT(FILTER({Master!A$4:A$174,Master!B$4:B$174,Master!AF$4:AF$174,Master!W$4:W$174,Master!K$4:K$174,Master!H$4:H$174,Master!BN$4:BN$174},Master!J$4:J$174="Qualified",Master!D$4:D$174="Money Market",Master!AF$4:AF$174&lt;&gt;""),3,FALSE),3,4),"")</f>
        <v/>
      </c>
      <c r="E162" s="76">
        <f>IFERROR(INDEX(SORT(FILTER({Master!A$4:A$174,Master!B$4:B$174,Master!AF$4:AF$174,Master!W$4:W$174,Master!K$4:K$174,Master!H$4:H$174,Master!BN$4:BN$174},Master!J$4:J$174="Qualified",Master!D$4:D$174="Money Market",Master!AF$4:AF$174&lt;&gt;""),3,FALSE),3,5),"")</f>
        <v/>
      </c>
      <c r="F162" s="77">
        <f>IFERROR(INDEX(SORT(FILTER({Master!A$4:A$174,Master!B$4:B$174,Master!AF$4:AF$174,Master!W$4:W$174,Master!K$4:K$174,Master!H$4:H$174,Master!BN$4:BN$174},Master!J$4:J$174="Qualified",Master!D$4:D$174="Money Market",Master!AF$4:AF$174&lt;&gt;""),3,FALSE),3,6),"")</f>
        <v/>
      </c>
      <c r="G162" s="78">
        <f>IFERROR(INDEX(SORT(FILTER({Master!A$4:A$174,Master!B$4:B$174,Master!AF$4:AF$174,Master!W$4:W$174,Master!K$4:K$174,Master!H$4:H$174,Master!BN$4:BN$174},Master!J$4:J$174="Qualified",Master!D$4:D$174="Money Market",Master!AF$4:AF$174&lt;&gt;""),3,FALSE),3,7),"")</f>
        <v/>
      </c>
      <c r="H162" s="78" t="inlineStr"/>
    </row>
    <row r="163" ht="16" customHeight="1">
      <c r="A163" s="58">
        <f>IFERROR(INDEX(SORT(FILTER({Master!A$4:A$174,Master!B$4:B$174,Master!AF$4:AF$174,Master!W$4:W$174,Master!K$4:K$174,Master!H$4:H$174,Master!BN$4:BN$174},Master!J$4:J$174="Qualified",Master!D$4:D$174="Money Market",Master!AF$4:AF$174&lt;&gt;""),3,FALSE),4,1),"")</f>
        <v/>
      </c>
      <c r="B163" s="58">
        <f>IFERROR(INDEX(SORT(FILTER({Master!A$4:A$174,Master!B$4:B$174,Master!AF$4:AF$174,Master!W$4:W$174,Master!K$4:K$174,Master!H$4:H$174,Master!BN$4:BN$174},Master!J$4:J$174="Qualified",Master!D$4:D$174="Money Market",Master!AF$4:AF$174&lt;&gt;""),3,FALSE),4,2),"")</f>
        <v/>
      </c>
      <c r="C163" s="74">
        <f>IFERROR(INDEX(SORT(FILTER({Master!A$4:A$174,Master!B$4:B$174,Master!AF$4:AF$174,Master!W$4:W$174,Master!K$4:K$174,Master!H$4:H$174,Master!BN$4:BN$174},Master!J$4:J$174="Qualified",Master!D$4:D$174="Money Market",Master!AF$4:AF$174&lt;&gt;""),3,FALSE),4,3),"")</f>
        <v/>
      </c>
      <c r="D163" s="74">
        <f>IFERROR(INDEX(SORT(FILTER({Master!A$4:A$174,Master!B$4:B$174,Master!AF$4:AF$174,Master!W$4:W$174,Master!K$4:K$174,Master!H$4:H$174,Master!BN$4:BN$174},Master!J$4:J$174="Qualified",Master!D$4:D$174="Money Market",Master!AF$4:AF$174&lt;&gt;""),3,FALSE),4,4),"")</f>
        <v/>
      </c>
      <c r="E163" s="79">
        <f>IFERROR(INDEX(SORT(FILTER({Master!A$4:A$174,Master!B$4:B$174,Master!AF$4:AF$174,Master!W$4:W$174,Master!K$4:K$174,Master!H$4:H$174,Master!BN$4:BN$174},Master!J$4:J$174="Qualified",Master!D$4:D$174="Money Market",Master!AF$4:AF$174&lt;&gt;""),3,FALSE),4,5),"")</f>
        <v/>
      </c>
      <c r="F163" s="80">
        <f>IFERROR(INDEX(SORT(FILTER({Master!A$4:A$174,Master!B$4:B$174,Master!AF$4:AF$174,Master!W$4:W$174,Master!K$4:K$174,Master!H$4:H$174,Master!BN$4:BN$174},Master!J$4:J$174="Qualified",Master!D$4:D$174="Money Market",Master!AF$4:AF$174&lt;&gt;""),3,FALSE),4,6),"")</f>
        <v/>
      </c>
      <c r="G163" s="81">
        <f>IFERROR(INDEX(SORT(FILTER({Master!A$4:A$174,Master!B$4:B$174,Master!AF$4:AF$174,Master!W$4:W$174,Master!K$4:K$174,Master!H$4:H$174,Master!BN$4:BN$174},Master!J$4:J$174="Qualified",Master!D$4:D$174="Money Market",Master!AF$4:AF$174&lt;&gt;""),3,FALSE),4,7),"")</f>
        <v/>
      </c>
      <c r="H163" s="81" t="inlineStr"/>
    </row>
    <row r="164" ht="16" customHeight="1">
      <c r="A164" s="59">
        <f>IFERROR(INDEX(SORT(FILTER({Master!A$4:A$174,Master!B$4:B$174,Master!AF$4:AF$174,Master!W$4:W$174,Master!K$4:K$174,Master!H$4:H$174,Master!BN$4:BN$174},Master!J$4:J$174="Qualified",Master!D$4:D$174="Money Market",Master!AF$4:AF$174&lt;&gt;""),3,FALSE),5,1),"")</f>
        <v/>
      </c>
      <c r="B164" s="59">
        <f>IFERROR(INDEX(SORT(FILTER({Master!A$4:A$174,Master!B$4:B$174,Master!AF$4:AF$174,Master!W$4:W$174,Master!K$4:K$174,Master!H$4:H$174,Master!BN$4:BN$174},Master!J$4:J$174="Qualified",Master!D$4:D$174="Money Market",Master!AF$4:AF$174&lt;&gt;""),3,FALSE),5,2),"")</f>
        <v/>
      </c>
      <c r="C164" s="75">
        <f>IFERROR(INDEX(SORT(FILTER({Master!A$4:A$174,Master!B$4:B$174,Master!AF$4:AF$174,Master!W$4:W$174,Master!K$4:K$174,Master!H$4:H$174,Master!BN$4:BN$174},Master!J$4:J$174="Qualified",Master!D$4:D$174="Money Market",Master!AF$4:AF$174&lt;&gt;""),3,FALSE),5,3),"")</f>
        <v/>
      </c>
      <c r="D164" s="75">
        <f>IFERROR(INDEX(SORT(FILTER({Master!A$4:A$174,Master!B$4:B$174,Master!AF$4:AF$174,Master!W$4:W$174,Master!K$4:K$174,Master!H$4:H$174,Master!BN$4:BN$174},Master!J$4:J$174="Qualified",Master!D$4:D$174="Money Market",Master!AF$4:AF$174&lt;&gt;""),3,FALSE),5,4),"")</f>
        <v/>
      </c>
      <c r="E164" s="76">
        <f>IFERROR(INDEX(SORT(FILTER({Master!A$4:A$174,Master!B$4:B$174,Master!AF$4:AF$174,Master!W$4:W$174,Master!K$4:K$174,Master!H$4:H$174,Master!BN$4:BN$174},Master!J$4:J$174="Qualified",Master!D$4:D$174="Money Market",Master!AF$4:AF$174&lt;&gt;""),3,FALSE),5,5),"")</f>
        <v/>
      </c>
      <c r="F164" s="77">
        <f>IFERROR(INDEX(SORT(FILTER({Master!A$4:A$174,Master!B$4:B$174,Master!AF$4:AF$174,Master!W$4:W$174,Master!K$4:K$174,Master!H$4:H$174,Master!BN$4:BN$174},Master!J$4:J$174="Qualified",Master!D$4:D$174="Money Market",Master!AF$4:AF$174&lt;&gt;""),3,FALSE),5,6),"")</f>
        <v/>
      </c>
      <c r="G164" s="78">
        <f>IFERROR(INDEX(SORT(FILTER({Master!A$4:A$174,Master!B$4:B$174,Master!AF$4:AF$174,Master!W$4:W$174,Master!K$4:K$174,Master!H$4:H$174,Master!BN$4:BN$174},Master!J$4:J$174="Qualified",Master!D$4:D$174="Money Market",Master!AF$4:AF$174&lt;&gt;""),3,FALSE),5,7),"")</f>
        <v/>
      </c>
      <c r="H164" s="78" t="inlineStr"/>
    </row>
    <row r="166" ht="26" customHeight="1">
      <c r="A166" s="61" t="inlineStr">
        <is>
          <t>MONEY MARKET — TOP 5 BY AUM</t>
        </is>
      </c>
      <c r="B166" s="7" t="n"/>
      <c r="C166" s="7" t="n"/>
      <c r="D166" s="7" t="n"/>
      <c r="E166" s="7" t="n"/>
      <c r="F166" s="7" t="n"/>
      <c r="G166" s="7" t="n"/>
      <c r="H166" s="7" t="n"/>
    </row>
    <row r="167" ht="28" customHeight="1">
      <c r="A167" s="62" t="inlineStr">
        <is>
          <t>Fund Name</t>
        </is>
      </c>
      <c r="B167" s="62" t="inlineStr">
        <is>
          <t>Abbr</t>
        </is>
      </c>
      <c r="C167" s="62" t="inlineStr">
        <is>
          <t>AUM (RM M)</t>
        </is>
      </c>
      <c r="D167" s="62" t="inlineStr">
        <is>
          <t>3Y Fund (%)</t>
        </is>
      </c>
      <c r="E167" s="62" t="inlineStr">
        <is>
          <t>3Y Alpha (%)</t>
        </is>
      </c>
      <c r="F167" s="62" t="inlineStr">
        <is>
          <t>Beat (%)</t>
        </is>
      </c>
      <c r="G167" s="62" t="inlineStr">
        <is>
          <t>VC</t>
        </is>
      </c>
      <c r="H167" s="62" t="inlineStr"/>
    </row>
    <row r="168" ht="16" customHeight="1">
      <c r="A168" s="59">
        <f>IFERROR(INDEX(SORT(FILTER({Master!A$4:A$174,Master!B$4:B$174,Master!H$4:H$174,Master!U$4:U$174,Master!W$4:W$174,Master!K$4:K$174,Master!BN$4:BN$174},Master!J$4:J$174="Qualified",Master!D$4:D$174="Money Market",Master!H$4:H$174&lt;&gt;""),3,FALSE),1,1),"")</f>
        <v/>
      </c>
      <c r="B168" s="59">
        <f>IFERROR(INDEX(SORT(FILTER({Master!A$4:A$174,Master!B$4:B$174,Master!H$4:H$174,Master!U$4:U$174,Master!W$4:W$174,Master!K$4:K$174,Master!BN$4:BN$174},Master!J$4:J$174="Qualified",Master!D$4:D$174="Money Market",Master!H$4:H$174&lt;&gt;""),3,FALSE),1,2),"")</f>
        <v/>
      </c>
      <c r="C168" s="77">
        <f>IFERROR(INDEX(SORT(FILTER({Master!A$4:A$174,Master!B$4:B$174,Master!H$4:H$174,Master!U$4:U$174,Master!W$4:W$174,Master!K$4:K$174,Master!BN$4:BN$174},Master!J$4:J$174="Qualified",Master!D$4:D$174="Money Market",Master!H$4:H$174&lt;&gt;""),3,FALSE),1,3),"")</f>
        <v/>
      </c>
      <c r="D168" s="75">
        <f>IFERROR(INDEX(SORT(FILTER({Master!A$4:A$174,Master!B$4:B$174,Master!H$4:H$174,Master!U$4:U$174,Master!W$4:W$174,Master!K$4:K$174,Master!BN$4:BN$174},Master!J$4:J$174="Qualified",Master!D$4:D$174="Money Market",Master!H$4:H$174&lt;&gt;""),3,FALSE),1,4),"")</f>
        <v/>
      </c>
      <c r="E168" s="75">
        <f>IFERROR(INDEX(SORT(FILTER({Master!A$4:A$174,Master!B$4:B$174,Master!H$4:H$174,Master!U$4:U$174,Master!W$4:W$174,Master!K$4:K$174,Master!BN$4:BN$174},Master!J$4:J$174="Qualified",Master!D$4:D$174="Money Market",Master!H$4:H$174&lt;&gt;""),3,FALSE),1,5),"")</f>
        <v/>
      </c>
      <c r="F168" s="76">
        <f>IFERROR(INDEX(SORT(FILTER({Master!A$4:A$174,Master!B$4:B$174,Master!H$4:H$174,Master!U$4:U$174,Master!W$4:W$174,Master!K$4:K$174,Master!BN$4:BN$174},Master!J$4:J$174="Qualified",Master!D$4:D$174="Money Market",Master!H$4:H$174&lt;&gt;""),3,FALSE),1,6),"")</f>
        <v/>
      </c>
      <c r="G168" s="78">
        <f>IFERROR(INDEX(SORT(FILTER({Master!A$4:A$174,Master!B$4:B$174,Master!H$4:H$174,Master!U$4:U$174,Master!W$4:W$174,Master!K$4:K$174,Master!BN$4:BN$174},Master!J$4:J$174="Qualified",Master!D$4:D$174="Money Market",Master!H$4:H$174&lt;&gt;""),3,FALSE),1,7),"")</f>
        <v/>
      </c>
      <c r="H168" s="78" t="inlineStr"/>
    </row>
    <row r="169" ht="16" customHeight="1">
      <c r="A169" s="58">
        <f>IFERROR(INDEX(SORT(FILTER({Master!A$4:A$174,Master!B$4:B$174,Master!H$4:H$174,Master!U$4:U$174,Master!W$4:W$174,Master!K$4:K$174,Master!BN$4:BN$174},Master!J$4:J$174="Qualified",Master!D$4:D$174="Money Market",Master!H$4:H$174&lt;&gt;""),3,FALSE),2,1),"")</f>
        <v/>
      </c>
      <c r="B169" s="58">
        <f>IFERROR(INDEX(SORT(FILTER({Master!A$4:A$174,Master!B$4:B$174,Master!H$4:H$174,Master!U$4:U$174,Master!W$4:W$174,Master!K$4:K$174,Master!BN$4:BN$174},Master!J$4:J$174="Qualified",Master!D$4:D$174="Money Market",Master!H$4:H$174&lt;&gt;""),3,FALSE),2,2),"")</f>
        <v/>
      </c>
      <c r="C169" s="80">
        <f>IFERROR(INDEX(SORT(FILTER({Master!A$4:A$174,Master!B$4:B$174,Master!H$4:H$174,Master!U$4:U$174,Master!W$4:W$174,Master!K$4:K$174,Master!BN$4:BN$174},Master!J$4:J$174="Qualified",Master!D$4:D$174="Money Market",Master!H$4:H$174&lt;&gt;""),3,FALSE),2,3),"")</f>
        <v/>
      </c>
      <c r="D169" s="74">
        <f>IFERROR(INDEX(SORT(FILTER({Master!A$4:A$174,Master!B$4:B$174,Master!H$4:H$174,Master!U$4:U$174,Master!W$4:W$174,Master!K$4:K$174,Master!BN$4:BN$174},Master!J$4:J$174="Qualified",Master!D$4:D$174="Money Market",Master!H$4:H$174&lt;&gt;""),3,FALSE),2,4),"")</f>
        <v/>
      </c>
      <c r="E169" s="74">
        <f>IFERROR(INDEX(SORT(FILTER({Master!A$4:A$174,Master!B$4:B$174,Master!H$4:H$174,Master!U$4:U$174,Master!W$4:W$174,Master!K$4:K$174,Master!BN$4:BN$174},Master!J$4:J$174="Qualified",Master!D$4:D$174="Money Market",Master!H$4:H$174&lt;&gt;""),3,FALSE),2,5),"")</f>
        <v/>
      </c>
      <c r="F169" s="79">
        <f>IFERROR(INDEX(SORT(FILTER({Master!A$4:A$174,Master!B$4:B$174,Master!H$4:H$174,Master!U$4:U$174,Master!W$4:W$174,Master!K$4:K$174,Master!BN$4:BN$174},Master!J$4:J$174="Qualified",Master!D$4:D$174="Money Market",Master!H$4:H$174&lt;&gt;""),3,FALSE),2,6),"")</f>
        <v/>
      </c>
      <c r="G169" s="81">
        <f>IFERROR(INDEX(SORT(FILTER({Master!A$4:A$174,Master!B$4:B$174,Master!H$4:H$174,Master!U$4:U$174,Master!W$4:W$174,Master!K$4:K$174,Master!BN$4:BN$174},Master!J$4:J$174="Qualified",Master!D$4:D$174="Money Market",Master!H$4:H$174&lt;&gt;""),3,FALSE),2,7),"")</f>
        <v/>
      </c>
      <c r="H169" s="81" t="inlineStr"/>
    </row>
    <row r="170" ht="16" customHeight="1">
      <c r="A170" s="59">
        <f>IFERROR(INDEX(SORT(FILTER({Master!A$4:A$174,Master!B$4:B$174,Master!H$4:H$174,Master!U$4:U$174,Master!W$4:W$174,Master!K$4:K$174,Master!BN$4:BN$174},Master!J$4:J$174="Qualified",Master!D$4:D$174="Money Market",Master!H$4:H$174&lt;&gt;""),3,FALSE),3,1),"")</f>
        <v/>
      </c>
      <c r="B170" s="59">
        <f>IFERROR(INDEX(SORT(FILTER({Master!A$4:A$174,Master!B$4:B$174,Master!H$4:H$174,Master!U$4:U$174,Master!W$4:W$174,Master!K$4:K$174,Master!BN$4:BN$174},Master!J$4:J$174="Qualified",Master!D$4:D$174="Money Market",Master!H$4:H$174&lt;&gt;""),3,FALSE),3,2),"")</f>
        <v/>
      </c>
      <c r="C170" s="77">
        <f>IFERROR(INDEX(SORT(FILTER({Master!A$4:A$174,Master!B$4:B$174,Master!H$4:H$174,Master!U$4:U$174,Master!W$4:W$174,Master!K$4:K$174,Master!BN$4:BN$174},Master!J$4:J$174="Qualified",Master!D$4:D$174="Money Market",Master!H$4:H$174&lt;&gt;""),3,FALSE),3,3),"")</f>
        <v/>
      </c>
      <c r="D170" s="75">
        <f>IFERROR(INDEX(SORT(FILTER({Master!A$4:A$174,Master!B$4:B$174,Master!H$4:H$174,Master!U$4:U$174,Master!W$4:W$174,Master!K$4:K$174,Master!BN$4:BN$174},Master!J$4:J$174="Qualified",Master!D$4:D$174="Money Market",Master!H$4:H$174&lt;&gt;""),3,FALSE),3,4),"")</f>
        <v/>
      </c>
      <c r="E170" s="75">
        <f>IFERROR(INDEX(SORT(FILTER({Master!A$4:A$174,Master!B$4:B$174,Master!H$4:H$174,Master!U$4:U$174,Master!W$4:W$174,Master!K$4:K$174,Master!BN$4:BN$174},Master!J$4:J$174="Qualified",Master!D$4:D$174="Money Market",Master!H$4:H$174&lt;&gt;""),3,FALSE),3,5),"")</f>
        <v/>
      </c>
      <c r="F170" s="76">
        <f>IFERROR(INDEX(SORT(FILTER({Master!A$4:A$174,Master!B$4:B$174,Master!H$4:H$174,Master!U$4:U$174,Master!W$4:W$174,Master!K$4:K$174,Master!BN$4:BN$174},Master!J$4:J$174="Qualified",Master!D$4:D$174="Money Market",Master!H$4:H$174&lt;&gt;""),3,FALSE),3,6),"")</f>
        <v/>
      </c>
      <c r="G170" s="78">
        <f>IFERROR(INDEX(SORT(FILTER({Master!A$4:A$174,Master!B$4:B$174,Master!H$4:H$174,Master!U$4:U$174,Master!W$4:W$174,Master!K$4:K$174,Master!BN$4:BN$174},Master!J$4:J$174="Qualified",Master!D$4:D$174="Money Market",Master!H$4:H$174&lt;&gt;""),3,FALSE),3,7),"")</f>
        <v/>
      </c>
      <c r="H170" s="78" t="inlineStr"/>
    </row>
    <row r="171" ht="16" customHeight="1">
      <c r="A171" s="58">
        <f>IFERROR(INDEX(SORT(FILTER({Master!A$4:A$174,Master!B$4:B$174,Master!H$4:H$174,Master!U$4:U$174,Master!W$4:W$174,Master!K$4:K$174,Master!BN$4:BN$174},Master!J$4:J$174="Qualified",Master!D$4:D$174="Money Market",Master!H$4:H$174&lt;&gt;""),3,FALSE),4,1),"")</f>
        <v/>
      </c>
      <c r="B171" s="58">
        <f>IFERROR(INDEX(SORT(FILTER({Master!A$4:A$174,Master!B$4:B$174,Master!H$4:H$174,Master!U$4:U$174,Master!W$4:W$174,Master!K$4:K$174,Master!BN$4:BN$174},Master!J$4:J$174="Qualified",Master!D$4:D$174="Money Market",Master!H$4:H$174&lt;&gt;""),3,FALSE),4,2),"")</f>
        <v/>
      </c>
      <c r="C171" s="80">
        <f>IFERROR(INDEX(SORT(FILTER({Master!A$4:A$174,Master!B$4:B$174,Master!H$4:H$174,Master!U$4:U$174,Master!W$4:W$174,Master!K$4:K$174,Master!BN$4:BN$174},Master!J$4:J$174="Qualified",Master!D$4:D$174="Money Market",Master!H$4:H$174&lt;&gt;""),3,FALSE),4,3),"")</f>
        <v/>
      </c>
      <c r="D171" s="74">
        <f>IFERROR(INDEX(SORT(FILTER({Master!A$4:A$174,Master!B$4:B$174,Master!H$4:H$174,Master!U$4:U$174,Master!W$4:W$174,Master!K$4:K$174,Master!BN$4:BN$174},Master!J$4:J$174="Qualified",Master!D$4:D$174="Money Market",Master!H$4:H$174&lt;&gt;""),3,FALSE),4,4),"")</f>
        <v/>
      </c>
      <c r="E171" s="74">
        <f>IFERROR(INDEX(SORT(FILTER({Master!A$4:A$174,Master!B$4:B$174,Master!H$4:H$174,Master!U$4:U$174,Master!W$4:W$174,Master!K$4:K$174,Master!BN$4:BN$174},Master!J$4:J$174="Qualified",Master!D$4:D$174="Money Market",Master!H$4:H$174&lt;&gt;""),3,FALSE),4,5),"")</f>
        <v/>
      </c>
      <c r="F171" s="79">
        <f>IFERROR(INDEX(SORT(FILTER({Master!A$4:A$174,Master!B$4:B$174,Master!H$4:H$174,Master!U$4:U$174,Master!W$4:W$174,Master!K$4:K$174,Master!BN$4:BN$174},Master!J$4:J$174="Qualified",Master!D$4:D$174="Money Market",Master!H$4:H$174&lt;&gt;""),3,FALSE),4,6),"")</f>
        <v/>
      </c>
      <c r="G171" s="81">
        <f>IFERROR(INDEX(SORT(FILTER({Master!A$4:A$174,Master!B$4:B$174,Master!H$4:H$174,Master!U$4:U$174,Master!W$4:W$174,Master!K$4:K$174,Master!BN$4:BN$174},Master!J$4:J$174="Qualified",Master!D$4:D$174="Money Market",Master!H$4:H$174&lt;&gt;""),3,FALSE),4,7),"")</f>
        <v/>
      </c>
      <c r="H171" s="81" t="inlineStr"/>
    </row>
    <row r="172" ht="16" customHeight="1">
      <c r="A172" s="59">
        <f>IFERROR(INDEX(SORT(FILTER({Master!A$4:A$174,Master!B$4:B$174,Master!H$4:H$174,Master!U$4:U$174,Master!W$4:W$174,Master!K$4:K$174,Master!BN$4:BN$174},Master!J$4:J$174="Qualified",Master!D$4:D$174="Money Market",Master!H$4:H$174&lt;&gt;""),3,FALSE),5,1),"")</f>
        <v/>
      </c>
      <c r="B172" s="59">
        <f>IFERROR(INDEX(SORT(FILTER({Master!A$4:A$174,Master!B$4:B$174,Master!H$4:H$174,Master!U$4:U$174,Master!W$4:W$174,Master!K$4:K$174,Master!BN$4:BN$174},Master!J$4:J$174="Qualified",Master!D$4:D$174="Money Market",Master!H$4:H$174&lt;&gt;""),3,FALSE),5,2),"")</f>
        <v/>
      </c>
      <c r="C172" s="77">
        <f>IFERROR(INDEX(SORT(FILTER({Master!A$4:A$174,Master!B$4:B$174,Master!H$4:H$174,Master!U$4:U$174,Master!W$4:W$174,Master!K$4:K$174,Master!BN$4:BN$174},Master!J$4:J$174="Qualified",Master!D$4:D$174="Money Market",Master!H$4:H$174&lt;&gt;""),3,FALSE),5,3),"")</f>
        <v/>
      </c>
      <c r="D172" s="75">
        <f>IFERROR(INDEX(SORT(FILTER({Master!A$4:A$174,Master!B$4:B$174,Master!H$4:H$174,Master!U$4:U$174,Master!W$4:W$174,Master!K$4:K$174,Master!BN$4:BN$174},Master!J$4:J$174="Qualified",Master!D$4:D$174="Money Market",Master!H$4:H$174&lt;&gt;""),3,FALSE),5,4),"")</f>
        <v/>
      </c>
      <c r="E172" s="75">
        <f>IFERROR(INDEX(SORT(FILTER({Master!A$4:A$174,Master!B$4:B$174,Master!H$4:H$174,Master!U$4:U$174,Master!W$4:W$174,Master!K$4:K$174,Master!BN$4:BN$174},Master!J$4:J$174="Qualified",Master!D$4:D$174="Money Market",Master!H$4:H$174&lt;&gt;""),3,FALSE),5,5),"")</f>
        <v/>
      </c>
      <c r="F172" s="76">
        <f>IFERROR(INDEX(SORT(FILTER({Master!A$4:A$174,Master!B$4:B$174,Master!H$4:H$174,Master!U$4:U$174,Master!W$4:W$174,Master!K$4:K$174,Master!BN$4:BN$174},Master!J$4:J$174="Qualified",Master!D$4:D$174="Money Market",Master!H$4:H$174&lt;&gt;""),3,FALSE),5,6),"")</f>
        <v/>
      </c>
      <c r="G172" s="78">
        <f>IFERROR(INDEX(SORT(FILTER({Master!A$4:A$174,Master!B$4:B$174,Master!H$4:H$174,Master!U$4:U$174,Master!W$4:W$174,Master!K$4:K$174,Master!BN$4:BN$174},Master!J$4:J$174="Qualified",Master!D$4:D$174="Money Market",Master!H$4:H$174&lt;&gt;""),3,FALSE),5,7),"")</f>
        <v/>
      </c>
      <c r="H172" s="78" t="inlineStr"/>
    </row>
    <row r="174" ht="26" customHeight="1">
      <c r="A174" s="87" t="inlineStr">
        <is>
          <t>FUND OF FUNDS — MEDIAN STATISTICS</t>
        </is>
      </c>
      <c r="B174" s="88" t="n"/>
      <c r="C174" s="88" t="n"/>
      <c r="D174" s="88" t="n"/>
      <c r="E174" s="88" t="n"/>
      <c r="F174" s="88" t="n"/>
      <c r="G174" s="88" t="n"/>
      <c r="H174" s="88" t="n"/>
    </row>
    <row r="175" ht="28" customHeight="1">
      <c r="A175" s="21" t="inlineStr">
        <is>
          <t>Metric</t>
        </is>
      </c>
      <c r="B175" s="21" t="inlineStr">
        <is>
          <t>YTD (%)</t>
        </is>
      </c>
      <c r="C175" s="21" t="inlineStr">
        <is>
          <t>1Y (%)</t>
        </is>
      </c>
      <c r="D175" s="21" t="inlineStr">
        <is>
          <t>3Y Ann. (%)</t>
        </is>
      </c>
      <c r="E175" s="21" t="inlineStr">
        <is>
          <t>5Y Ann. (%)</t>
        </is>
      </c>
      <c r="F175" s="21" t="inlineStr">
        <is>
          <t>10Y Ann. (%)</t>
        </is>
      </c>
      <c r="G175" s="21" t="inlineStr">
        <is>
          <t>3Y Alpha (%)</t>
        </is>
      </c>
      <c r="H175" s="21" t="inlineStr">
        <is>
          <t>Beat (%)</t>
        </is>
      </c>
    </row>
    <row r="176" ht="16" customHeight="1">
      <c r="A176" s="63" t="inlineStr">
        <is>
          <t>Median</t>
        </is>
      </c>
      <c r="B176" s="73">
        <f>IFERROR(MEDIAN(FILTER(Master!O$4:O$174,(Master!J$4:J$174="Qualified")*(Master!D$4:D$174="Fund of Funds"))),"")</f>
        <v/>
      </c>
      <c r="C176" s="74">
        <f>IFERROR(MEDIAN(FILTER(Master!R$4:R$174,(Master!J$4:J$174="Qualified")*(Master!D$4:D$174="Fund of Funds"))),"")</f>
        <v/>
      </c>
      <c r="D176" s="74">
        <f>IFERROR(MEDIAN(FILTER(Master!U$4:U$174,(Master!J$4:J$174="Qualified")*(Master!D$4:D$174="Fund of Funds"))),"")</f>
        <v/>
      </c>
      <c r="E176" s="74">
        <f>IFERROR(MEDIAN(FILTER(Master!X$4:X$174,(Master!J$4:J$174="Qualified")*(Master!D$4:D$174="Fund of Funds"))),"")</f>
        <v/>
      </c>
      <c r="F176" s="74">
        <f>IFERROR(MEDIAN(FILTER(Master!AA$4:AA$174,(Master!J$4:J$174="Qualified")*(Master!D$4:D$174="Fund of Funds"))),"")</f>
        <v/>
      </c>
      <c r="G176" s="74">
        <f>IFERROR(MEDIAN(FILTER(Master!W$4:W$174,(Master!J$4:J$174="Qualified")*(Master!D$4:D$174="Fund of Funds"))),"")</f>
        <v/>
      </c>
      <c r="H176" s="74">
        <f>IFERROR(MEDIAN(FILTER(Master!K$4:K$174,(Master!J$4:J$174="Qualified")*(Master!D$4:D$174="Fund of Funds"))),"")</f>
        <v/>
      </c>
    </row>
    <row r="178" ht="26" customHeight="1">
      <c r="A178" s="87" t="inlineStr">
        <is>
          <t>FUND OF FUNDS — TOP 5 BY 3Y ANN. FUND RETURN</t>
        </is>
      </c>
      <c r="B178" s="88" t="n"/>
      <c r="C178" s="88" t="n"/>
      <c r="D178" s="88" t="n"/>
      <c r="E178" s="88" t="n"/>
      <c r="F178" s="88" t="n"/>
      <c r="G178" s="88" t="n"/>
      <c r="H178" s="88" t="n"/>
    </row>
    <row r="179" ht="28" customHeight="1">
      <c r="A179" s="21" t="inlineStr">
        <is>
          <t>Fund Name</t>
        </is>
      </c>
      <c r="B179" s="21" t="inlineStr">
        <is>
          <t>Abbr</t>
        </is>
      </c>
      <c r="C179" s="21" t="inlineStr">
        <is>
          <t>3Y Fund (%)</t>
        </is>
      </c>
      <c r="D179" s="21" t="inlineStr">
        <is>
          <t>3Y Alpha (%)</t>
        </is>
      </c>
      <c r="E179" s="21" t="inlineStr">
        <is>
          <t>Beat (%)</t>
        </is>
      </c>
      <c r="F179" s="21" t="inlineStr">
        <is>
          <t>AUM (RM M)</t>
        </is>
      </c>
      <c r="G179" s="21" t="inlineStr">
        <is>
          <t>VC</t>
        </is>
      </c>
      <c r="H179" s="21" t="inlineStr"/>
    </row>
    <row r="180" ht="16" customHeight="1">
      <c r="A180" s="59">
        <f>IFERROR(INDEX(SORT(FILTER({Master!A$4:A$174,Master!B$4:B$174,Master!U$4:U$174,Master!W$4:W$174,Master!K$4:K$174,Master!H$4:H$174,Master!BN$4:BN$174},Master!J$4:J$174="Qualified",Master!D$4:D$174="Fund of Funds",Master!U$4:U$174&lt;&gt;""),3,FALSE),1,1),"")</f>
        <v/>
      </c>
      <c r="B180" s="59">
        <f>IFERROR(INDEX(SORT(FILTER({Master!A$4:A$174,Master!B$4:B$174,Master!U$4:U$174,Master!W$4:W$174,Master!K$4:K$174,Master!H$4:H$174,Master!BN$4:BN$174},Master!J$4:J$174="Qualified",Master!D$4:D$174="Fund of Funds",Master!U$4:U$174&lt;&gt;""),3,FALSE),1,2),"")</f>
        <v/>
      </c>
      <c r="C180" s="75">
        <f>IFERROR(INDEX(SORT(FILTER({Master!A$4:A$174,Master!B$4:B$174,Master!U$4:U$174,Master!W$4:W$174,Master!K$4:K$174,Master!H$4:H$174,Master!BN$4:BN$174},Master!J$4:J$174="Qualified",Master!D$4:D$174="Fund of Funds",Master!U$4:U$174&lt;&gt;""),3,FALSE),1,3),"")</f>
        <v/>
      </c>
      <c r="D180" s="75">
        <f>IFERROR(INDEX(SORT(FILTER({Master!A$4:A$174,Master!B$4:B$174,Master!U$4:U$174,Master!W$4:W$174,Master!K$4:K$174,Master!H$4:H$174,Master!BN$4:BN$174},Master!J$4:J$174="Qualified",Master!D$4:D$174="Fund of Funds",Master!U$4:U$174&lt;&gt;""),3,FALSE),1,4),"")</f>
        <v/>
      </c>
      <c r="E180" s="76">
        <f>IFERROR(INDEX(SORT(FILTER({Master!A$4:A$174,Master!B$4:B$174,Master!U$4:U$174,Master!W$4:W$174,Master!K$4:K$174,Master!H$4:H$174,Master!BN$4:BN$174},Master!J$4:J$174="Qualified",Master!D$4:D$174="Fund of Funds",Master!U$4:U$174&lt;&gt;""),3,FALSE),1,5),"")</f>
        <v/>
      </c>
      <c r="F180" s="77">
        <f>IFERROR(INDEX(SORT(FILTER({Master!A$4:A$174,Master!B$4:B$174,Master!U$4:U$174,Master!W$4:W$174,Master!K$4:K$174,Master!H$4:H$174,Master!BN$4:BN$174},Master!J$4:J$174="Qualified",Master!D$4:D$174="Fund of Funds",Master!U$4:U$174&lt;&gt;""),3,FALSE),1,6),"")</f>
        <v/>
      </c>
      <c r="G180" s="78">
        <f>IFERROR(INDEX(SORT(FILTER({Master!A$4:A$174,Master!B$4:B$174,Master!U$4:U$174,Master!W$4:W$174,Master!K$4:K$174,Master!H$4:H$174,Master!BN$4:BN$174},Master!J$4:J$174="Qualified",Master!D$4:D$174="Fund of Funds",Master!U$4:U$174&lt;&gt;""),3,FALSE),1,7),"")</f>
        <v/>
      </c>
      <c r="H180" s="78" t="inlineStr"/>
    </row>
    <row r="181" ht="16" customHeight="1">
      <c r="A181" s="58">
        <f>IFERROR(INDEX(SORT(FILTER({Master!A$4:A$174,Master!B$4:B$174,Master!U$4:U$174,Master!W$4:W$174,Master!K$4:K$174,Master!H$4:H$174,Master!BN$4:BN$174},Master!J$4:J$174="Qualified",Master!D$4:D$174="Fund of Funds",Master!U$4:U$174&lt;&gt;""),3,FALSE),2,1),"")</f>
        <v/>
      </c>
      <c r="B181" s="58">
        <f>IFERROR(INDEX(SORT(FILTER({Master!A$4:A$174,Master!B$4:B$174,Master!U$4:U$174,Master!W$4:W$174,Master!K$4:K$174,Master!H$4:H$174,Master!BN$4:BN$174},Master!J$4:J$174="Qualified",Master!D$4:D$174="Fund of Funds",Master!U$4:U$174&lt;&gt;""),3,FALSE),2,2),"")</f>
        <v/>
      </c>
      <c r="C181" s="74">
        <f>IFERROR(INDEX(SORT(FILTER({Master!A$4:A$174,Master!B$4:B$174,Master!U$4:U$174,Master!W$4:W$174,Master!K$4:K$174,Master!H$4:H$174,Master!BN$4:BN$174},Master!J$4:J$174="Qualified",Master!D$4:D$174="Fund of Funds",Master!U$4:U$174&lt;&gt;""),3,FALSE),2,3),"")</f>
        <v/>
      </c>
      <c r="D181" s="74">
        <f>IFERROR(INDEX(SORT(FILTER({Master!A$4:A$174,Master!B$4:B$174,Master!U$4:U$174,Master!W$4:W$174,Master!K$4:K$174,Master!H$4:H$174,Master!BN$4:BN$174},Master!J$4:J$174="Qualified",Master!D$4:D$174="Fund of Funds",Master!U$4:U$174&lt;&gt;""),3,FALSE),2,4),"")</f>
        <v/>
      </c>
      <c r="E181" s="79">
        <f>IFERROR(INDEX(SORT(FILTER({Master!A$4:A$174,Master!B$4:B$174,Master!U$4:U$174,Master!W$4:W$174,Master!K$4:K$174,Master!H$4:H$174,Master!BN$4:BN$174},Master!J$4:J$174="Qualified",Master!D$4:D$174="Fund of Funds",Master!U$4:U$174&lt;&gt;""),3,FALSE),2,5),"")</f>
        <v/>
      </c>
      <c r="F181" s="80">
        <f>IFERROR(INDEX(SORT(FILTER({Master!A$4:A$174,Master!B$4:B$174,Master!U$4:U$174,Master!W$4:W$174,Master!K$4:K$174,Master!H$4:H$174,Master!BN$4:BN$174},Master!J$4:J$174="Qualified",Master!D$4:D$174="Fund of Funds",Master!U$4:U$174&lt;&gt;""),3,FALSE),2,6),"")</f>
        <v/>
      </c>
      <c r="G181" s="81">
        <f>IFERROR(INDEX(SORT(FILTER({Master!A$4:A$174,Master!B$4:B$174,Master!U$4:U$174,Master!W$4:W$174,Master!K$4:K$174,Master!H$4:H$174,Master!BN$4:BN$174},Master!J$4:J$174="Qualified",Master!D$4:D$174="Fund of Funds",Master!U$4:U$174&lt;&gt;""),3,FALSE),2,7),"")</f>
        <v/>
      </c>
      <c r="H181" s="81" t="inlineStr"/>
    </row>
    <row r="182" ht="16" customHeight="1">
      <c r="A182" s="59">
        <f>IFERROR(INDEX(SORT(FILTER({Master!A$4:A$174,Master!B$4:B$174,Master!U$4:U$174,Master!W$4:W$174,Master!K$4:K$174,Master!H$4:H$174,Master!BN$4:BN$174},Master!J$4:J$174="Qualified",Master!D$4:D$174="Fund of Funds",Master!U$4:U$174&lt;&gt;""),3,FALSE),3,1),"")</f>
        <v/>
      </c>
      <c r="B182" s="59">
        <f>IFERROR(INDEX(SORT(FILTER({Master!A$4:A$174,Master!B$4:B$174,Master!U$4:U$174,Master!W$4:W$174,Master!K$4:K$174,Master!H$4:H$174,Master!BN$4:BN$174},Master!J$4:J$174="Qualified",Master!D$4:D$174="Fund of Funds",Master!U$4:U$174&lt;&gt;""),3,FALSE),3,2),"")</f>
        <v/>
      </c>
      <c r="C182" s="75">
        <f>IFERROR(INDEX(SORT(FILTER({Master!A$4:A$174,Master!B$4:B$174,Master!U$4:U$174,Master!W$4:W$174,Master!K$4:K$174,Master!H$4:H$174,Master!BN$4:BN$174},Master!J$4:J$174="Qualified",Master!D$4:D$174="Fund of Funds",Master!U$4:U$174&lt;&gt;""),3,FALSE),3,3),"")</f>
        <v/>
      </c>
      <c r="D182" s="75">
        <f>IFERROR(INDEX(SORT(FILTER({Master!A$4:A$174,Master!B$4:B$174,Master!U$4:U$174,Master!W$4:W$174,Master!K$4:K$174,Master!H$4:H$174,Master!BN$4:BN$174},Master!J$4:J$174="Qualified",Master!D$4:D$174="Fund of Funds",Master!U$4:U$174&lt;&gt;""),3,FALSE),3,4),"")</f>
        <v/>
      </c>
      <c r="E182" s="76">
        <f>IFERROR(INDEX(SORT(FILTER({Master!A$4:A$174,Master!B$4:B$174,Master!U$4:U$174,Master!W$4:W$174,Master!K$4:K$174,Master!H$4:H$174,Master!BN$4:BN$174},Master!J$4:J$174="Qualified",Master!D$4:D$174="Fund of Funds",Master!U$4:U$174&lt;&gt;""),3,FALSE),3,5),"")</f>
        <v/>
      </c>
      <c r="F182" s="77">
        <f>IFERROR(INDEX(SORT(FILTER({Master!A$4:A$174,Master!B$4:B$174,Master!U$4:U$174,Master!W$4:W$174,Master!K$4:K$174,Master!H$4:H$174,Master!BN$4:BN$174},Master!J$4:J$174="Qualified",Master!D$4:D$174="Fund of Funds",Master!U$4:U$174&lt;&gt;""),3,FALSE),3,6),"")</f>
        <v/>
      </c>
      <c r="G182" s="78">
        <f>IFERROR(INDEX(SORT(FILTER({Master!A$4:A$174,Master!B$4:B$174,Master!U$4:U$174,Master!W$4:W$174,Master!K$4:K$174,Master!H$4:H$174,Master!BN$4:BN$174},Master!J$4:J$174="Qualified",Master!D$4:D$174="Fund of Funds",Master!U$4:U$174&lt;&gt;""),3,FALSE),3,7),"")</f>
        <v/>
      </c>
      <c r="H182" s="78" t="inlineStr"/>
    </row>
    <row r="183" ht="16" customHeight="1">
      <c r="A183" s="58">
        <f>IFERROR(INDEX(SORT(FILTER({Master!A$4:A$174,Master!B$4:B$174,Master!U$4:U$174,Master!W$4:W$174,Master!K$4:K$174,Master!H$4:H$174,Master!BN$4:BN$174},Master!J$4:J$174="Qualified",Master!D$4:D$174="Fund of Funds",Master!U$4:U$174&lt;&gt;""),3,FALSE),4,1),"")</f>
        <v/>
      </c>
      <c r="B183" s="58">
        <f>IFERROR(INDEX(SORT(FILTER({Master!A$4:A$174,Master!B$4:B$174,Master!U$4:U$174,Master!W$4:W$174,Master!K$4:K$174,Master!H$4:H$174,Master!BN$4:BN$174},Master!J$4:J$174="Qualified",Master!D$4:D$174="Fund of Funds",Master!U$4:U$174&lt;&gt;""),3,FALSE),4,2),"")</f>
        <v/>
      </c>
      <c r="C183" s="74">
        <f>IFERROR(INDEX(SORT(FILTER({Master!A$4:A$174,Master!B$4:B$174,Master!U$4:U$174,Master!W$4:W$174,Master!K$4:K$174,Master!H$4:H$174,Master!BN$4:BN$174},Master!J$4:J$174="Qualified",Master!D$4:D$174="Fund of Funds",Master!U$4:U$174&lt;&gt;""),3,FALSE),4,3),"")</f>
        <v/>
      </c>
      <c r="D183" s="74">
        <f>IFERROR(INDEX(SORT(FILTER({Master!A$4:A$174,Master!B$4:B$174,Master!U$4:U$174,Master!W$4:W$174,Master!K$4:K$174,Master!H$4:H$174,Master!BN$4:BN$174},Master!J$4:J$174="Qualified",Master!D$4:D$174="Fund of Funds",Master!U$4:U$174&lt;&gt;""),3,FALSE),4,4),"")</f>
        <v/>
      </c>
      <c r="E183" s="79">
        <f>IFERROR(INDEX(SORT(FILTER({Master!A$4:A$174,Master!B$4:B$174,Master!U$4:U$174,Master!W$4:W$174,Master!K$4:K$174,Master!H$4:H$174,Master!BN$4:BN$174},Master!J$4:J$174="Qualified",Master!D$4:D$174="Fund of Funds",Master!U$4:U$174&lt;&gt;""),3,FALSE),4,5),"")</f>
        <v/>
      </c>
      <c r="F183" s="80">
        <f>IFERROR(INDEX(SORT(FILTER({Master!A$4:A$174,Master!B$4:B$174,Master!U$4:U$174,Master!W$4:W$174,Master!K$4:K$174,Master!H$4:H$174,Master!BN$4:BN$174},Master!J$4:J$174="Qualified",Master!D$4:D$174="Fund of Funds",Master!U$4:U$174&lt;&gt;""),3,FALSE),4,6),"")</f>
        <v/>
      </c>
      <c r="G183" s="81">
        <f>IFERROR(INDEX(SORT(FILTER({Master!A$4:A$174,Master!B$4:B$174,Master!U$4:U$174,Master!W$4:W$174,Master!K$4:K$174,Master!H$4:H$174,Master!BN$4:BN$174},Master!J$4:J$174="Qualified",Master!D$4:D$174="Fund of Funds",Master!U$4:U$174&lt;&gt;""),3,FALSE),4,7),"")</f>
        <v/>
      </c>
      <c r="H183" s="81" t="inlineStr"/>
    </row>
    <row r="184" ht="16" customHeight="1">
      <c r="A184" s="59">
        <f>IFERROR(INDEX(SORT(FILTER({Master!A$4:A$174,Master!B$4:B$174,Master!U$4:U$174,Master!W$4:W$174,Master!K$4:K$174,Master!H$4:H$174,Master!BN$4:BN$174},Master!J$4:J$174="Qualified",Master!D$4:D$174="Fund of Funds",Master!U$4:U$174&lt;&gt;""),3,FALSE),5,1),"")</f>
        <v/>
      </c>
      <c r="B184" s="59">
        <f>IFERROR(INDEX(SORT(FILTER({Master!A$4:A$174,Master!B$4:B$174,Master!U$4:U$174,Master!W$4:W$174,Master!K$4:K$174,Master!H$4:H$174,Master!BN$4:BN$174},Master!J$4:J$174="Qualified",Master!D$4:D$174="Fund of Funds",Master!U$4:U$174&lt;&gt;""),3,FALSE),5,2),"")</f>
        <v/>
      </c>
      <c r="C184" s="75">
        <f>IFERROR(INDEX(SORT(FILTER({Master!A$4:A$174,Master!B$4:B$174,Master!U$4:U$174,Master!W$4:W$174,Master!K$4:K$174,Master!H$4:H$174,Master!BN$4:BN$174},Master!J$4:J$174="Qualified",Master!D$4:D$174="Fund of Funds",Master!U$4:U$174&lt;&gt;""),3,FALSE),5,3),"")</f>
        <v/>
      </c>
      <c r="D184" s="75">
        <f>IFERROR(INDEX(SORT(FILTER({Master!A$4:A$174,Master!B$4:B$174,Master!U$4:U$174,Master!W$4:W$174,Master!K$4:K$174,Master!H$4:H$174,Master!BN$4:BN$174},Master!J$4:J$174="Qualified",Master!D$4:D$174="Fund of Funds",Master!U$4:U$174&lt;&gt;""),3,FALSE),5,4),"")</f>
        <v/>
      </c>
      <c r="E184" s="76">
        <f>IFERROR(INDEX(SORT(FILTER({Master!A$4:A$174,Master!B$4:B$174,Master!U$4:U$174,Master!W$4:W$174,Master!K$4:K$174,Master!H$4:H$174,Master!BN$4:BN$174},Master!J$4:J$174="Qualified",Master!D$4:D$174="Fund of Funds",Master!U$4:U$174&lt;&gt;""),3,FALSE),5,5),"")</f>
        <v/>
      </c>
      <c r="F184" s="77">
        <f>IFERROR(INDEX(SORT(FILTER({Master!A$4:A$174,Master!B$4:B$174,Master!U$4:U$174,Master!W$4:W$174,Master!K$4:K$174,Master!H$4:H$174,Master!BN$4:BN$174},Master!J$4:J$174="Qualified",Master!D$4:D$174="Fund of Funds",Master!U$4:U$174&lt;&gt;""),3,FALSE),5,6),"")</f>
        <v/>
      </c>
      <c r="G184" s="78">
        <f>IFERROR(INDEX(SORT(FILTER({Master!A$4:A$174,Master!B$4:B$174,Master!U$4:U$174,Master!W$4:W$174,Master!K$4:K$174,Master!H$4:H$174,Master!BN$4:BN$174},Master!J$4:J$174="Qualified",Master!D$4:D$174="Fund of Funds",Master!U$4:U$174&lt;&gt;""),3,FALSE),5,7),"")</f>
        <v/>
      </c>
      <c r="H184" s="78" t="inlineStr"/>
    </row>
    <row r="186" ht="26" customHeight="1">
      <c r="A186" s="87" t="inlineStr">
        <is>
          <t>FUND OF FUNDS — TOP 5 BY 3Y ANN. ALPHA</t>
        </is>
      </c>
      <c r="B186" s="88" t="n"/>
      <c r="C186" s="88" t="n"/>
      <c r="D186" s="88" t="n"/>
      <c r="E186" s="88" t="n"/>
      <c r="F186" s="88" t="n"/>
      <c r="G186" s="88" t="n"/>
      <c r="H186" s="88" t="n"/>
    </row>
    <row r="187" ht="28" customHeight="1">
      <c r="A187" s="21" t="inlineStr">
        <is>
          <t>Fund Name</t>
        </is>
      </c>
      <c r="B187" s="21" t="inlineStr">
        <is>
          <t>Abbr</t>
        </is>
      </c>
      <c r="C187" s="21" t="inlineStr">
        <is>
          <t>3Y Fund (%)</t>
        </is>
      </c>
      <c r="D187" s="21" t="inlineStr">
        <is>
          <t>3Y Alpha (%)</t>
        </is>
      </c>
      <c r="E187" s="21" t="inlineStr">
        <is>
          <t>Beat (%)</t>
        </is>
      </c>
      <c r="F187" s="21" t="inlineStr">
        <is>
          <t>AUM (RM M)</t>
        </is>
      </c>
      <c r="G187" s="21" t="inlineStr">
        <is>
          <t>VC</t>
        </is>
      </c>
      <c r="H187" s="21" t="inlineStr"/>
    </row>
    <row r="188" ht="16" customHeight="1">
      <c r="A188" s="59">
        <f>IFERROR(INDEX(SORT(FILTER({Master!A$4:A$174,Master!B$4:B$174,Master!U$4:U$174,Master!W$4:W$174,Master!K$4:K$174,Master!H$4:H$174,Master!BN$4:BN$174},Master!J$4:J$174="Qualified",Master!D$4:D$174="Fund of Funds",Master!W$4:W$174&lt;&gt;""),4,FALSE),1,1),"")</f>
        <v/>
      </c>
      <c r="B188" s="59">
        <f>IFERROR(INDEX(SORT(FILTER({Master!A$4:A$174,Master!B$4:B$174,Master!U$4:U$174,Master!W$4:W$174,Master!K$4:K$174,Master!H$4:H$174,Master!BN$4:BN$174},Master!J$4:J$174="Qualified",Master!D$4:D$174="Fund of Funds",Master!W$4:W$174&lt;&gt;""),4,FALSE),1,2),"")</f>
        <v/>
      </c>
      <c r="C188" s="75">
        <f>IFERROR(INDEX(SORT(FILTER({Master!A$4:A$174,Master!B$4:B$174,Master!U$4:U$174,Master!W$4:W$174,Master!K$4:K$174,Master!H$4:H$174,Master!BN$4:BN$174},Master!J$4:J$174="Qualified",Master!D$4:D$174="Fund of Funds",Master!W$4:W$174&lt;&gt;""),4,FALSE),1,3),"")</f>
        <v/>
      </c>
      <c r="D188" s="75">
        <f>IFERROR(INDEX(SORT(FILTER({Master!A$4:A$174,Master!B$4:B$174,Master!U$4:U$174,Master!W$4:W$174,Master!K$4:K$174,Master!H$4:H$174,Master!BN$4:BN$174},Master!J$4:J$174="Qualified",Master!D$4:D$174="Fund of Funds",Master!W$4:W$174&lt;&gt;""),4,FALSE),1,4),"")</f>
        <v/>
      </c>
      <c r="E188" s="76">
        <f>IFERROR(INDEX(SORT(FILTER({Master!A$4:A$174,Master!B$4:B$174,Master!U$4:U$174,Master!W$4:W$174,Master!K$4:K$174,Master!H$4:H$174,Master!BN$4:BN$174},Master!J$4:J$174="Qualified",Master!D$4:D$174="Fund of Funds",Master!W$4:W$174&lt;&gt;""),4,FALSE),1,5),"")</f>
        <v/>
      </c>
      <c r="F188" s="77">
        <f>IFERROR(INDEX(SORT(FILTER({Master!A$4:A$174,Master!B$4:B$174,Master!U$4:U$174,Master!W$4:W$174,Master!K$4:K$174,Master!H$4:H$174,Master!BN$4:BN$174},Master!J$4:J$174="Qualified",Master!D$4:D$174="Fund of Funds",Master!W$4:W$174&lt;&gt;""),4,FALSE),1,6),"")</f>
        <v/>
      </c>
      <c r="G188" s="78">
        <f>IFERROR(INDEX(SORT(FILTER({Master!A$4:A$174,Master!B$4:B$174,Master!U$4:U$174,Master!W$4:W$174,Master!K$4:K$174,Master!H$4:H$174,Master!BN$4:BN$174},Master!J$4:J$174="Qualified",Master!D$4:D$174="Fund of Funds",Master!W$4:W$174&lt;&gt;""),4,FALSE),1,7),"")</f>
        <v/>
      </c>
      <c r="H188" s="78" t="inlineStr"/>
    </row>
    <row r="189" ht="16" customHeight="1">
      <c r="A189" s="58">
        <f>IFERROR(INDEX(SORT(FILTER({Master!A$4:A$174,Master!B$4:B$174,Master!U$4:U$174,Master!W$4:W$174,Master!K$4:K$174,Master!H$4:H$174,Master!BN$4:BN$174},Master!J$4:J$174="Qualified",Master!D$4:D$174="Fund of Funds",Master!W$4:W$174&lt;&gt;""),4,FALSE),2,1),"")</f>
        <v/>
      </c>
      <c r="B189" s="58">
        <f>IFERROR(INDEX(SORT(FILTER({Master!A$4:A$174,Master!B$4:B$174,Master!U$4:U$174,Master!W$4:W$174,Master!K$4:K$174,Master!H$4:H$174,Master!BN$4:BN$174},Master!J$4:J$174="Qualified",Master!D$4:D$174="Fund of Funds",Master!W$4:W$174&lt;&gt;""),4,FALSE),2,2),"")</f>
        <v/>
      </c>
      <c r="C189" s="74">
        <f>IFERROR(INDEX(SORT(FILTER({Master!A$4:A$174,Master!B$4:B$174,Master!U$4:U$174,Master!W$4:W$174,Master!K$4:K$174,Master!H$4:H$174,Master!BN$4:BN$174},Master!J$4:J$174="Qualified",Master!D$4:D$174="Fund of Funds",Master!W$4:W$174&lt;&gt;""),4,FALSE),2,3),"")</f>
        <v/>
      </c>
      <c r="D189" s="74">
        <f>IFERROR(INDEX(SORT(FILTER({Master!A$4:A$174,Master!B$4:B$174,Master!U$4:U$174,Master!W$4:W$174,Master!K$4:K$174,Master!H$4:H$174,Master!BN$4:BN$174},Master!J$4:J$174="Qualified",Master!D$4:D$174="Fund of Funds",Master!W$4:W$174&lt;&gt;""),4,FALSE),2,4),"")</f>
        <v/>
      </c>
      <c r="E189" s="79">
        <f>IFERROR(INDEX(SORT(FILTER({Master!A$4:A$174,Master!B$4:B$174,Master!U$4:U$174,Master!W$4:W$174,Master!K$4:K$174,Master!H$4:H$174,Master!BN$4:BN$174},Master!J$4:J$174="Qualified",Master!D$4:D$174="Fund of Funds",Master!W$4:W$174&lt;&gt;""),4,FALSE),2,5),"")</f>
        <v/>
      </c>
      <c r="F189" s="80">
        <f>IFERROR(INDEX(SORT(FILTER({Master!A$4:A$174,Master!B$4:B$174,Master!U$4:U$174,Master!W$4:W$174,Master!K$4:K$174,Master!H$4:H$174,Master!BN$4:BN$174},Master!J$4:J$174="Qualified",Master!D$4:D$174="Fund of Funds",Master!W$4:W$174&lt;&gt;""),4,FALSE),2,6),"")</f>
        <v/>
      </c>
      <c r="G189" s="81">
        <f>IFERROR(INDEX(SORT(FILTER({Master!A$4:A$174,Master!B$4:B$174,Master!U$4:U$174,Master!W$4:W$174,Master!K$4:K$174,Master!H$4:H$174,Master!BN$4:BN$174},Master!J$4:J$174="Qualified",Master!D$4:D$174="Fund of Funds",Master!W$4:W$174&lt;&gt;""),4,FALSE),2,7),"")</f>
        <v/>
      </c>
      <c r="H189" s="81" t="inlineStr"/>
    </row>
    <row r="190" ht="16" customHeight="1">
      <c r="A190" s="59">
        <f>IFERROR(INDEX(SORT(FILTER({Master!A$4:A$174,Master!B$4:B$174,Master!U$4:U$174,Master!W$4:W$174,Master!K$4:K$174,Master!H$4:H$174,Master!BN$4:BN$174},Master!J$4:J$174="Qualified",Master!D$4:D$174="Fund of Funds",Master!W$4:W$174&lt;&gt;""),4,FALSE),3,1),"")</f>
        <v/>
      </c>
      <c r="B190" s="59">
        <f>IFERROR(INDEX(SORT(FILTER({Master!A$4:A$174,Master!B$4:B$174,Master!U$4:U$174,Master!W$4:W$174,Master!K$4:K$174,Master!H$4:H$174,Master!BN$4:BN$174},Master!J$4:J$174="Qualified",Master!D$4:D$174="Fund of Funds",Master!W$4:W$174&lt;&gt;""),4,FALSE),3,2),"")</f>
        <v/>
      </c>
      <c r="C190" s="75">
        <f>IFERROR(INDEX(SORT(FILTER({Master!A$4:A$174,Master!B$4:B$174,Master!U$4:U$174,Master!W$4:W$174,Master!K$4:K$174,Master!H$4:H$174,Master!BN$4:BN$174},Master!J$4:J$174="Qualified",Master!D$4:D$174="Fund of Funds",Master!W$4:W$174&lt;&gt;""),4,FALSE),3,3),"")</f>
        <v/>
      </c>
      <c r="D190" s="75">
        <f>IFERROR(INDEX(SORT(FILTER({Master!A$4:A$174,Master!B$4:B$174,Master!U$4:U$174,Master!W$4:W$174,Master!K$4:K$174,Master!H$4:H$174,Master!BN$4:BN$174},Master!J$4:J$174="Qualified",Master!D$4:D$174="Fund of Funds",Master!W$4:W$174&lt;&gt;""),4,FALSE),3,4),"")</f>
        <v/>
      </c>
      <c r="E190" s="76">
        <f>IFERROR(INDEX(SORT(FILTER({Master!A$4:A$174,Master!B$4:B$174,Master!U$4:U$174,Master!W$4:W$174,Master!K$4:K$174,Master!H$4:H$174,Master!BN$4:BN$174},Master!J$4:J$174="Qualified",Master!D$4:D$174="Fund of Funds",Master!W$4:W$174&lt;&gt;""),4,FALSE),3,5),"")</f>
        <v/>
      </c>
      <c r="F190" s="77">
        <f>IFERROR(INDEX(SORT(FILTER({Master!A$4:A$174,Master!B$4:B$174,Master!U$4:U$174,Master!W$4:W$174,Master!K$4:K$174,Master!H$4:H$174,Master!BN$4:BN$174},Master!J$4:J$174="Qualified",Master!D$4:D$174="Fund of Funds",Master!W$4:W$174&lt;&gt;""),4,FALSE),3,6),"")</f>
        <v/>
      </c>
      <c r="G190" s="78">
        <f>IFERROR(INDEX(SORT(FILTER({Master!A$4:A$174,Master!B$4:B$174,Master!U$4:U$174,Master!W$4:W$174,Master!K$4:K$174,Master!H$4:H$174,Master!BN$4:BN$174},Master!J$4:J$174="Qualified",Master!D$4:D$174="Fund of Funds",Master!W$4:W$174&lt;&gt;""),4,FALSE),3,7),"")</f>
        <v/>
      </c>
      <c r="H190" s="78" t="inlineStr"/>
    </row>
    <row r="191" ht="16" customHeight="1">
      <c r="A191" s="58">
        <f>IFERROR(INDEX(SORT(FILTER({Master!A$4:A$174,Master!B$4:B$174,Master!U$4:U$174,Master!W$4:W$174,Master!K$4:K$174,Master!H$4:H$174,Master!BN$4:BN$174},Master!J$4:J$174="Qualified",Master!D$4:D$174="Fund of Funds",Master!W$4:W$174&lt;&gt;""),4,FALSE),4,1),"")</f>
        <v/>
      </c>
      <c r="B191" s="58">
        <f>IFERROR(INDEX(SORT(FILTER({Master!A$4:A$174,Master!B$4:B$174,Master!U$4:U$174,Master!W$4:W$174,Master!K$4:K$174,Master!H$4:H$174,Master!BN$4:BN$174},Master!J$4:J$174="Qualified",Master!D$4:D$174="Fund of Funds",Master!W$4:W$174&lt;&gt;""),4,FALSE),4,2),"")</f>
        <v/>
      </c>
      <c r="C191" s="74">
        <f>IFERROR(INDEX(SORT(FILTER({Master!A$4:A$174,Master!B$4:B$174,Master!U$4:U$174,Master!W$4:W$174,Master!K$4:K$174,Master!H$4:H$174,Master!BN$4:BN$174},Master!J$4:J$174="Qualified",Master!D$4:D$174="Fund of Funds",Master!W$4:W$174&lt;&gt;""),4,FALSE),4,3),"")</f>
        <v/>
      </c>
      <c r="D191" s="74">
        <f>IFERROR(INDEX(SORT(FILTER({Master!A$4:A$174,Master!B$4:B$174,Master!U$4:U$174,Master!W$4:W$174,Master!K$4:K$174,Master!H$4:H$174,Master!BN$4:BN$174},Master!J$4:J$174="Qualified",Master!D$4:D$174="Fund of Funds",Master!W$4:W$174&lt;&gt;""),4,FALSE),4,4),"")</f>
        <v/>
      </c>
      <c r="E191" s="79">
        <f>IFERROR(INDEX(SORT(FILTER({Master!A$4:A$174,Master!B$4:B$174,Master!U$4:U$174,Master!W$4:W$174,Master!K$4:K$174,Master!H$4:H$174,Master!BN$4:BN$174},Master!J$4:J$174="Qualified",Master!D$4:D$174="Fund of Funds",Master!W$4:W$174&lt;&gt;""),4,FALSE),4,5),"")</f>
        <v/>
      </c>
      <c r="F191" s="80">
        <f>IFERROR(INDEX(SORT(FILTER({Master!A$4:A$174,Master!B$4:B$174,Master!U$4:U$174,Master!W$4:W$174,Master!K$4:K$174,Master!H$4:H$174,Master!BN$4:BN$174},Master!J$4:J$174="Qualified",Master!D$4:D$174="Fund of Funds",Master!W$4:W$174&lt;&gt;""),4,FALSE),4,6),"")</f>
        <v/>
      </c>
      <c r="G191" s="81">
        <f>IFERROR(INDEX(SORT(FILTER({Master!A$4:A$174,Master!B$4:B$174,Master!U$4:U$174,Master!W$4:W$174,Master!K$4:K$174,Master!H$4:H$174,Master!BN$4:BN$174},Master!J$4:J$174="Qualified",Master!D$4:D$174="Fund of Funds",Master!W$4:W$174&lt;&gt;""),4,FALSE),4,7),"")</f>
        <v/>
      </c>
      <c r="H191" s="81" t="inlineStr"/>
    </row>
    <row r="192" ht="16" customHeight="1">
      <c r="A192" s="59">
        <f>IFERROR(INDEX(SORT(FILTER({Master!A$4:A$174,Master!B$4:B$174,Master!U$4:U$174,Master!W$4:W$174,Master!K$4:K$174,Master!H$4:H$174,Master!BN$4:BN$174},Master!J$4:J$174="Qualified",Master!D$4:D$174="Fund of Funds",Master!W$4:W$174&lt;&gt;""),4,FALSE),5,1),"")</f>
        <v/>
      </c>
      <c r="B192" s="59">
        <f>IFERROR(INDEX(SORT(FILTER({Master!A$4:A$174,Master!B$4:B$174,Master!U$4:U$174,Master!W$4:W$174,Master!K$4:K$174,Master!H$4:H$174,Master!BN$4:BN$174},Master!J$4:J$174="Qualified",Master!D$4:D$174="Fund of Funds",Master!W$4:W$174&lt;&gt;""),4,FALSE),5,2),"")</f>
        <v/>
      </c>
      <c r="C192" s="75">
        <f>IFERROR(INDEX(SORT(FILTER({Master!A$4:A$174,Master!B$4:B$174,Master!U$4:U$174,Master!W$4:W$174,Master!K$4:K$174,Master!H$4:H$174,Master!BN$4:BN$174},Master!J$4:J$174="Qualified",Master!D$4:D$174="Fund of Funds",Master!W$4:W$174&lt;&gt;""),4,FALSE),5,3),"")</f>
        <v/>
      </c>
      <c r="D192" s="75">
        <f>IFERROR(INDEX(SORT(FILTER({Master!A$4:A$174,Master!B$4:B$174,Master!U$4:U$174,Master!W$4:W$174,Master!K$4:K$174,Master!H$4:H$174,Master!BN$4:BN$174},Master!J$4:J$174="Qualified",Master!D$4:D$174="Fund of Funds",Master!W$4:W$174&lt;&gt;""),4,FALSE),5,4),"")</f>
        <v/>
      </c>
      <c r="E192" s="76">
        <f>IFERROR(INDEX(SORT(FILTER({Master!A$4:A$174,Master!B$4:B$174,Master!U$4:U$174,Master!W$4:W$174,Master!K$4:K$174,Master!H$4:H$174,Master!BN$4:BN$174},Master!J$4:J$174="Qualified",Master!D$4:D$174="Fund of Funds",Master!W$4:W$174&lt;&gt;""),4,FALSE),5,5),"")</f>
        <v/>
      </c>
      <c r="F192" s="77">
        <f>IFERROR(INDEX(SORT(FILTER({Master!A$4:A$174,Master!B$4:B$174,Master!U$4:U$174,Master!W$4:W$174,Master!K$4:K$174,Master!H$4:H$174,Master!BN$4:BN$174},Master!J$4:J$174="Qualified",Master!D$4:D$174="Fund of Funds",Master!W$4:W$174&lt;&gt;""),4,FALSE),5,6),"")</f>
        <v/>
      </c>
      <c r="G192" s="78">
        <f>IFERROR(INDEX(SORT(FILTER({Master!A$4:A$174,Master!B$4:B$174,Master!U$4:U$174,Master!W$4:W$174,Master!K$4:K$174,Master!H$4:H$174,Master!BN$4:BN$174},Master!J$4:J$174="Qualified",Master!D$4:D$174="Fund of Funds",Master!W$4:W$174&lt;&gt;""),4,FALSE),5,7),"")</f>
        <v/>
      </c>
      <c r="H192" s="78" t="inlineStr"/>
    </row>
    <row r="194" ht="26" customHeight="1">
      <c r="A194" s="87" t="inlineStr">
        <is>
          <t>FUND OF FUNDS — TOP 5 BY ALPHA EFFICIENCY</t>
        </is>
      </c>
      <c r="B194" s="88" t="n"/>
      <c r="C194" s="88" t="n"/>
      <c r="D194" s="88" t="n"/>
      <c r="E194" s="88" t="n"/>
      <c r="F194" s="88" t="n"/>
      <c r="G194" s="88" t="n"/>
      <c r="H194" s="88" t="n"/>
    </row>
    <row r="195" ht="28" customHeight="1">
      <c r="A195" s="21" t="inlineStr">
        <is>
          <t>Fund Name</t>
        </is>
      </c>
      <c r="B195" s="21" t="inlineStr">
        <is>
          <t>Abbr</t>
        </is>
      </c>
      <c r="C195" s="21" t="inlineStr">
        <is>
          <t>Alpha Eff</t>
        </is>
      </c>
      <c r="D195" s="21" t="inlineStr">
        <is>
          <t>3Y Alpha (%)</t>
        </is>
      </c>
      <c r="E195" s="21" t="inlineStr">
        <is>
          <t>Beat (%)</t>
        </is>
      </c>
      <c r="F195" s="21" t="inlineStr">
        <is>
          <t>AUM (RM M)</t>
        </is>
      </c>
      <c r="G195" s="21" t="inlineStr">
        <is>
          <t>VC</t>
        </is>
      </c>
      <c r="H195" s="21" t="inlineStr"/>
    </row>
    <row r="196" ht="16" customHeight="1">
      <c r="A196" s="59">
        <f>IFERROR(INDEX(SORT(FILTER({Master!A$4:A$174,Master!B$4:B$174,Master!AF$4:AF$174,Master!W$4:W$174,Master!K$4:K$174,Master!H$4:H$174,Master!BN$4:BN$174},Master!J$4:J$174="Qualified",Master!D$4:D$174="Fund of Funds",Master!AF$4:AF$174&lt;&gt;""),3,FALSE),1,1),"")</f>
        <v/>
      </c>
      <c r="B196" s="59">
        <f>IFERROR(INDEX(SORT(FILTER({Master!A$4:A$174,Master!B$4:B$174,Master!AF$4:AF$174,Master!W$4:W$174,Master!K$4:K$174,Master!H$4:H$174,Master!BN$4:BN$174},Master!J$4:J$174="Qualified",Master!D$4:D$174="Fund of Funds",Master!AF$4:AF$174&lt;&gt;""),3,FALSE),1,2),"")</f>
        <v/>
      </c>
      <c r="C196" s="75">
        <f>IFERROR(INDEX(SORT(FILTER({Master!A$4:A$174,Master!B$4:B$174,Master!AF$4:AF$174,Master!W$4:W$174,Master!K$4:K$174,Master!H$4:H$174,Master!BN$4:BN$174},Master!J$4:J$174="Qualified",Master!D$4:D$174="Fund of Funds",Master!AF$4:AF$174&lt;&gt;""),3,FALSE),1,3),"")</f>
        <v/>
      </c>
      <c r="D196" s="75">
        <f>IFERROR(INDEX(SORT(FILTER({Master!A$4:A$174,Master!B$4:B$174,Master!AF$4:AF$174,Master!W$4:W$174,Master!K$4:K$174,Master!H$4:H$174,Master!BN$4:BN$174},Master!J$4:J$174="Qualified",Master!D$4:D$174="Fund of Funds",Master!AF$4:AF$174&lt;&gt;""),3,FALSE),1,4),"")</f>
        <v/>
      </c>
      <c r="E196" s="76">
        <f>IFERROR(INDEX(SORT(FILTER({Master!A$4:A$174,Master!B$4:B$174,Master!AF$4:AF$174,Master!W$4:W$174,Master!K$4:K$174,Master!H$4:H$174,Master!BN$4:BN$174},Master!J$4:J$174="Qualified",Master!D$4:D$174="Fund of Funds",Master!AF$4:AF$174&lt;&gt;""),3,FALSE),1,5),"")</f>
        <v/>
      </c>
      <c r="F196" s="77">
        <f>IFERROR(INDEX(SORT(FILTER({Master!A$4:A$174,Master!B$4:B$174,Master!AF$4:AF$174,Master!W$4:W$174,Master!K$4:K$174,Master!H$4:H$174,Master!BN$4:BN$174},Master!J$4:J$174="Qualified",Master!D$4:D$174="Fund of Funds",Master!AF$4:AF$174&lt;&gt;""),3,FALSE),1,6),"")</f>
        <v/>
      </c>
      <c r="G196" s="78">
        <f>IFERROR(INDEX(SORT(FILTER({Master!A$4:A$174,Master!B$4:B$174,Master!AF$4:AF$174,Master!W$4:W$174,Master!K$4:K$174,Master!H$4:H$174,Master!BN$4:BN$174},Master!J$4:J$174="Qualified",Master!D$4:D$174="Fund of Funds",Master!AF$4:AF$174&lt;&gt;""),3,FALSE),1,7),"")</f>
        <v/>
      </c>
      <c r="H196" s="78" t="inlineStr"/>
    </row>
    <row r="197" ht="16" customHeight="1">
      <c r="A197" s="58">
        <f>IFERROR(INDEX(SORT(FILTER({Master!A$4:A$174,Master!B$4:B$174,Master!AF$4:AF$174,Master!W$4:W$174,Master!K$4:K$174,Master!H$4:H$174,Master!BN$4:BN$174},Master!J$4:J$174="Qualified",Master!D$4:D$174="Fund of Funds",Master!AF$4:AF$174&lt;&gt;""),3,FALSE),2,1),"")</f>
        <v/>
      </c>
      <c r="B197" s="58">
        <f>IFERROR(INDEX(SORT(FILTER({Master!A$4:A$174,Master!B$4:B$174,Master!AF$4:AF$174,Master!W$4:W$174,Master!K$4:K$174,Master!H$4:H$174,Master!BN$4:BN$174},Master!J$4:J$174="Qualified",Master!D$4:D$174="Fund of Funds",Master!AF$4:AF$174&lt;&gt;""),3,FALSE),2,2),"")</f>
        <v/>
      </c>
      <c r="C197" s="74">
        <f>IFERROR(INDEX(SORT(FILTER({Master!A$4:A$174,Master!B$4:B$174,Master!AF$4:AF$174,Master!W$4:W$174,Master!K$4:K$174,Master!H$4:H$174,Master!BN$4:BN$174},Master!J$4:J$174="Qualified",Master!D$4:D$174="Fund of Funds",Master!AF$4:AF$174&lt;&gt;""),3,FALSE),2,3),"")</f>
        <v/>
      </c>
      <c r="D197" s="74">
        <f>IFERROR(INDEX(SORT(FILTER({Master!A$4:A$174,Master!B$4:B$174,Master!AF$4:AF$174,Master!W$4:W$174,Master!K$4:K$174,Master!H$4:H$174,Master!BN$4:BN$174},Master!J$4:J$174="Qualified",Master!D$4:D$174="Fund of Funds",Master!AF$4:AF$174&lt;&gt;""),3,FALSE),2,4),"")</f>
        <v/>
      </c>
      <c r="E197" s="79">
        <f>IFERROR(INDEX(SORT(FILTER({Master!A$4:A$174,Master!B$4:B$174,Master!AF$4:AF$174,Master!W$4:W$174,Master!K$4:K$174,Master!H$4:H$174,Master!BN$4:BN$174},Master!J$4:J$174="Qualified",Master!D$4:D$174="Fund of Funds",Master!AF$4:AF$174&lt;&gt;""),3,FALSE),2,5),"")</f>
        <v/>
      </c>
      <c r="F197" s="80">
        <f>IFERROR(INDEX(SORT(FILTER({Master!A$4:A$174,Master!B$4:B$174,Master!AF$4:AF$174,Master!W$4:W$174,Master!K$4:K$174,Master!H$4:H$174,Master!BN$4:BN$174},Master!J$4:J$174="Qualified",Master!D$4:D$174="Fund of Funds",Master!AF$4:AF$174&lt;&gt;""),3,FALSE),2,6),"")</f>
        <v/>
      </c>
      <c r="G197" s="81">
        <f>IFERROR(INDEX(SORT(FILTER({Master!A$4:A$174,Master!B$4:B$174,Master!AF$4:AF$174,Master!W$4:W$174,Master!K$4:K$174,Master!H$4:H$174,Master!BN$4:BN$174},Master!J$4:J$174="Qualified",Master!D$4:D$174="Fund of Funds",Master!AF$4:AF$174&lt;&gt;""),3,FALSE),2,7),"")</f>
        <v/>
      </c>
      <c r="H197" s="81" t="inlineStr"/>
    </row>
    <row r="198" ht="16" customHeight="1">
      <c r="A198" s="59">
        <f>IFERROR(INDEX(SORT(FILTER({Master!A$4:A$174,Master!B$4:B$174,Master!AF$4:AF$174,Master!W$4:W$174,Master!K$4:K$174,Master!H$4:H$174,Master!BN$4:BN$174},Master!J$4:J$174="Qualified",Master!D$4:D$174="Fund of Funds",Master!AF$4:AF$174&lt;&gt;""),3,FALSE),3,1),"")</f>
        <v/>
      </c>
      <c r="B198" s="59">
        <f>IFERROR(INDEX(SORT(FILTER({Master!A$4:A$174,Master!B$4:B$174,Master!AF$4:AF$174,Master!W$4:W$174,Master!K$4:K$174,Master!H$4:H$174,Master!BN$4:BN$174},Master!J$4:J$174="Qualified",Master!D$4:D$174="Fund of Funds",Master!AF$4:AF$174&lt;&gt;""),3,FALSE),3,2),"")</f>
        <v/>
      </c>
      <c r="C198" s="75">
        <f>IFERROR(INDEX(SORT(FILTER({Master!A$4:A$174,Master!B$4:B$174,Master!AF$4:AF$174,Master!W$4:W$174,Master!K$4:K$174,Master!H$4:H$174,Master!BN$4:BN$174},Master!J$4:J$174="Qualified",Master!D$4:D$174="Fund of Funds",Master!AF$4:AF$174&lt;&gt;""),3,FALSE),3,3),"")</f>
        <v/>
      </c>
      <c r="D198" s="75">
        <f>IFERROR(INDEX(SORT(FILTER({Master!A$4:A$174,Master!B$4:B$174,Master!AF$4:AF$174,Master!W$4:W$174,Master!K$4:K$174,Master!H$4:H$174,Master!BN$4:BN$174},Master!J$4:J$174="Qualified",Master!D$4:D$174="Fund of Funds",Master!AF$4:AF$174&lt;&gt;""),3,FALSE),3,4),"")</f>
        <v/>
      </c>
      <c r="E198" s="76">
        <f>IFERROR(INDEX(SORT(FILTER({Master!A$4:A$174,Master!B$4:B$174,Master!AF$4:AF$174,Master!W$4:W$174,Master!K$4:K$174,Master!H$4:H$174,Master!BN$4:BN$174},Master!J$4:J$174="Qualified",Master!D$4:D$174="Fund of Funds",Master!AF$4:AF$174&lt;&gt;""),3,FALSE),3,5),"")</f>
        <v/>
      </c>
      <c r="F198" s="77">
        <f>IFERROR(INDEX(SORT(FILTER({Master!A$4:A$174,Master!B$4:B$174,Master!AF$4:AF$174,Master!W$4:W$174,Master!K$4:K$174,Master!H$4:H$174,Master!BN$4:BN$174},Master!J$4:J$174="Qualified",Master!D$4:D$174="Fund of Funds",Master!AF$4:AF$174&lt;&gt;""),3,FALSE),3,6),"")</f>
        <v/>
      </c>
      <c r="G198" s="78">
        <f>IFERROR(INDEX(SORT(FILTER({Master!A$4:A$174,Master!B$4:B$174,Master!AF$4:AF$174,Master!W$4:W$174,Master!K$4:K$174,Master!H$4:H$174,Master!BN$4:BN$174},Master!J$4:J$174="Qualified",Master!D$4:D$174="Fund of Funds",Master!AF$4:AF$174&lt;&gt;""),3,FALSE),3,7),"")</f>
        <v/>
      </c>
      <c r="H198" s="78" t="inlineStr"/>
    </row>
    <row r="199" ht="16" customHeight="1">
      <c r="A199" s="58">
        <f>IFERROR(INDEX(SORT(FILTER({Master!A$4:A$174,Master!B$4:B$174,Master!AF$4:AF$174,Master!W$4:W$174,Master!K$4:K$174,Master!H$4:H$174,Master!BN$4:BN$174},Master!J$4:J$174="Qualified",Master!D$4:D$174="Fund of Funds",Master!AF$4:AF$174&lt;&gt;""),3,FALSE),4,1),"")</f>
        <v/>
      </c>
      <c r="B199" s="58">
        <f>IFERROR(INDEX(SORT(FILTER({Master!A$4:A$174,Master!B$4:B$174,Master!AF$4:AF$174,Master!W$4:W$174,Master!K$4:K$174,Master!H$4:H$174,Master!BN$4:BN$174},Master!J$4:J$174="Qualified",Master!D$4:D$174="Fund of Funds",Master!AF$4:AF$174&lt;&gt;""),3,FALSE),4,2),"")</f>
        <v/>
      </c>
      <c r="C199" s="74">
        <f>IFERROR(INDEX(SORT(FILTER({Master!A$4:A$174,Master!B$4:B$174,Master!AF$4:AF$174,Master!W$4:W$174,Master!K$4:K$174,Master!H$4:H$174,Master!BN$4:BN$174},Master!J$4:J$174="Qualified",Master!D$4:D$174="Fund of Funds",Master!AF$4:AF$174&lt;&gt;""),3,FALSE),4,3),"")</f>
        <v/>
      </c>
      <c r="D199" s="74">
        <f>IFERROR(INDEX(SORT(FILTER({Master!A$4:A$174,Master!B$4:B$174,Master!AF$4:AF$174,Master!W$4:W$174,Master!K$4:K$174,Master!H$4:H$174,Master!BN$4:BN$174},Master!J$4:J$174="Qualified",Master!D$4:D$174="Fund of Funds",Master!AF$4:AF$174&lt;&gt;""),3,FALSE),4,4),"")</f>
        <v/>
      </c>
      <c r="E199" s="79">
        <f>IFERROR(INDEX(SORT(FILTER({Master!A$4:A$174,Master!B$4:B$174,Master!AF$4:AF$174,Master!W$4:W$174,Master!K$4:K$174,Master!H$4:H$174,Master!BN$4:BN$174},Master!J$4:J$174="Qualified",Master!D$4:D$174="Fund of Funds",Master!AF$4:AF$174&lt;&gt;""),3,FALSE),4,5),"")</f>
        <v/>
      </c>
      <c r="F199" s="80">
        <f>IFERROR(INDEX(SORT(FILTER({Master!A$4:A$174,Master!B$4:B$174,Master!AF$4:AF$174,Master!W$4:W$174,Master!K$4:K$174,Master!H$4:H$174,Master!BN$4:BN$174},Master!J$4:J$174="Qualified",Master!D$4:D$174="Fund of Funds",Master!AF$4:AF$174&lt;&gt;""),3,FALSE),4,6),"")</f>
        <v/>
      </c>
      <c r="G199" s="81">
        <f>IFERROR(INDEX(SORT(FILTER({Master!A$4:A$174,Master!B$4:B$174,Master!AF$4:AF$174,Master!W$4:W$174,Master!K$4:K$174,Master!H$4:H$174,Master!BN$4:BN$174},Master!J$4:J$174="Qualified",Master!D$4:D$174="Fund of Funds",Master!AF$4:AF$174&lt;&gt;""),3,FALSE),4,7),"")</f>
        <v/>
      </c>
      <c r="H199" s="81" t="inlineStr"/>
    </row>
    <row r="200" ht="16" customHeight="1">
      <c r="A200" s="59">
        <f>IFERROR(INDEX(SORT(FILTER({Master!A$4:A$174,Master!B$4:B$174,Master!AF$4:AF$174,Master!W$4:W$174,Master!K$4:K$174,Master!H$4:H$174,Master!BN$4:BN$174},Master!J$4:J$174="Qualified",Master!D$4:D$174="Fund of Funds",Master!AF$4:AF$174&lt;&gt;""),3,FALSE),5,1),"")</f>
        <v/>
      </c>
      <c r="B200" s="59">
        <f>IFERROR(INDEX(SORT(FILTER({Master!A$4:A$174,Master!B$4:B$174,Master!AF$4:AF$174,Master!W$4:W$174,Master!K$4:K$174,Master!H$4:H$174,Master!BN$4:BN$174},Master!J$4:J$174="Qualified",Master!D$4:D$174="Fund of Funds",Master!AF$4:AF$174&lt;&gt;""),3,FALSE),5,2),"")</f>
        <v/>
      </c>
      <c r="C200" s="75">
        <f>IFERROR(INDEX(SORT(FILTER({Master!A$4:A$174,Master!B$4:B$174,Master!AF$4:AF$174,Master!W$4:W$174,Master!K$4:K$174,Master!H$4:H$174,Master!BN$4:BN$174},Master!J$4:J$174="Qualified",Master!D$4:D$174="Fund of Funds",Master!AF$4:AF$174&lt;&gt;""),3,FALSE),5,3),"")</f>
        <v/>
      </c>
      <c r="D200" s="75">
        <f>IFERROR(INDEX(SORT(FILTER({Master!A$4:A$174,Master!B$4:B$174,Master!AF$4:AF$174,Master!W$4:W$174,Master!K$4:K$174,Master!H$4:H$174,Master!BN$4:BN$174},Master!J$4:J$174="Qualified",Master!D$4:D$174="Fund of Funds",Master!AF$4:AF$174&lt;&gt;""),3,FALSE),5,4),"")</f>
        <v/>
      </c>
      <c r="E200" s="76">
        <f>IFERROR(INDEX(SORT(FILTER({Master!A$4:A$174,Master!B$4:B$174,Master!AF$4:AF$174,Master!W$4:W$174,Master!K$4:K$174,Master!H$4:H$174,Master!BN$4:BN$174},Master!J$4:J$174="Qualified",Master!D$4:D$174="Fund of Funds",Master!AF$4:AF$174&lt;&gt;""),3,FALSE),5,5),"")</f>
        <v/>
      </c>
      <c r="F200" s="77">
        <f>IFERROR(INDEX(SORT(FILTER({Master!A$4:A$174,Master!B$4:B$174,Master!AF$4:AF$174,Master!W$4:W$174,Master!K$4:K$174,Master!H$4:H$174,Master!BN$4:BN$174},Master!J$4:J$174="Qualified",Master!D$4:D$174="Fund of Funds",Master!AF$4:AF$174&lt;&gt;""),3,FALSE),5,6),"")</f>
        <v/>
      </c>
      <c r="G200" s="78">
        <f>IFERROR(INDEX(SORT(FILTER({Master!A$4:A$174,Master!B$4:B$174,Master!AF$4:AF$174,Master!W$4:W$174,Master!K$4:K$174,Master!H$4:H$174,Master!BN$4:BN$174},Master!J$4:J$174="Qualified",Master!D$4:D$174="Fund of Funds",Master!AF$4:AF$174&lt;&gt;""),3,FALSE),5,7),"")</f>
        <v/>
      </c>
      <c r="H200" s="78" t="inlineStr"/>
    </row>
    <row r="202" ht="26" customHeight="1">
      <c r="A202" s="87" t="inlineStr">
        <is>
          <t>FUND OF FUNDS — TOP 5 BY AUM</t>
        </is>
      </c>
      <c r="B202" s="88" t="n"/>
      <c r="C202" s="88" t="n"/>
      <c r="D202" s="88" t="n"/>
      <c r="E202" s="88" t="n"/>
      <c r="F202" s="88" t="n"/>
      <c r="G202" s="88" t="n"/>
      <c r="H202" s="88" t="n"/>
    </row>
    <row r="203" ht="28" customHeight="1">
      <c r="A203" s="21" t="inlineStr">
        <is>
          <t>Fund Name</t>
        </is>
      </c>
      <c r="B203" s="21" t="inlineStr">
        <is>
          <t>Abbr</t>
        </is>
      </c>
      <c r="C203" s="21" t="inlineStr">
        <is>
          <t>AUM (RM M)</t>
        </is>
      </c>
      <c r="D203" s="21" t="inlineStr">
        <is>
          <t>3Y Fund (%)</t>
        </is>
      </c>
      <c r="E203" s="21" t="inlineStr">
        <is>
          <t>3Y Alpha (%)</t>
        </is>
      </c>
      <c r="F203" s="21" t="inlineStr">
        <is>
          <t>Beat (%)</t>
        </is>
      </c>
      <c r="G203" s="21" t="inlineStr">
        <is>
          <t>VC</t>
        </is>
      </c>
      <c r="H203" s="21" t="inlineStr"/>
    </row>
    <row r="204" ht="16" customHeight="1">
      <c r="A204" s="59">
        <f>IFERROR(INDEX(SORT(FILTER({Master!A$4:A$174,Master!B$4:B$174,Master!H$4:H$174,Master!U$4:U$174,Master!W$4:W$174,Master!K$4:K$174,Master!BN$4:BN$174},Master!J$4:J$174="Qualified",Master!D$4:D$174="Fund of Funds",Master!H$4:H$174&lt;&gt;""),3,FALSE),1,1),"")</f>
        <v/>
      </c>
      <c r="B204" s="59">
        <f>IFERROR(INDEX(SORT(FILTER({Master!A$4:A$174,Master!B$4:B$174,Master!H$4:H$174,Master!U$4:U$174,Master!W$4:W$174,Master!K$4:K$174,Master!BN$4:BN$174},Master!J$4:J$174="Qualified",Master!D$4:D$174="Fund of Funds",Master!H$4:H$174&lt;&gt;""),3,FALSE),1,2),"")</f>
        <v/>
      </c>
      <c r="C204" s="77">
        <f>IFERROR(INDEX(SORT(FILTER({Master!A$4:A$174,Master!B$4:B$174,Master!H$4:H$174,Master!U$4:U$174,Master!W$4:W$174,Master!K$4:K$174,Master!BN$4:BN$174},Master!J$4:J$174="Qualified",Master!D$4:D$174="Fund of Funds",Master!H$4:H$174&lt;&gt;""),3,FALSE),1,3),"")</f>
        <v/>
      </c>
      <c r="D204" s="75">
        <f>IFERROR(INDEX(SORT(FILTER({Master!A$4:A$174,Master!B$4:B$174,Master!H$4:H$174,Master!U$4:U$174,Master!W$4:W$174,Master!K$4:K$174,Master!BN$4:BN$174},Master!J$4:J$174="Qualified",Master!D$4:D$174="Fund of Funds",Master!H$4:H$174&lt;&gt;""),3,FALSE),1,4),"")</f>
        <v/>
      </c>
      <c r="E204" s="75">
        <f>IFERROR(INDEX(SORT(FILTER({Master!A$4:A$174,Master!B$4:B$174,Master!H$4:H$174,Master!U$4:U$174,Master!W$4:W$174,Master!K$4:K$174,Master!BN$4:BN$174},Master!J$4:J$174="Qualified",Master!D$4:D$174="Fund of Funds",Master!H$4:H$174&lt;&gt;""),3,FALSE),1,5),"")</f>
        <v/>
      </c>
      <c r="F204" s="76">
        <f>IFERROR(INDEX(SORT(FILTER({Master!A$4:A$174,Master!B$4:B$174,Master!H$4:H$174,Master!U$4:U$174,Master!W$4:W$174,Master!K$4:K$174,Master!BN$4:BN$174},Master!J$4:J$174="Qualified",Master!D$4:D$174="Fund of Funds",Master!H$4:H$174&lt;&gt;""),3,FALSE),1,6),"")</f>
        <v/>
      </c>
      <c r="G204" s="78">
        <f>IFERROR(INDEX(SORT(FILTER({Master!A$4:A$174,Master!B$4:B$174,Master!H$4:H$174,Master!U$4:U$174,Master!W$4:W$174,Master!K$4:K$174,Master!BN$4:BN$174},Master!J$4:J$174="Qualified",Master!D$4:D$174="Fund of Funds",Master!H$4:H$174&lt;&gt;""),3,FALSE),1,7),"")</f>
        <v/>
      </c>
      <c r="H204" s="78" t="inlineStr"/>
    </row>
    <row r="205" ht="16" customHeight="1">
      <c r="A205" s="58">
        <f>IFERROR(INDEX(SORT(FILTER({Master!A$4:A$174,Master!B$4:B$174,Master!H$4:H$174,Master!U$4:U$174,Master!W$4:W$174,Master!K$4:K$174,Master!BN$4:BN$174},Master!J$4:J$174="Qualified",Master!D$4:D$174="Fund of Funds",Master!H$4:H$174&lt;&gt;""),3,FALSE),2,1),"")</f>
        <v/>
      </c>
      <c r="B205" s="58">
        <f>IFERROR(INDEX(SORT(FILTER({Master!A$4:A$174,Master!B$4:B$174,Master!H$4:H$174,Master!U$4:U$174,Master!W$4:W$174,Master!K$4:K$174,Master!BN$4:BN$174},Master!J$4:J$174="Qualified",Master!D$4:D$174="Fund of Funds",Master!H$4:H$174&lt;&gt;""),3,FALSE),2,2),"")</f>
        <v/>
      </c>
      <c r="C205" s="80">
        <f>IFERROR(INDEX(SORT(FILTER({Master!A$4:A$174,Master!B$4:B$174,Master!H$4:H$174,Master!U$4:U$174,Master!W$4:W$174,Master!K$4:K$174,Master!BN$4:BN$174},Master!J$4:J$174="Qualified",Master!D$4:D$174="Fund of Funds",Master!H$4:H$174&lt;&gt;""),3,FALSE),2,3),"")</f>
        <v/>
      </c>
      <c r="D205" s="74">
        <f>IFERROR(INDEX(SORT(FILTER({Master!A$4:A$174,Master!B$4:B$174,Master!H$4:H$174,Master!U$4:U$174,Master!W$4:W$174,Master!K$4:K$174,Master!BN$4:BN$174},Master!J$4:J$174="Qualified",Master!D$4:D$174="Fund of Funds",Master!H$4:H$174&lt;&gt;""),3,FALSE),2,4),"")</f>
        <v/>
      </c>
      <c r="E205" s="74">
        <f>IFERROR(INDEX(SORT(FILTER({Master!A$4:A$174,Master!B$4:B$174,Master!H$4:H$174,Master!U$4:U$174,Master!W$4:W$174,Master!K$4:K$174,Master!BN$4:BN$174},Master!J$4:J$174="Qualified",Master!D$4:D$174="Fund of Funds",Master!H$4:H$174&lt;&gt;""),3,FALSE),2,5),"")</f>
        <v/>
      </c>
      <c r="F205" s="79">
        <f>IFERROR(INDEX(SORT(FILTER({Master!A$4:A$174,Master!B$4:B$174,Master!H$4:H$174,Master!U$4:U$174,Master!W$4:W$174,Master!K$4:K$174,Master!BN$4:BN$174},Master!J$4:J$174="Qualified",Master!D$4:D$174="Fund of Funds",Master!H$4:H$174&lt;&gt;""),3,FALSE),2,6),"")</f>
        <v/>
      </c>
      <c r="G205" s="81">
        <f>IFERROR(INDEX(SORT(FILTER({Master!A$4:A$174,Master!B$4:B$174,Master!H$4:H$174,Master!U$4:U$174,Master!W$4:W$174,Master!K$4:K$174,Master!BN$4:BN$174},Master!J$4:J$174="Qualified",Master!D$4:D$174="Fund of Funds",Master!H$4:H$174&lt;&gt;""),3,FALSE),2,7),"")</f>
        <v/>
      </c>
      <c r="H205" s="81" t="inlineStr"/>
    </row>
    <row r="206" ht="16" customHeight="1">
      <c r="A206" s="59">
        <f>IFERROR(INDEX(SORT(FILTER({Master!A$4:A$174,Master!B$4:B$174,Master!H$4:H$174,Master!U$4:U$174,Master!W$4:W$174,Master!K$4:K$174,Master!BN$4:BN$174},Master!J$4:J$174="Qualified",Master!D$4:D$174="Fund of Funds",Master!H$4:H$174&lt;&gt;""),3,FALSE),3,1),"")</f>
        <v/>
      </c>
      <c r="B206" s="59">
        <f>IFERROR(INDEX(SORT(FILTER({Master!A$4:A$174,Master!B$4:B$174,Master!H$4:H$174,Master!U$4:U$174,Master!W$4:W$174,Master!K$4:K$174,Master!BN$4:BN$174},Master!J$4:J$174="Qualified",Master!D$4:D$174="Fund of Funds",Master!H$4:H$174&lt;&gt;""),3,FALSE),3,2),"")</f>
        <v/>
      </c>
      <c r="C206" s="77">
        <f>IFERROR(INDEX(SORT(FILTER({Master!A$4:A$174,Master!B$4:B$174,Master!H$4:H$174,Master!U$4:U$174,Master!W$4:W$174,Master!K$4:K$174,Master!BN$4:BN$174},Master!J$4:J$174="Qualified",Master!D$4:D$174="Fund of Funds",Master!H$4:H$174&lt;&gt;""),3,FALSE),3,3),"")</f>
        <v/>
      </c>
      <c r="D206" s="75">
        <f>IFERROR(INDEX(SORT(FILTER({Master!A$4:A$174,Master!B$4:B$174,Master!H$4:H$174,Master!U$4:U$174,Master!W$4:W$174,Master!K$4:K$174,Master!BN$4:BN$174},Master!J$4:J$174="Qualified",Master!D$4:D$174="Fund of Funds",Master!H$4:H$174&lt;&gt;""),3,FALSE),3,4),"")</f>
        <v/>
      </c>
      <c r="E206" s="75">
        <f>IFERROR(INDEX(SORT(FILTER({Master!A$4:A$174,Master!B$4:B$174,Master!H$4:H$174,Master!U$4:U$174,Master!W$4:W$174,Master!K$4:K$174,Master!BN$4:BN$174},Master!J$4:J$174="Qualified",Master!D$4:D$174="Fund of Funds",Master!H$4:H$174&lt;&gt;""),3,FALSE),3,5),"")</f>
        <v/>
      </c>
      <c r="F206" s="76">
        <f>IFERROR(INDEX(SORT(FILTER({Master!A$4:A$174,Master!B$4:B$174,Master!H$4:H$174,Master!U$4:U$174,Master!W$4:W$174,Master!K$4:K$174,Master!BN$4:BN$174},Master!J$4:J$174="Qualified",Master!D$4:D$174="Fund of Funds",Master!H$4:H$174&lt;&gt;""),3,FALSE),3,6),"")</f>
        <v/>
      </c>
      <c r="G206" s="78">
        <f>IFERROR(INDEX(SORT(FILTER({Master!A$4:A$174,Master!B$4:B$174,Master!H$4:H$174,Master!U$4:U$174,Master!W$4:W$174,Master!K$4:K$174,Master!BN$4:BN$174},Master!J$4:J$174="Qualified",Master!D$4:D$174="Fund of Funds",Master!H$4:H$174&lt;&gt;""),3,FALSE),3,7),"")</f>
        <v/>
      </c>
      <c r="H206" s="78" t="inlineStr"/>
    </row>
    <row r="207" ht="16" customHeight="1">
      <c r="A207" s="58">
        <f>IFERROR(INDEX(SORT(FILTER({Master!A$4:A$174,Master!B$4:B$174,Master!H$4:H$174,Master!U$4:U$174,Master!W$4:W$174,Master!K$4:K$174,Master!BN$4:BN$174},Master!J$4:J$174="Qualified",Master!D$4:D$174="Fund of Funds",Master!H$4:H$174&lt;&gt;""),3,FALSE),4,1),"")</f>
        <v/>
      </c>
      <c r="B207" s="58">
        <f>IFERROR(INDEX(SORT(FILTER({Master!A$4:A$174,Master!B$4:B$174,Master!H$4:H$174,Master!U$4:U$174,Master!W$4:W$174,Master!K$4:K$174,Master!BN$4:BN$174},Master!J$4:J$174="Qualified",Master!D$4:D$174="Fund of Funds",Master!H$4:H$174&lt;&gt;""),3,FALSE),4,2),"")</f>
        <v/>
      </c>
      <c r="C207" s="80">
        <f>IFERROR(INDEX(SORT(FILTER({Master!A$4:A$174,Master!B$4:B$174,Master!H$4:H$174,Master!U$4:U$174,Master!W$4:W$174,Master!K$4:K$174,Master!BN$4:BN$174},Master!J$4:J$174="Qualified",Master!D$4:D$174="Fund of Funds",Master!H$4:H$174&lt;&gt;""),3,FALSE),4,3),"")</f>
        <v/>
      </c>
      <c r="D207" s="74">
        <f>IFERROR(INDEX(SORT(FILTER({Master!A$4:A$174,Master!B$4:B$174,Master!H$4:H$174,Master!U$4:U$174,Master!W$4:W$174,Master!K$4:K$174,Master!BN$4:BN$174},Master!J$4:J$174="Qualified",Master!D$4:D$174="Fund of Funds",Master!H$4:H$174&lt;&gt;""),3,FALSE),4,4),"")</f>
        <v/>
      </c>
      <c r="E207" s="74">
        <f>IFERROR(INDEX(SORT(FILTER({Master!A$4:A$174,Master!B$4:B$174,Master!H$4:H$174,Master!U$4:U$174,Master!W$4:W$174,Master!K$4:K$174,Master!BN$4:BN$174},Master!J$4:J$174="Qualified",Master!D$4:D$174="Fund of Funds",Master!H$4:H$174&lt;&gt;""),3,FALSE),4,5),"")</f>
        <v/>
      </c>
      <c r="F207" s="79">
        <f>IFERROR(INDEX(SORT(FILTER({Master!A$4:A$174,Master!B$4:B$174,Master!H$4:H$174,Master!U$4:U$174,Master!W$4:W$174,Master!K$4:K$174,Master!BN$4:BN$174},Master!J$4:J$174="Qualified",Master!D$4:D$174="Fund of Funds",Master!H$4:H$174&lt;&gt;""),3,FALSE),4,6),"")</f>
        <v/>
      </c>
      <c r="G207" s="81">
        <f>IFERROR(INDEX(SORT(FILTER({Master!A$4:A$174,Master!B$4:B$174,Master!H$4:H$174,Master!U$4:U$174,Master!W$4:W$174,Master!K$4:K$174,Master!BN$4:BN$174},Master!J$4:J$174="Qualified",Master!D$4:D$174="Fund of Funds",Master!H$4:H$174&lt;&gt;""),3,FALSE),4,7),"")</f>
        <v/>
      </c>
      <c r="H207" s="81" t="inlineStr"/>
    </row>
    <row r="208" ht="16" customHeight="1">
      <c r="A208" s="59">
        <f>IFERROR(INDEX(SORT(FILTER({Master!A$4:A$174,Master!B$4:B$174,Master!H$4:H$174,Master!U$4:U$174,Master!W$4:W$174,Master!K$4:K$174,Master!BN$4:BN$174},Master!J$4:J$174="Qualified",Master!D$4:D$174="Fund of Funds",Master!H$4:H$174&lt;&gt;""),3,FALSE),5,1),"")</f>
        <v/>
      </c>
      <c r="B208" s="59">
        <f>IFERROR(INDEX(SORT(FILTER({Master!A$4:A$174,Master!B$4:B$174,Master!H$4:H$174,Master!U$4:U$174,Master!W$4:W$174,Master!K$4:K$174,Master!BN$4:BN$174},Master!J$4:J$174="Qualified",Master!D$4:D$174="Fund of Funds",Master!H$4:H$174&lt;&gt;""),3,FALSE),5,2),"")</f>
        <v/>
      </c>
      <c r="C208" s="77">
        <f>IFERROR(INDEX(SORT(FILTER({Master!A$4:A$174,Master!B$4:B$174,Master!H$4:H$174,Master!U$4:U$174,Master!W$4:W$174,Master!K$4:K$174,Master!BN$4:BN$174},Master!J$4:J$174="Qualified",Master!D$4:D$174="Fund of Funds",Master!H$4:H$174&lt;&gt;""),3,FALSE),5,3),"")</f>
        <v/>
      </c>
      <c r="D208" s="75">
        <f>IFERROR(INDEX(SORT(FILTER({Master!A$4:A$174,Master!B$4:B$174,Master!H$4:H$174,Master!U$4:U$174,Master!W$4:W$174,Master!K$4:K$174,Master!BN$4:BN$174},Master!J$4:J$174="Qualified",Master!D$4:D$174="Fund of Funds",Master!H$4:H$174&lt;&gt;""),3,FALSE),5,4),"")</f>
        <v/>
      </c>
      <c r="E208" s="75">
        <f>IFERROR(INDEX(SORT(FILTER({Master!A$4:A$174,Master!B$4:B$174,Master!H$4:H$174,Master!U$4:U$174,Master!W$4:W$174,Master!K$4:K$174,Master!BN$4:BN$174},Master!J$4:J$174="Qualified",Master!D$4:D$174="Fund of Funds",Master!H$4:H$174&lt;&gt;""),3,FALSE),5,5),"")</f>
        <v/>
      </c>
      <c r="F208" s="76">
        <f>IFERROR(INDEX(SORT(FILTER({Master!A$4:A$174,Master!B$4:B$174,Master!H$4:H$174,Master!U$4:U$174,Master!W$4:W$174,Master!K$4:K$174,Master!BN$4:BN$174},Master!J$4:J$174="Qualified",Master!D$4:D$174="Fund of Funds",Master!H$4:H$174&lt;&gt;""),3,FALSE),5,6),"")</f>
        <v/>
      </c>
      <c r="G208" s="78">
        <f>IFERROR(INDEX(SORT(FILTER({Master!A$4:A$174,Master!B$4:B$174,Master!H$4:H$174,Master!U$4:U$174,Master!W$4:W$174,Master!K$4:K$174,Master!BN$4:BN$174},Master!J$4:J$174="Qualified",Master!D$4:D$174="Fund of Funds",Master!H$4:H$174&lt;&gt;""),3,FALSE),5,7),"")</f>
        <v/>
      </c>
      <c r="H208" s="78" t="inlineStr"/>
    </row>
    <row r="211">
      <c r="A211" s="60" t="inlineStr">
        <is>
          <t>Source: Public Mutual MFR April 2026 | Screened by 5-Point Code Review Framework | Generated June 2026</t>
        </is>
      </c>
    </row>
  </sheetData>
  <mergeCells count="31">
    <mergeCell ref="A130:H130"/>
    <mergeCell ref="A30:H30"/>
    <mergeCell ref="A114:H114"/>
    <mergeCell ref="A186:H186"/>
    <mergeCell ref="A166:H166"/>
    <mergeCell ref="A142:H142"/>
    <mergeCell ref="A138:H138"/>
    <mergeCell ref="A94:H94"/>
    <mergeCell ref="A1:H1"/>
    <mergeCell ref="A178:H178"/>
    <mergeCell ref="A70:H70"/>
    <mergeCell ref="A78:H78"/>
    <mergeCell ref="A174:H174"/>
    <mergeCell ref="A66:H66"/>
    <mergeCell ref="A158:H158"/>
    <mergeCell ref="C7:H7"/>
    <mergeCell ref="A50:H50"/>
    <mergeCell ref="A3:H3"/>
    <mergeCell ref="A21:H21"/>
    <mergeCell ref="A86:H86"/>
    <mergeCell ref="A42:H42"/>
    <mergeCell ref="A150:H150"/>
    <mergeCell ref="A194:H194"/>
    <mergeCell ref="C6:H6"/>
    <mergeCell ref="A106:H106"/>
    <mergeCell ref="A122:H122"/>
    <mergeCell ref="A102:H102"/>
    <mergeCell ref="A211:H211"/>
    <mergeCell ref="A202:H202"/>
    <mergeCell ref="A58:H58"/>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2026-06-15T11:30:39Z</dcterms:created>
  <dcterms:modified xsi:type="dcterms:W3CDTF">2026-06-15T11:30:40Z</dcterms:modified>
</cp:coreProperties>
</file>