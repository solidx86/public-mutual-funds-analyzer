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Summary" sheetId="2" state="visible" r:id="rId2"/>
  </sheets>
  <definedNames>
    <definedName name="_xlnm._FilterDatabase" localSheetId="0" hidden="1">'Master'!$A$3:$BT$174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i val="1"/>
      <color rgb="00000000"/>
      <sz val="9"/>
    </font>
    <font>
      <name val="Arial"/>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F2F2F2"/>
      </patternFill>
    </fill>
    <fill>
      <patternFill patternType="solid">
        <fgColor rgb="00E8E8E8"/>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5" fillId="13" borderId="6" applyAlignment="1" pivotButton="0" quotePrefix="0" xfId="0">
      <alignment horizontal="left" vertical="center" wrapText="1"/>
    </xf>
    <xf numFmtId="1" fontId="5" fillId="13" borderId="6" applyAlignment="1" pivotButton="0" quotePrefix="0" xfId="0">
      <alignment horizontal="center" vertical="center"/>
    </xf>
    <xf numFmtId="4" fontId="5" fillId="13" borderId="6" applyAlignment="1" pivotButton="0" quotePrefix="0" xfId="0">
      <alignment horizontal="center" vertical="center"/>
    </xf>
    <xf numFmtId="49" fontId="5" fillId="13" borderId="6" applyAlignment="1" pivotButton="0" quotePrefix="0" xfId="0">
      <alignment horizontal="left" vertical="center"/>
    </xf>
    <xf numFmtId="164" fontId="5" fillId="13" borderId="6" applyAlignment="1" pivotButton="0" quotePrefix="0" xfId="0">
      <alignment horizontal="center" vertical="center"/>
    </xf>
    <xf numFmtId="2" fontId="5" fillId="13" borderId="6" applyAlignment="1" pivotButton="0" quotePrefix="0" xfId="0">
      <alignment horizontal="center" vertical="center"/>
    </xf>
    <xf numFmtId="165" fontId="5" fillId="13" borderId="6" applyAlignment="1" pivotButton="0" quotePrefix="0" xfId="0">
      <alignment horizontal="center" vertical="center"/>
    </xf>
    <xf numFmtId="49" fontId="4" fillId="14" borderId="6" applyAlignment="1" pivotButton="0" quotePrefix="0" xfId="0">
      <alignment horizontal="left" vertical="center"/>
    </xf>
    <xf numFmtId="49" fontId="5" fillId="14" borderId="6" applyAlignment="1" pivotButton="0" quotePrefix="0" xfId="0">
      <alignment horizontal="left" vertical="center" wrapText="1"/>
    </xf>
    <xf numFmtId="1" fontId="5" fillId="14" borderId="6" applyAlignment="1" pivotButton="0" quotePrefix="0" xfId="0">
      <alignment horizontal="center" vertical="center"/>
    </xf>
    <xf numFmtId="4" fontId="5" fillId="14" borderId="6" applyAlignment="1" pivotButton="0" quotePrefix="0" xfId="0">
      <alignment horizontal="center" vertical="center"/>
    </xf>
    <xf numFmtId="49" fontId="5" fillId="14" borderId="6" applyAlignment="1" pivotButton="0" quotePrefix="0" xfId="0">
      <alignment horizontal="left" vertical="center"/>
    </xf>
    <xf numFmtId="164" fontId="5" fillId="14" borderId="6" applyAlignment="1" pivotButton="0" quotePrefix="0" xfId="0">
      <alignment horizontal="center" vertical="center"/>
    </xf>
    <xf numFmtId="2" fontId="5" fillId="14" borderId="6" applyAlignment="1" pivotButton="0" quotePrefix="0" xfId="0">
      <alignment horizontal="center" vertical="center"/>
    </xf>
    <xf numFmtId="165" fontId="5" fillId="14" borderId="6" applyAlignment="1" pivotButton="0" quotePrefix="0" xfId="0">
      <alignment horizontal="center"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6"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6" borderId="6" applyAlignment="1" pivotButton="0" quotePrefix="0" xfId="0">
      <alignment horizontal="left" vertical="center"/>
    </xf>
    <xf numFmtId="49" fontId="7" fillId="15"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16" customWidth="1" min="5" max="5"/>
    <col width="24" customWidth="1" min="6" max="6"/>
    <col width="10" customWidth="1" min="7" max="7"/>
    <col width="16" customWidth="1" min="8" max="8"/>
    <col width="14" customWidth="1" min="9" max="9"/>
    <col width="12" customWidth="1" min="10" max="10"/>
    <col width="14"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9" customWidth="1" min="29" max="29"/>
    <col width="9" customWidth="1" min="30" max="30"/>
    <col width="9" customWidth="1" min="31" max="31"/>
    <col width="9" customWidth="1" min="32" max="32"/>
    <col width="9" customWidth="1" min="33" max="33"/>
    <col width="11" customWidth="1" min="34" max="34"/>
    <col width="11" customWidth="1" min="35" max="35"/>
    <col width="11" customWidth="1" min="36" max="36"/>
    <col width="11" customWidth="1" min="37" max="37"/>
    <col width="10" customWidth="1" min="38" max="38"/>
    <col width="10"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9" customWidth="1" min="47" max="47"/>
    <col width="10" customWidth="1" min="48" max="48"/>
    <col width="9" customWidth="1" min="49" max="49"/>
    <col width="9" customWidth="1" min="50" max="50"/>
    <col width="9" customWidth="1" min="51" max="51"/>
    <col width="10" customWidth="1" min="52" max="52"/>
    <col width="10" customWidth="1" min="53" max="53"/>
    <col width="10" customWidth="1" min="54" max="54"/>
    <col width="10" customWidth="1" min="55" max="55"/>
    <col width="10" customWidth="1" min="56" max="56"/>
    <col width="11" customWidth="1" min="57" max="57"/>
    <col width="9" customWidth="1" min="58" max="58"/>
    <col width="8" customWidth="1" min="59" max="59"/>
    <col width="9" customWidth="1" min="60" max="60"/>
    <col width="10" customWidth="1" min="61" max="61"/>
    <col width="10" customWidth="1" min="62" max="62"/>
    <col width="55" customWidth="1" min="63" max="63"/>
    <col width="6" customWidth="1" min="64" max="64"/>
    <col width="12" customWidth="1" min="65" max="65"/>
    <col width="28" customWidth="1" min="66" max="66"/>
    <col width="45" customWidth="1" min="67" max="67"/>
    <col width="10" customWidth="1" min="68" max="68"/>
    <col width="12" customWidth="1" min="69" max="69"/>
    <col width="10" customWidth="1" min="70" max="70"/>
    <col width="11" customWidth="1" min="71" max="71"/>
    <col width="13" customWidth="1" min="72" max="72"/>
  </cols>
  <sheetData>
    <row r="1" ht="28" customHeight="1">
      <c r="A1" s="1" t="inlineStr">
        <is>
          <t>PUBLIC MUTUAL — FUND MASTER  |  Data: MFR February 2026  |  111 Qualified / 171 Total Funds</t>
        </is>
      </c>
    </row>
    <row r="2" ht="22" customHeight="1">
      <c r="A2" s="2" t="inlineStr">
        <is>
          <t>FUND DETAILS</t>
        </is>
      </c>
      <c r="B2" s="3" t="n"/>
      <c r="C2" s="3" t="n"/>
      <c r="D2" s="3" t="n"/>
      <c r="E2" s="3" t="n"/>
      <c r="F2" s="3" t="n"/>
      <c r="G2" s="3" t="n"/>
      <c r="H2" s="3" t="n"/>
      <c r="I2" s="3" t="n"/>
      <c r="J2" s="3" t="n"/>
      <c r="K2" s="4" t="inlineStr">
        <is>
          <t>SCREENING</t>
        </is>
      </c>
      <c r="L2" s="5" t="n"/>
      <c r="M2" s="5" t="n"/>
      <c r="N2" s="6" t="inlineStr">
        <is>
          <t>ANNUALISED RETURNS vs BENCHMARK (MFR FEB 2026)</t>
        </is>
      </c>
      <c r="O2" s="7" t="n"/>
      <c r="P2" s="7" t="n"/>
      <c r="Q2" s="7" t="n"/>
      <c r="R2" s="7" t="n"/>
      <c r="S2" s="7" t="n"/>
      <c r="T2" s="7" t="n"/>
      <c r="U2" s="7" t="n"/>
      <c r="V2" s="7" t="n"/>
      <c r="W2" s="7" t="n"/>
      <c r="X2" s="7" t="n"/>
      <c r="Y2" s="7" t="n"/>
      <c r="Z2" s="7" t="n"/>
      <c r="AA2" s="7" t="n"/>
      <c r="AB2" s="7" t="n"/>
      <c r="AC2" s="8" t="inlineStr">
        <is>
          <t>ALPHA EFFICIENCY (Alpha / VF)</t>
        </is>
      </c>
      <c r="AD2" s="9" t="n"/>
      <c r="AE2" s="9" t="n"/>
      <c r="AF2" s="9" t="n"/>
      <c r="AG2" s="9" t="n"/>
      <c r="AH2" s="10" t="inlineStr">
        <is>
          <t>ASSET ALLOCATION (%)</t>
        </is>
      </c>
      <c r="AI2" s="11" t="n"/>
      <c r="AJ2" s="11" t="n"/>
      <c r="AK2" s="11" t="n"/>
      <c r="AL2" s="11" t="n"/>
      <c r="AM2" s="11" t="n"/>
      <c r="AN2" s="12" t="inlineStr">
        <is>
          <t>GEOGRAPHICAL BREAKDOWN (%)</t>
        </is>
      </c>
      <c r="AO2" s="13" t="n"/>
      <c r="AP2" s="13" t="n"/>
      <c r="AQ2" s="13" t="n"/>
      <c r="AR2" s="13" t="n"/>
      <c r="AS2" s="13" t="n"/>
      <c r="AT2" s="13" t="n"/>
      <c r="AU2" s="13" t="n"/>
      <c r="AV2" s="13" t="n"/>
      <c r="AW2" s="13" t="n"/>
      <c r="AX2" s="13" t="n"/>
      <c r="AY2" s="13" t="n"/>
      <c r="AZ2" s="14" t="inlineStr">
        <is>
          <t>SECTOR BREAKDOWN (%)</t>
        </is>
      </c>
      <c r="BA2" s="15" t="n"/>
      <c r="BB2" s="15" t="n"/>
      <c r="BC2" s="15" t="n"/>
      <c r="BD2" s="15" t="n"/>
      <c r="BE2" s="15" t="n"/>
      <c r="BF2" s="15" t="n"/>
      <c r="BG2" s="15" t="n"/>
      <c r="BH2" s="15" t="n"/>
      <c r="BI2" s="15" t="n"/>
      <c r="BJ2" s="15" t="n"/>
      <c r="BK2" s="16" t="inlineStr">
        <is>
          <t>TOP 5</t>
        </is>
      </c>
      <c r="BL2" s="17" t="inlineStr">
        <is>
          <t>META</t>
        </is>
      </c>
      <c r="BM2" s="18" t="n"/>
      <c r="BN2" s="18" t="n"/>
      <c r="BO2" s="18" t="n"/>
      <c r="BP2" s="19" t="inlineStr">
        <is>
          <t>ATH MOMENTUM</t>
        </is>
      </c>
      <c r="BQ2" s="20" t="n"/>
      <c r="BR2" s="20" t="n"/>
      <c r="BS2" s="20" t="n"/>
      <c r="BT2" s="20" t="n"/>
    </row>
    <row r="3" ht="36" customHeight="1">
      <c r="A3" s="21" t="inlineStr">
        <is>
          <t>Fund Name</t>
        </is>
      </c>
      <c r="B3" s="21" t="inlineStr">
        <is>
          <t>Abbr</t>
        </is>
      </c>
      <c r="C3" s="21" t="inlineStr">
        <is>
          <t>Series</t>
        </is>
      </c>
      <c r="D3" s="21" t="inlineStr">
        <is>
          <t>Fund Type</t>
        </is>
      </c>
      <c r="E3" s="21" t="inlineStr">
        <is>
          <t>Geography</t>
        </is>
      </c>
      <c r="F3" s="21" t="inlineStr">
        <is>
          <t>Objective</t>
        </is>
      </c>
      <c r="G3" s="21" t="inlineStr">
        <is>
          <t>Risk Level</t>
        </is>
      </c>
      <c r="H3" s="21" t="inlineStr">
        <is>
          <t>Distribution</t>
        </is>
      </c>
      <c r="I3" s="21" t="inlineStr">
        <is>
          <t>Size (RM M)</t>
        </is>
      </c>
      <c r="J3" s="21" t="inlineStr">
        <is>
          <t>Launch</t>
        </is>
      </c>
      <c r="K3" s="21" t="inlineStr">
        <is>
          <t>Status</t>
        </is>
      </c>
      <c r="L3" s="21" t="inlineStr">
        <is>
          <t>Beat (%)</t>
        </is>
      </c>
      <c r="M3" s="21" t="inlineStr">
        <is>
          <t>Periods</t>
        </is>
      </c>
      <c r="N3" s="21" t="inlineStr">
        <is>
          <t>YTD Fund (%)</t>
        </is>
      </c>
      <c r="O3" s="21" t="inlineStr">
        <is>
          <t>YTD Bench (%)</t>
        </is>
      </c>
      <c r="P3" s="21" t="inlineStr">
        <is>
          <t>YTD Alpha (%)</t>
        </is>
      </c>
      <c r="Q3" s="21" t="inlineStr">
        <is>
          <t>1Y Fund (%)</t>
        </is>
      </c>
      <c r="R3" s="21" t="inlineStr">
        <is>
          <t>1Y Bench (%)</t>
        </is>
      </c>
      <c r="S3" s="21" t="inlineStr">
        <is>
          <t>1Y Alpha (%)</t>
        </is>
      </c>
      <c r="T3" s="21" t="inlineStr">
        <is>
          <t>3Y Fund (%)</t>
        </is>
      </c>
      <c r="U3" s="21" t="inlineStr">
        <is>
          <t>3Y Bench (%)</t>
        </is>
      </c>
      <c r="V3" s="21" t="inlineStr">
        <is>
          <t>3Y Alpha (%)</t>
        </is>
      </c>
      <c r="W3" s="21" t="inlineStr">
        <is>
          <t>5Y Fund (%)</t>
        </is>
      </c>
      <c r="X3" s="21" t="inlineStr">
        <is>
          <t>5Y Bench (%)</t>
        </is>
      </c>
      <c r="Y3" s="21" t="inlineStr">
        <is>
          <t>5Y Alpha (%)</t>
        </is>
      </c>
      <c r="Z3" s="21" t="inlineStr">
        <is>
          <t>10Y Fund (%)</t>
        </is>
      </c>
      <c r="AA3" s="21" t="inlineStr">
        <is>
          <t>10Y Bench (%)</t>
        </is>
      </c>
      <c r="AB3" s="21" t="inlineStr">
        <is>
          <t>10Y Alpha (%)</t>
        </is>
      </c>
      <c r="AC3" s="21" t="inlineStr">
        <is>
          <t>AE YTD</t>
        </is>
      </c>
      <c r="AD3" s="21" t="inlineStr">
        <is>
          <t>AE 1Y</t>
        </is>
      </c>
      <c r="AE3" s="21" t="inlineStr">
        <is>
          <t>AE 3Y</t>
        </is>
      </c>
      <c r="AF3" s="21" t="inlineStr">
        <is>
          <t>AE 5Y</t>
        </is>
      </c>
      <c r="AG3" s="21" t="inlineStr">
        <is>
          <t>AE 10Y</t>
        </is>
      </c>
      <c r="AH3" s="21" t="inlineStr">
        <is>
          <t>Dom. Equity (%)</t>
        </is>
      </c>
      <c r="AI3" s="21" t="inlineStr">
        <is>
          <t>For. Equity (%)</t>
        </is>
      </c>
      <c r="AJ3" s="21" t="inlineStr">
        <is>
          <t>FI / Sukuk (%)</t>
        </is>
      </c>
      <c r="AK3" s="21" t="inlineStr">
        <is>
          <t>Money Mkt (%)</t>
        </is>
      </c>
      <c r="AL3" s="21" t="inlineStr">
        <is>
          <t>Deposits (%)</t>
        </is>
      </c>
      <c r="AM3" s="21" t="inlineStr">
        <is>
          <t>Alloc Other (%)</t>
        </is>
      </c>
      <c r="AN3" s="21" t="inlineStr">
        <is>
          <t>USA (%)</t>
        </is>
      </c>
      <c r="AO3" s="21" t="inlineStr">
        <is>
          <t>Taiwan (%)</t>
        </is>
      </c>
      <c r="AP3" s="21" t="inlineStr">
        <is>
          <t>Korea (%)</t>
        </is>
      </c>
      <c r="AQ3" s="21" t="inlineStr">
        <is>
          <t>Japan (%)</t>
        </is>
      </c>
      <c r="AR3" s="21" t="inlineStr">
        <is>
          <t>France (%)</t>
        </is>
      </c>
      <c r="AS3" s="21" t="inlineStr">
        <is>
          <t>Germany (%)</t>
        </is>
      </c>
      <c r="AT3" s="21" t="inlineStr">
        <is>
          <t>China (%)</t>
        </is>
      </c>
      <c r="AU3" s="21" t="inlineStr">
        <is>
          <t>Singapore (%)</t>
        </is>
      </c>
      <c r="AV3" s="21" t="inlineStr">
        <is>
          <t>Netherlands (%)</t>
        </is>
      </c>
      <c r="AW3" s="21" t="inlineStr">
        <is>
          <t>Indonesia (%)</t>
        </is>
      </c>
      <c r="AX3" s="21" t="inlineStr">
        <is>
          <t>Australia (%)</t>
        </is>
      </c>
      <c r="AY3" s="21" t="inlineStr">
        <is>
          <t>Geo Other (%)</t>
        </is>
      </c>
      <c r="AZ3" s="21" t="inlineStr">
        <is>
          <t>Industrial (%)</t>
        </is>
      </c>
      <c r="BA3" s="21" t="inlineStr">
        <is>
          <t>Technology (%)</t>
        </is>
      </c>
      <c r="BB3" s="21" t="inlineStr">
        <is>
          <t>Financial (%)</t>
        </is>
      </c>
      <c r="BC3" s="21" t="inlineStr">
        <is>
          <t>Comms (%)</t>
        </is>
      </c>
      <c r="BD3" s="21" t="inlineStr">
        <is>
          <t>Cons. Disc. (%)</t>
        </is>
      </c>
      <c r="BE3" s="21" t="inlineStr">
        <is>
          <t>Cons. Staples (%)</t>
        </is>
      </c>
      <c r="BF3" s="21" t="inlineStr">
        <is>
          <t>Utilities (%)</t>
        </is>
      </c>
      <c r="BG3" s="21" t="inlineStr">
        <is>
          <t>Energy (%)</t>
        </is>
      </c>
      <c r="BH3" s="21" t="inlineStr">
        <is>
          <t>Materials (%)</t>
        </is>
      </c>
      <c r="BI3" s="21" t="inlineStr">
        <is>
          <t>Real Estate (%)</t>
        </is>
      </c>
      <c r="BJ3" s="21" t="inlineStr">
        <is>
          <t>Sector Other (%)</t>
        </is>
      </c>
      <c r="BK3" s="21" t="inlineStr">
        <is>
          <t>Top 5 Holdings</t>
        </is>
      </c>
      <c r="BL3" s="21" t="inlineStr">
        <is>
          <t>VF</t>
        </is>
      </c>
      <c r="BM3" s="21" t="inlineStr">
        <is>
          <t>VC</t>
        </is>
      </c>
      <c r="BN3" s="21" t="inlineStr">
        <is>
          <t>Lipper Class</t>
        </is>
      </c>
      <c r="BO3" s="21" t="inlineStr">
        <is>
          <t>Benchmark</t>
        </is>
      </c>
      <c r="BP3" s="21" t="inlineStr">
        <is>
          <t>ATH NAV</t>
        </is>
      </c>
      <c r="BQ3" s="21" t="inlineStr">
        <is>
          <t>ATH Date</t>
        </is>
      </c>
      <c r="BR3" s="21" t="inlineStr">
        <is>
          <t>Cur NAV</t>
        </is>
      </c>
      <c r="BS3" s="21" t="inlineStr">
        <is>
          <t>Drawdown (%)</t>
        </is>
      </c>
      <c r="BT3" s="21" t="inlineStr">
        <is>
          <t>Days from ATH</t>
        </is>
      </c>
    </row>
    <row r="4" ht="16" customHeight="1">
      <c r="A4" s="22" t="inlineStr">
        <is>
          <t>PUBLIC ISLAMIC SELECT TREASURES FUND</t>
        </is>
      </c>
      <c r="B4" s="22" t="inlineStr">
        <is>
          <t>PISTF</t>
        </is>
      </c>
      <c r="C4" s="22" t="inlineStr">
        <is>
          <t>Shariah</t>
        </is>
      </c>
      <c r="D4" s="22" t="inlineStr">
        <is>
          <t>Equity</t>
        </is>
      </c>
      <c r="E4" s="22" t="inlineStr">
        <is>
          <t>Malaysia</t>
        </is>
      </c>
      <c r="F4" s="23" t="inlineStr">
        <is>
          <t>Capital Growth</t>
        </is>
      </c>
      <c r="G4" s="24" t="n">
        <v>5</v>
      </c>
      <c r="H4" s="23" t="inlineStr">
        <is>
          <t>Incidental</t>
        </is>
      </c>
      <c r="I4" s="25" t="n">
        <v>1262.73</v>
      </c>
      <c r="J4" s="26" t="inlineStr">
        <is>
          <t>26.02.2008</t>
        </is>
      </c>
      <c r="K4" s="26" t="inlineStr">
        <is>
          <t>Qualified</t>
        </is>
      </c>
      <c r="L4" s="27" t="n">
        <v>100</v>
      </c>
      <c r="M4" s="26" t="inlineStr">
        <is>
          <t>5/5</t>
        </is>
      </c>
      <c r="N4" s="28" t="n">
        <v>5.86</v>
      </c>
      <c r="O4" s="28" t="n">
        <v>1.2</v>
      </c>
      <c r="P4" s="28" t="n">
        <v>4.66</v>
      </c>
      <c r="Q4" s="28" t="n">
        <v>18.31</v>
      </c>
      <c r="R4" s="28" t="n">
        <v>0.31</v>
      </c>
      <c r="S4" s="28" t="n">
        <v>18</v>
      </c>
      <c r="T4" s="28" t="n">
        <v>9.42</v>
      </c>
      <c r="U4" s="28" t="n">
        <v>1.36</v>
      </c>
      <c r="V4" s="28" t="n">
        <v>8.06</v>
      </c>
      <c r="W4" s="28" t="n">
        <v>2.81</v>
      </c>
      <c r="X4" s="28" t="n">
        <v>-2.46</v>
      </c>
      <c r="Y4" s="28" t="n">
        <v>5.27</v>
      </c>
      <c r="Z4" s="28" t="n">
        <v>5.52</v>
      </c>
      <c r="AA4" s="28" t="n">
        <v>0.84</v>
      </c>
      <c r="AB4" s="28" t="n">
        <v>4.68</v>
      </c>
      <c r="AC4" s="28">
        <f>IF(OR(P4="",BL4="",BL4=0),"",P4/BL4)</f>
        <v/>
      </c>
      <c r="AD4" s="28">
        <f>IF(OR(S4="",BL4="",BL4=0),"",S4/BL4)</f>
        <v/>
      </c>
      <c r="AE4" s="28">
        <f>IF(OR(V4="",BL4="",BL4=0),"",V4/BL4)</f>
        <v/>
      </c>
      <c r="AF4" s="28">
        <f>IF(OR(Y4="",BL4="",BL4=0),"",Y4/BL4)</f>
        <v/>
      </c>
      <c r="AG4" s="28">
        <f>IF(OR(AB4="",BL4="",BL4=0),"",AB4/BL4)</f>
        <v/>
      </c>
      <c r="AH4" s="27" t="n">
        <v>74.7</v>
      </c>
      <c r="AI4" s="27" t="n">
        <v>20.4</v>
      </c>
      <c r="AJ4" s="27" t="n"/>
      <c r="AK4" s="27" t="n">
        <v>4.9</v>
      </c>
      <c r="AL4" s="27" t="n"/>
      <c r="AM4" s="27" t="n"/>
      <c r="AN4" s="27" t="n">
        <v>7</v>
      </c>
      <c r="AO4" s="27" t="n">
        <v>6.4</v>
      </c>
      <c r="AP4" s="27" t="n">
        <v>2.8</v>
      </c>
      <c r="AQ4" s="27" t="n">
        <v>4.2</v>
      </c>
      <c r="AR4" s="27" t="n"/>
      <c r="AS4" s="27" t="n"/>
      <c r="AT4" s="27" t="n"/>
      <c r="AU4" s="27" t="n"/>
      <c r="AV4" s="27" t="n"/>
      <c r="AW4" s="27" t="n"/>
      <c r="AX4" s="27" t="n"/>
      <c r="AY4" s="27" t="n"/>
      <c r="AZ4" s="27" t="n">
        <v>37.3</v>
      </c>
      <c r="BA4" s="27" t="n">
        <v>7.2</v>
      </c>
      <c r="BB4" s="27" t="n">
        <v>15.7</v>
      </c>
      <c r="BC4" s="27" t="n">
        <v>8.5</v>
      </c>
      <c r="BD4" s="27" t="n"/>
      <c r="BE4" s="27" t="n">
        <v>20.9</v>
      </c>
      <c r="BF4" s="27" t="n"/>
      <c r="BG4" s="27" t="n"/>
      <c r="BH4" s="27" t="n"/>
      <c r="BI4" s="27" t="n"/>
      <c r="BJ4" s="27" t="n"/>
      <c r="BK4" s="23" t="inlineStr">
        <is>
          <t>TIME dotCom Berhad | KPJ Healthcare Berhad | Frontken Corporation Berhad | Vitrox Corporation Berhad | Farm Fresh Berhad</t>
        </is>
      </c>
      <c r="BL4" s="27" t="n">
        <v>9.1</v>
      </c>
      <c r="BM4" s="26" t="inlineStr">
        <is>
          <t>Moderate</t>
        </is>
      </c>
      <c r="BN4" s="23" t="inlineStr">
        <is>
          <t>Equity Malaysia Domestic</t>
        </is>
      </c>
      <c r="BO4" s="23" t="n"/>
      <c r="BP4" s="29" t="n">
        <v>0.4796</v>
      </c>
      <c r="BQ4" s="26" t="inlineStr">
        <is>
          <t>2026-03-18</t>
        </is>
      </c>
      <c r="BR4" s="29" t="n">
        <v>0.4702</v>
      </c>
      <c r="BS4" s="28" t="n">
        <v>-1.96</v>
      </c>
      <c r="BT4" s="24" t="n">
        <v>19</v>
      </c>
    </row>
    <row r="5" ht="16" customHeight="1">
      <c r="A5" s="30" t="inlineStr">
        <is>
          <t>PUBLIC ISLAMIC EMERGING OPPORTUNITIES FUND</t>
        </is>
      </c>
      <c r="B5" s="30" t="inlineStr">
        <is>
          <t>PIEMOF</t>
        </is>
      </c>
      <c r="C5" s="30" t="inlineStr">
        <is>
          <t>Shariah</t>
        </is>
      </c>
      <c r="D5" s="30" t="inlineStr">
        <is>
          <t>Equity</t>
        </is>
      </c>
      <c r="E5" s="30" t="inlineStr">
        <is>
          <t>Malaysia</t>
        </is>
      </c>
      <c r="F5" s="31" t="inlineStr">
        <is>
          <t>Capital Growth</t>
        </is>
      </c>
      <c r="G5" s="32" t="n">
        <v>5</v>
      </c>
      <c r="H5" s="31" t="inlineStr">
        <is>
          <t>Incidental</t>
        </is>
      </c>
      <c r="I5" s="33" t="n">
        <v>104.43</v>
      </c>
      <c r="J5" s="34" t="inlineStr">
        <is>
          <t>30.03.2016</t>
        </is>
      </c>
      <c r="K5" s="34" t="inlineStr">
        <is>
          <t>Qualified</t>
        </is>
      </c>
      <c r="L5" s="35" t="n">
        <v>100</v>
      </c>
      <c r="M5" s="34" t="inlineStr">
        <is>
          <t>4/4</t>
        </is>
      </c>
      <c r="N5" s="36" t="n">
        <v>8.869999999999999</v>
      </c>
      <c r="O5" s="36" t="n">
        <v>1.14</v>
      </c>
      <c r="P5" s="36" t="n">
        <v>7.73</v>
      </c>
      <c r="Q5" s="36" t="n">
        <v>19.49</v>
      </c>
      <c r="R5" s="36" t="n">
        <v>0.73</v>
      </c>
      <c r="S5" s="36" t="n">
        <v>18.76</v>
      </c>
      <c r="T5" s="36" t="n">
        <v>8.859999999999999</v>
      </c>
      <c r="U5" s="36" t="n">
        <v>1.66</v>
      </c>
      <c r="V5" s="36" t="n">
        <v>7.2</v>
      </c>
      <c r="W5" s="36" t="n">
        <v>2.76</v>
      </c>
      <c r="X5" s="36" t="n">
        <v>-1.83</v>
      </c>
      <c r="Y5" s="36" t="n">
        <v>4.59</v>
      </c>
      <c r="Z5" s="36" t="n"/>
      <c r="AA5" s="36" t="n"/>
      <c r="AB5" s="36" t="n"/>
      <c r="AC5" s="36">
        <f>IF(OR(P5="",BL5="",BL5=0),"",P5/BL5)</f>
        <v/>
      </c>
      <c r="AD5" s="36">
        <f>IF(OR(S5="",BL5="",BL5=0),"",S5/BL5)</f>
        <v/>
      </c>
      <c r="AE5" s="36">
        <f>IF(OR(V5="",BL5="",BL5=0),"",V5/BL5)</f>
        <v/>
      </c>
      <c r="AF5" s="36">
        <f>IF(OR(Y5="",BL5="",BL5=0),"",Y5/BL5)</f>
        <v/>
      </c>
      <c r="AG5" s="36">
        <f>IF(OR(AB5="",BL5="",BL5=0),"",AB5/BL5)</f>
        <v/>
      </c>
      <c r="AH5" s="35" t="n">
        <v>71.8</v>
      </c>
      <c r="AI5" s="35" t="n">
        <v>21</v>
      </c>
      <c r="AJ5" s="35" t="n"/>
      <c r="AK5" s="35" t="n">
        <v>7.2</v>
      </c>
      <c r="AL5" s="35" t="n"/>
      <c r="AM5" s="35" t="n"/>
      <c r="AN5" s="35" t="n">
        <v>7.1</v>
      </c>
      <c r="AO5" s="35" t="n">
        <v>5.7</v>
      </c>
      <c r="AP5" s="35" t="n">
        <v>3</v>
      </c>
      <c r="AQ5" s="35" t="n">
        <v>5.2</v>
      </c>
      <c r="AR5" s="35" t="n"/>
      <c r="AS5" s="35" t="n"/>
      <c r="AT5" s="35" t="n"/>
      <c r="AU5" s="35" t="n"/>
      <c r="AV5" s="35" t="n"/>
      <c r="AW5" s="35" t="n"/>
      <c r="AX5" s="35" t="n"/>
      <c r="AY5" s="35" t="n"/>
      <c r="AZ5" s="35" t="n">
        <v>35.1</v>
      </c>
      <c r="BA5" s="35" t="n"/>
      <c r="BB5" s="35" t="n">
        <v>11.6</v>
      </c>
      <c r="BC5" s="35" t="n"/>
      <c r="BD5" s="35" t="n">
        <v>5.1</v>
      </c>
      <c r="BE5" s="35" t="n">
        <v>21.7</v>
      </c>
      <c r="BF5" s="35" t="n"/>
      <c r="BG5" s="35" t="n">
        <v>7.5</v>
      </c>
      <c r="BH5" s="35" t="n"/>
      <c r="BI5" s="35" t="n"/>
      <c r="BJ5" s="35" t="n"/>
      <c r="BK5" s="31" t="inlineStr">
        <is>
          <t>Spritzer Berhad | Gas Malaysia Berhad | Malayan Cement Berhad | Kinik Company | Shibaura Mechatronics Corporation</t>
        </is>
      </c>
      <c r="BL5" s="35" t="n">
        <v>8.5</v>
      </c>
      <c r="BM5" s="34" t="inlineStr">
        <is>
          <t>Moderate</t>
        </is>
      </c>
      <c r="BN5" s="31" t="inlineStr">
        <is>
          <t>Equity Malaysia Domestic</t>
        </is>
      </c>
      <c r="BO5" s="31" t="n"/>
      <c r="BP5" s="37" t="n">
        <v>0.3976</v>
      </c>
      <c r="BQ5" s="34" t="inlineStr">
        <is>
          <t>2026-02-26</t>
        </is>
      </c>
      <c r="BR5" s="37" t="n">
        <v>0.3703</v>
      </c>
      <c r="BS5" s="36" t="n">
        <v>-6.87</v>
      </c>
      <c r="BT5" s="32" t="n">
        <v>39</v>
      </c>
    </row>
    <row r="6" ht="16" customHeight="1">
      <c r="A6" s="22" t="inlineStr">
        <is>
          <t>PUBLIC ASIA ITTIKAL FUND</t>
        </is>
      </c>
      <c r="B6" s="22" t="inlineStr">
        <is>
          <t>PAIF</t>
        </is>
      </c>
      <c r="C6" s="22" t="inlineStr">
        <is>
          <t>Shariah</t>
        </is>
      </c>
      <c r="D6" s="22" t="inlineStr">
        <is>
          <t>Equity</t>
        </is>
      </c>
      <c r="E6" s="22" t="inlineStr">
        <is>
          <t>Malaysia</t>
        </is>
      </c>
      <c r="F6" s="23" t="inlineStr">
        <is>
          <t>Capital Growth</t>
        </is>
      </c>
      <c r="G6" s="24" t="n">
        <v>5</v>
      </c>
      <c r="H6" s="23" t="inlineStr">
        <is>
          <t>Incidental</t>
        </is>
      </c>
      <c r="I6" s="25" t="n">
        <v>5179.3</v>
      </c>
      <c r="J6" s="26" t="inlineStr">
        <is>
          <t>22.08.2006</t>
        </is>
      </c>
      <c r="K6" s="26" t="inlineStr">
        <is>
          <t>Qualified</t>
        </is>
      </c>
      <c r="L6" s="27" t="n">
        <v>100</v>
      </c>
      <c r="M6" s="26" t="inlineStr">
        <is>
          <t>5/5</t>
        </is>
      </c>
      <c r="N6" s="28" t="n">
        <v>24.96</v>
      </c>
      <c r="O6" s="28" t="n">
        <v>16.63</v>
      </c>
      <c r="P6" s="28" t="n">
        <v>8.33</v>
      </c>
      <c r="Q6" s="28" t="n">
        <v>55.72</v>
      </c>
      <c r="R6" s="28" t="n">
        <v>32.88</v>
      </c>
      <c r="S6" s="28" t="n">
        <v>22.84</v>
      </c>
      <c r="T6" s="28" t="n">
        <v>22.06</v>
      </c>
      <c r="U6" s="28" t="n">
        <v>14.92</v>
      </c>
      <c r="V6" s="28" t="n">
        <v>7.14</v>
      </c>
      <c r="W6" s="28" t="n">
        <v>5.12</v>
      </c>
      <c r="X6" s="28" t="n">
        <v>2.91</v>
      </c>
      <c r="Y6" s="28" t="n">
        <v>2.21</v>
      </c>
      <c r="Z6" s="28" t="n">
        <v>9.82</v>
      </c>
      <c r="AA6" s="28" t="n">
        <v>7.79</v>
      </c>
      <c r="AB6" s="28" t="n">
        <v>2.03</v>
      </c>
      <c r="AC6" s="28">
        <f>IF(OR(P6="",BL6="",BL6=0),"",P6/BL6)</f>
        <v/>
      </c>
      <c r="AD6" s="28">
        <f>IF(OR(S6="",BL6="",BL6=0),"",S6/BL6)</f>
        <v/>
      </c>
      <c r="AE6" s="28">
        <f>IF(OR(V6="",BL6="",BL6=0),"",V6/BL6)</f>
        <v/>
      </c>
      <c r="AF6" s="28">
        <f>IF(OR(Y6="",BL6="",BL6=0),"",Y6/BL6)</f>
        <v/>
      </c>
      <c r="AG6" s="28">
        <f>IF(OR(AB6="",BL6="",BL6=0),"",AB6/BL6)</f>
        <v/>
      </c>
      <c r="AH6" s="27" t="n"/>
      <c r="AI6" s="27" t="n">
        <v>94.59999999999999</v>
      </c>
      <c r="AJ6" s="27" t="n"/>
      <c r="AK6" s="27" t="n">
        <v>5.4</v>
      </c>
      <c r="AL6" s="27" t="n"/>
      <c r="AM6" s="27" t="n"/>
      <c r="AN6" s="27" t="n">
        <v>3.4</v>
      </c>
      <c r="AO6" s="27" t="n">
        <v>30.6</v>
      </c>
      <c r="AP6" s="27" t="n">
        <v>41.4</v>
      </c>
      <c r="AQ6" s="27" t="n">
        <v>11.4</v>
      </c>
      <c r="AR6" s="27" t="n"/>
      <c r="AS6" s="27" t="n"/>
      <c r="AT6" s="27" t="n">
        <v>7.8</v>
      </c>
      <c r="AU6" s="27" t="n"/>
      <c r="AV6" s="27" t="n"/>
      <c r="AW6" s="27" t="n"/>
      <c r="AX6" s="27" t="n"/>
      <c r="AY6" s="27" t="n"/>
      <c r="AZ6" s="27" t="n">
        <v>26.8</v>
      </c>
      <c r="BA6" s="27" t="n">
        <v>54.7</v>
      </c>
      <c r="BB6" s="27" t="n"/>
      <c r="BC6" s="27" t="n">
        <v>13.1</v>
      </c>
      <c r="BD6" s="27" t="n"/>
      <c r="BE6" s="27" t="n"/>
      <c r="BF6" s="27" t="n"/>
      <c r="BG6" s="27" t="n"/>
      <c r="BH6" s="27" t="n"/>
      <c r="BI6" s="27" t="n"/>
      <c r="BJ6" s="27" t="n"/>
      <c r="BK6" s="23" t="inlineStr">
        <is>
          <t>Samsung Electronics Company Limited | SK Hynix Incorporated | Taiwan Semiconductor Manufacturing Company Limited | HD Hyundai Electric Company Limited | Delta Electronics Incorporated</t>
        </is>
      </c>
      <c r="BL6" s="27" t="n">
        <v>19.5</v>
      </c>
      <c r="BM6" s="26" t="inlineStr">
        <is>
          <t>Very High</t>
        </is>
      </c>
      <c r="BN6" s="23" t="inlineStr">
        <is>
          <t>Equity Asia Pacific Asia</t>
        </is>
      </c>
      <c r="BO6" s="23"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P6" s="29" t="n">
        <v>0.6503</v>
      </c>
      <c r="BQ6" s="26" t="inlineStr">
        <is>
          <t>2026-02-26</t>
        </is>
      </c>
      <c r="BR6" s="29" t="n">
        <v>0.5851</v>
      </c>
      <c r="BS6" s="28" t="n">
        <v>-10.03</v>
      </c>
      <c r="BT6" s="24" t="n">
        <v>39</v>
      </c>
    </row>
    <row r="7" ht="16" customHeight="1">
      <c r="A7" s="34" t="inlineStr">
        <is>
          <t>PUBLIC SMALLCAP FUND</t>
        </is>
      </c>
      <c r="B7" s="34" t="inlineStr">
        <is>
          <t>P SmallCap</t>
        </is>
      </c>
      <c r="C7" s="34" t="inlineStr">
        <is>
          <t>Conventional</t>
        </is>
      </c>
      <c r="D7" s="34" t="inlineStr">
        <is>
          <t>Equity</t>
        </is>
      </c>
      <c r="E7" s="34" t="inlineStr">
        <is>
          <t>Malaysia</t>
        </is>
      </c>
      <c r="F7" s="31" t="inlineStr">
        <is>
          <t>Capital Growth</t>
        </is>
      </c>
      <c r="G7" s="32" t="n">
        <v>5</v>
      </c>
      <c r="H7" s="31" t="inlineStr">
        <is>
          <t>Incidental</t>
        </is>
      </c>
      <c r="I7" s="33" t="n">
        <v>1448.19</v>
      </c>
      <c r="J7" s="34" t="inlineStr">
        <is>
          <t>13.06.2000</t>
        </is>
      </c>
      <c r="K7" s="34" t="inlineStr">
        <is>
          <t>Qualified</t>
        </is>
      </c>
      <c r="L7" s="35" t="n">
        <v>100</v>
      </c>
      <c r="M7" s="34" t="inlineStr">
        <is>
          <t>5/5</t>
        </is>
      </c>
      <c r="N7" s="36" t="n">
        <v>3.52</v>
      </c>
      <c r="O7" s="36" t="n">
        <v>-0.06</v>
      </c>
      <c r="P7" s="36" t="n">
        <v>3.58</v>
      </c>
      <c r="Q7" s="36" t="n">
        <v>16.01</v>
      </c>
      <c r="R7" s="36" t="n">
        <v>-0.97</v>
      </c>
      <c r="S7" s="36" t="n">
        <v>16.98</v>
      </c>
      <c r="T7" s="36" t="n">
        <v>7.49</v>
      </c>
      <c r="U7" s="36" t="n">
        <v>0.7</v>
      </c>
      <c r="V7" s="36" t="n">
        <v>6.79</v>
      </c>
      <c r="W7" s="36" t="n">
        <v>4.37</v>
      </c>
      <c r="X7" s="36" t="n">
        <v>-0.76</v>
      </c>
      <c r="Y7" s="36" t="n">
        <v>5.13</v>
      </c>
      <c r="Z7" s="36" t="n">
        <v>5.68</v>
      </c>
      <c r="AA7" s="36" t="n">
        <v>0.42</v>
      </c>
      <c r="AB7" s="36" t="n">
        <v>5.26</v>
      </c>
      <c r="AC7" s="36">
        <f>IF(OR(P7="",BL7="",BL7=0),"",P7/BL7)</f>
        <v/>
      </c>
      <c r="AD7" s="36">
        <f>IF(OR(S7="",BL7="",BL7=0),"",S7/BL7)</f>
        <v/>
      </c>
      <c r="AE7" s="36">
        <f>IF(OR(V7="",BL7="",BL7=0),"",V7/BL7)</f>
        <v/>
      </c>
      <c r="AF7" s="36">
        <f>IF(OR(Y7="",BL7="",BL7=0),"",Y7/BL7)</f>
        <v/>
      </c>
      <c r="AG7" s="36">
        <f>IF(OR(AB7="",BL7="",BL7=0),"",AB7/BL7)</f>
        <v/>
      </c>
      <c r="AH7" s="35" t="n">
        <v>76.7</v>
      </c>
      <c r="AI7" s="35" t="n">
        <v>17.1</v>
      </c>
      <c r="AJ7" s="35" t="n"/>
      <c r="AK7" s="35" t="n">
        <v>6.2</v>
      </c>
      <c r="AL7" s="35" t="n"/>
      <c r="AM7" s="35" t="n"/>
      <c r="AN7" s="35" t="n">
        <v>13</v>
      </c>
      <c r="AO7" s="35" t="n"/>
      <c r="AP7" s="35" t="n"/>
      <c r="AQ7" s="35" t="n">
        <v>4.1</v>
      </c>
      <c r="AR7" s="35" t="n"/>
      <c r="AS7" s="35" t="n"/>
      <c r="AT7" s="35" t="n"/>
      <c r="AU7" s="35" t="n"/>
      <c r="AV7" s="35" t="n"/>
      <c r="AW7" s="35" t="n"/>
      <c r="AX7" s="35" t="n"/>
      <c r="AY7" s="35" t="n"/>
      <c r="AZ7" s="35" t="n">
        <v>23.4</v>
      </c>
      <c r="BA7" s="35" t="n"/>
      <c r="BB7" s="35" t="n">
        <v>34.3</v>
      </c>
      <c r="BC7" s="35" t="n">
        <v>19.5</v>
      </c>
      <c r="BD7" s="35" t="n"/>
      <c r="BE7" s="35" t="n">
        <v>7</v>
      </c>
      <c r="BF7" s="35" t="n"/>
      <c r="BG7" s="35" t="n"/>
      <c r="BH7" s="35" t="n"/>
      <c r="BI7" s="35" t="n"/>
      <c r="BJ7" s="35" t="n">
        <v>5.7</v>
      </c>
      <c r="BK7" s="31" t="inlineStr">
        <is>
          <t>TIME dotCom Berhad | IGB Real Estate Investment Trust | Hong Leong Industries Berhad | Malaysian Pacific Industries Berhad | IGB Berhad</t>
        </is>
      </c>
      <c r="BL7" s="35" t="n">
        <v>7.8</v>
      </c>
      <c r="BM7" s="34" t="inlineStr">
        <is>
          <t>Moderate</t>
        </is>
      </c>
      <c r="BN7" s="31" t="inlineStr">
        <is>
          <t>Equity Malaysia Domestic 30% of the fund’s NAV</t>
        </is>
      </c>
      <c r="BO7" s="31" t="n"/>
      <c r="BP7" s="37" t="n">
        <v>1.1524</v>
      </c>
      <c r="BQ7" s="34" t="inlineStr">
        <is>
          <t>2026-01-23</t>
        </is>
      </c>
      <c r="BR7" s="37" t="n">
        <v>1.0475</v>
      </c>
      <c r="BS7" s="36" t="n">
        <v>-9.1</v>
      </c>
      <c r="BT7" s="32" t="n">
        <v>73</v>
      </c>
    </row>
    <row r="8" ht="16" customHeight="1">
      <c r="A8" s="26" t="inlineStr">
        <is>
          <t>PUBLIC REGIONAL SECTOR FUND</t>
        </is>
      </c>
      <c r="B8" s="26" t="inlineStr">
        <is>
          <t>PRSEC</t>
        </is>
      </c>
      <c r="C8" s="26" t="inlineStr">
        <is>
          <t>Conventional</t>
        </is>
      </c>
      <c r="D8" s="26" t="inlineStr">
        <is>
          <t>Equity</t>
        </is>
      </c>
      <c r="E8" s="26" t="inlineStr">
        <is>
          <t>Malaysia</t>
        </is>
      </c>
      <c r="F8" s="23" t="inlineStr">
        <is>
          <t>Capital Growth</t>
        </is>
      </c>
      <c r="G8" s="24" t="n">
        <v>5</v>
      </c>
      <c r="H8" s="23" t="inlineStr">
        <is>
          <t>Incidental</t>
        </is>
      </c>
      <c r="I8" s="25" t="n">
        <v>571.04</v>
      </c>
      <c r="J8" s="26" t="inlineStr">
        <is>
          <t>21.03.2006</t>
        </is>
      </c>
      <c r="K8" s="26" t="inlineStr">
        <is>
          <t>Qualified</t>
        </is>
      </c>
      <c r="L8" s="27" t="n">
        <v>100</v>
      </c>
      <c r="M8" s="26" t="inlineStr">
        <is>
          <t>5/5</t>
        </is>
      </c>
      <c r="N8" s="28" t="n">
        <v>19.9</v>
      </c>
      <c r="O8" s="28" t="n">
        <v>10.69</v>
      </c>
      <c r="P8" s="28" t="n">
        <v>9.210000000000001</v>
      </c>
      <c r="Q8" s="28" t="n">
        <v>39.14</v>
      </c>
      <c r="R8" s="28" t="n">
        <v>26.12</v>
      </c>
      <c r="S8" s="28" t="n">
        <v>13.02</v>
      </c>
      <c r="T8" s="28" t="n">
        <v>20.85</v>
      </c>
      <c r="U8" s="28" t="n">
        <v>14.17</v>
      </c>
      <c r="V8" s="28" t="n">
        <v>6.68</v>
      </c>
      <c r="W8" s="28" t="n">
        <v>4.71</v>
      </c>
      <c r="X8" s="28" t="n">
        <v>2.39</v>
      </c>
      <c r="Y8" s="28" t="n">
        <v>2.32</v>
      </c>
      <c r="Z8" s="28" t="n">
        <v>8.529999999999999</v>
      </c>
      <c r="AA8" s="28" t="n">
        <v>7.39</v>
      </c>
      <c r="AB8" s="28" t="n">
        <v>1.14</v>
      </c>
      <c r="AC8" s="28">
        <f>IF(OR(P8="",BL8="",BL8=0),"",P8/BL8)</f>
        <v/>
      </c>
      <c r="AD8" s="28">
        <f>IF(OR(S8="",BL8="",BL8=0),"",S8/BL8)</f>
        <v/>
      </c>
      <c r="AE8" s="28">
        <f>IF(OR(V8="",BL8="",BL8=0),"",V8/BL8)</f>
        <v/>
      </c>
      <c r="AF8" s="28">
        <f>IF(OR(Y8="",BL8="",BL8=0),"",Y8/BL8)</f>
        <v/>
      </c>
      <c r="AG8" s="28">
        <f>IF(OR(AB8="",BL8="",BL8=0),"",AB8/BL8)</f>
        <v/>
      </c>
      <c r="AH8" s="27" t="n">
        <v>1</v>
      </c>
      <c r="AI8" s="27" t="n">
        <v>93.2</v>
      </c>
      <c r="AJ8" s="27" t="n"/>
      <c r="AK8" s="27" t="n">
        <v>5.8</v>
      </c>
      <c r="AL8" s="27" t="n"/>
      <c r="AM8" s="27" t="n"/>
      <c r="AN8" s="27" t="n"/>
      <c r="AO8" s="27" t="n">
        <v>30.2</v>
      </c>
      <c r="AP8" s="27" t="n">
        <v>36.2</v>
      </c>
      <c r="AQ8" s="27" t="n">
        <v>9.800000000000001</v>
      </c>
      <c r="AR8" s="27" t="n"/>
      <c r="AS8" s="27" t="n"/>
      <c r="AT8" s="27" t="n">
        <v>10.4</v>
      </c>
      <c r="AU8" s="27" t="n">
        <v>3.3</v>
      </c>
      <c r="AV8" s="27" t="n"/>
      <c r="AW8" s="27" t="n"/>
      <c r="AX8" s="27" t="n"/>
      <c r="AY8" s="27" t="n"/>
      <c r="AZ8" s="27" t="n">
        <v>20.2</v>
      </c>
      <c r="BA8" s="27" t="n">
        <v>51.2</v>
      </c>
      <c r="BB8" s="27" t="n">
        <v>8.699999999999999</v>
      </c>
      <c r="BC8" s="27" t="n">
        <v>14.1</v>
      </c>
      <c r="BD8" s="27" t="n"/>
      <c r="BE8" s="27" t="n"/>
      <c r="BF8" s="27" t="n"/>
      <c r="BG8" s="27" t="n"/>
      <c r="BH8" s="27" t="n"/>
      <c r="BI8" s="27" t="n"/>
      <c r="BJ8" s="27" t="n"/>
      <c r="BK8" s="23" t="inlineStr">
        <is>
          <t>Samsung Electronics Company Limited | Taiwan Semiconductor Manufacturing Company Limited | SK Hynix Incorporated | HD Hyundai Electric Company Limited | Tencent Holdings Limited</t>
        </is>
      </c>
      <c r="BL8" s="27" t="n">
        <v>17</v>
      </c>
      <c r="BM8" s="26" t="inlineStr">
        <is>
          <t>Very High</t>
        </is>
      </c>
      <c r="BN8" s="23" t="inlineStr">
        <is>
          <t>Equity Asia Pacific Asia</t>
        </is>
      </c>
      <c r="BO8" s="23" t="n"/>
      <c r="BP8" s="29" t="n">
        <v>0.3772</v>
      </c>
      <c r="BQ8" s="26" t="inlineStr">
        <is>
          <t>2026-02-26</t>
        </is>
      </c>
      <c r="BR8" s="29" t="n">
        <v>0.3445</v>
      </c>
      <c r="BS8" s="28" t="n">
        <v>-8.67</v>
      </c>
      <c r="BT8" s="24" t="n">
        <v>39</v>
      </c>
    </row>
    <row r="9" ht="16" customHeight="1">
      <c r="A9" s="34" t="inlineStr">
        <is>
          <t>PUBLIC ASIA PACIFIC FOCUS FUND</t>
        </is>
      </c>
      <c r="B9" s="34" t="inlineStr">
        <is>
          <t>PAPFF</t>
        </is>
      </c>
      <c r="C9" s="34" t="inlineStr">
        <is>
          <t>Conventional</t>
        </is>
      </c>
      <c r="D9" s="34" t="inlineStr">
        <is>
          <t>Equity</t>
        </is>
      </c>
      <c r="E9" s="34" t="inlineStr">
        <is>
          <t>Asia Pacific</t>
        </is>
      </c>
      <c r="F9" s="31" t="inlineStr">
        <is>
          <t>Capital Growth</t>
        </is>
      </c>
      <c r="G9" s="32" t="n">
        <v>5</v>
      </c>
      <c r="H9" s="31" t="inlineStr">
        <is>
          <t>Incidental</t>
        </is>
      </c>
      <c r="I9" s="33" t="n">
        <v>120.99</v>
      </c>
      <c r="J9" s="34" t="inlineStr">
        <is>
          <t>30.11.2021</t>
        </is>
      </c>
      <c r="K9" s="34" t="inlineStr">
        <is>
          <t>Qualified</t>
        </is>
      </c>
      <c r="L9" s="35" t="n">
        <v>100</v>
      </c>
      <c r="M9" s="34" t="inlineStr">
        <is>
          <t>3/3</t>
        </is>
      </c>
      <c r="N9" s="36" t="n">
        <v>19.16</v>
      </c>
      <c r="O9" s="36" t="n">
        <v>9.35</v>
      </c>
      <c r="P9" s="36" t="n">
        <v>9.81</v>
      </c>
      <c r="Q9" s="36" t="n">
        <v>43.85</v>
      </c>
      <c r="R9" s="36" t="n">
        <v>24.76</v>
      </c>
      <c r="S9" s="36" t="n">
        <v>19.09</v>
      </c>
      <c r="T9" s="36" t="n">
        <v>22.92</v>
      </c>
      <c r="U9" s="36" t="n">
        <v>16.43</v>
      </c>
      <c r="V9" s="36" t="n">
        <v>6.49</v>
      </c>
      <c r="W9" s="36" t="n"/>
      <c r="X9" s="36" t="n"/>
      <c r="Y9" s="36" t="n"/>
      <c r="Z9" s="36" t="n"/>
      <c r="AA9" s="36" t="n"/>
      <c r="AB9" s="36" t="n"/>
      <c r="AC9" s="36">
        <f>IF(OR(P9="",BL9="",BL9=0),"",P9/BL9)</f>
        <v/>
      </c>
      <c r="AD9" s="36">
        <f>IF(OR(S9="",BL9="",BL9=0),"",S9/BL9)</f>
        <v/>
      </c>
      <c r="AE9" s="36">
        <f>IF(OR(V9="",BL9="",BL9=0),"",V9/BL9)</f>
        <v/>
      </c>
      <c r="AF9" s="36">
        <f>IF(OR(Y9="",BL9="",BL9=0),"",Y9/BL9)</f>
        <v/>
      </c>
      <c r="AG9" s="36">
        <f>IF(OR(AB9="",BL9="",BL9=0),"",AB9/BL9)</f>
        <v/>
      </c>
      <c r="AH9" s="35" t="n">
        <v>1</v>
      </c>
      <c r="AI9" s="35" t="n">
        <v>93.5</v>
      </c>
      <c r="AJ9" s="35" t="n"/>
      <c r="AK9" s="35" t="n">
        <v>5.5</v>
      </c>
      <c r="AL9" s="35" t="n"/>
      <c r="AM9" s="35" t="n"/>
      <c r="AN9" s="35" t="n">
        <v>9.4</v>
      </c>
      <c r="AO9" s="35" t="n">
        <v>26.8</v>
      </c>
      <c r="AP9" s="35" t="n">
        <v>39.9</v>
      </c>
      <c r="AQ9" s="35" t="n">
        <v>8.699999999999999</v>
      </c>
      <c r="AR9" s="35" t="n"/>
      <c r="AS9" s="35" t="n"/>
      <c r="AT9" s="35" t="n">
        <v>8.699999999999999</v>
      </c>
      <c r="AU9" s="35" t="n"/>
      <c r="AV9" s="35" t="n"/>
      <c r="AW9" s="35" t="n"/>
      <c r="AX9" s="35" t="n"/>
      <c r="AY9" s="35" t="n"/>
      <c r="AZ9" s="35" t="n">
        <v>23</v>
      </c>
      <c r="BA9" s="35" t="n">
        <v>54.3</v>
      </c>
      <c r="BB9" s="35" t="n">
        <v>2.2</v>
      </c>
      <c r="BC9" s="35" t="n">
        <v>15</v>
      </c>
      <c r="BD9" s="35" t="n"/>
      <c r="BE9" s="35" t="n"/>
      <c r="BF9" s="35" t="n"/>
      <c r="BG9" s="35" t="n"/>
      <c r="BH9" s="35" t="n"/>
      <c r="BI9" s="35" t="n"/>
      <c r="BJ9" s="35" t="n"/>
      <c r="BK9" s="31" t="inlineStr">
        <is>
          <t>Samsung Electronics Company Limited | SK Hynix Incorporated | Taiwan Semiconductor Manufacturing Company Limited | HD Hyundai Electric Company Limited | Alibaba Group Holding Limited - W</t>
        </is>
      </c>
      <c r="BL9" s="35" t="n">
        <v>18.5</v>
      </c>
      <c r="BM9" s="34" t="inlineStr">
        <is>
          <t>Very High</t>
        </is>
      </c>
      <c r="BN9" s="31" t="inlineStr">
        <is>
          <t>Equity Asia Pacific Asia</t>
        </is>
      </c>
      <c r="BO9" s="31"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P9" s="37" t="n">
        <v>0.3651</v>
      </c>
      <c r="BQ9" s="34" t="inlineStr">
        <is>
          <t>2026-02-26</t>
        </is>
      </c>
      <c r="BR9" s="37" t="n">
        <v>0.3276</v>
      </c>
      <c r="BS9" s="36" t="n">
        <v>-10.27</v>
      </c>
      <c r="BT9" s="32" t="n">
        <v>39</v>
      </c>
    </row>
    <row r="10" ht="16" customHeight="1">
      <c r="A10" s="26" t="inlineStr">
        <is>
          <t>PUBLIC STRATEGIC SMALLCAP FUND</t>
        </is>
      </c>
      <c r="B10" s="26" t="inlineStr">
        <is>
          <t>PSSCF</t>
        </is>
      </c>
      <c r="C10" s="26" t="inlineStr">
        <is>
          <t>Conventional</t>
        </is>
      </c>
      <c r="D10" s="26" t="inlineStr">
        <is>
          <t>Equity</t>
        </is>
      </c>
      <c r="E10" s="26" t="inlineStr">
        <is>
          <t>Malaysia</t>
        </is>
      </c>
      <c r="F10" s="23" t="inlineStr">
        <is>
          <t>Capital Growth</t>
        </is>
      </c>
      <c r="G10" s="24" t="n">
        <v>5</v>
      </c>
      <c r="H10" s="23" t="inlineStr">
        <is>
          <t>Incidental</t>
        </is>
      </c>
      <c r="I10" s="25" t="n">
        <v>455.28</v>
      </c>
      <c r="J10" s="26" t="inlineStr">
        <is>
          <t>20.03.2012</t>
        </is>
      </c>
      <c r="K10" s="26" t="inlineStr">
        <is>
          <t>Qualified</t>
        </is>
      </c>
      <c r="L10" s="27" t="n">
        <v>100</v>
      </c>
      <c r="M10" s="26" t="inlineStr">
        <is>
          <t>5/5</t>
        </is>
      </c>
      <c r="N10" s="28" t="n">
        <v>0.59</v>
      </c>
      <c r="O10" s="28" t="n">
        <v>-0.06</v>
      </c>
      <c r="P10" s="28" t="n">
        <v>0.65</v>
      </c>
      <c r="Q10" s="28" t="n">
        <v>15.84</v>
      </c>
      <c r="R10" s="28" t="n">
        <v>-0.97</v>
      </c>
      <c r="S10" s="28" t="n">
        <v>16.81</v>
      </c>
      <c r="T10" s="28" t="n">
        <v>6.7</v>
      </c>
      <c r="U10" s="28" t="n">
        <v>0.7</v>
      </c>
      <c r="V10" s="28" t="n">
        <v>6</v>
      </c>
      <c r="W10" s="28" t="n">
        <v>2.02</v>
      </c>
      <c r="X10" s="28" t="n">
        <v>-0.76</v>
      </c>
      <c r="Y10" s="28" t="n">
        <v>2.78</v>
      </c>
      <c r="Z10" s="28" t="n">
        <v>4.05</v>
      </c>
      <c r="AA10" s="28" t="n">
        <v>0.42</v>
      </c>
      <c r="AB10" s="28" t="n">
        <v>3.63</v>
      </c>
      <c r="AC10" s="28">
        <f>IF(OR(P10="",BL10="",BL10=0),"",P10/BL10)</f>
        <v/>
      </c>
      <c r="AD10" s="28">
        <f>IF(OR(S10="",BL10="",BL10=0),"",S10/BL10)</f>
        <v/>
      </c>
      <c r="AE10" s="28">
        <f>IF(OR(V10="",BL10="",BL10=0),"",V10/BL10)</f>
        <v/>
      </c>
      <c r="AF10" s="28">
        <f>IF(OR(Y10="",BL10="",BL10=0),"",Y10/BL10)</f>
        <v/>
      </c>
      <c r="AG10" s="28">
        <f>IF(OR(AB10="",BL10="",BL10=0),"",AB10/BL10)</f>
        <v/>
      </c>
      <c r="AH10" s="27" t="n">
        <v>76.7</v>
      </c>
      <c r="AI10" s="27" t="n">
        <v>18.4</v>
      </c>
      <c r="AJ10" s="27" t="n"/>
      <c r="AK10" s="27" t="n">
        <v>4.9</v>
      </c>
      <c r="AL10" s="27" t="n"/>
      <c r="AM10" s="27" t="n"/>
      <c r="AN10" s="27" t="n">
        <v>14.1</v>
      </c>
      <c r="AO10" s="27" t="n"/>
      <c r="AP10" s="27" t="n"/>
      <c r="AQ10" s="27" t="n">
        <v>4.3</v>
      </c>
      <c r="AR10" s="27" t="n"/>
      <c r="AS10" s="27" t="n"/>
      <c r="AT10" s="27" t="n"/>
      <c r="AU10" s="27" t="n"/>
      <c r="AV10" s="27" t="n"/>
      <c r="AW10" s="27" t="n"/>
      <c r="AX10" s="27" t="n"/>
      <c r="AY10" s="27" t="n"/>
      <c r="AZ10" s="27" t="n">
        <v>39.3</v>
      </c>
      <c r="BA10" s="27" t="n"/>
      <c r="BB10" s="27" t="n">
        <v>14.3</v>
      </c>
      <c r="BC10" s="27" t="n">
        <v>14.5</v>
      </c>
      <c r="BD10" s="27" t="n"/>
      <c r="BE10" s="27" t="n">
        <v>14.5</v>
      </c>
      <c r="BF10" s="27" t="n"/>
      <c r="BG10" s="27" t="n"/>
      <c r="BH10" s="27" t="n"/>
      <c r="BI10" s="27" t="n"/>
      <c r="BJ10" s="27" t="n">
        <v>5.4</v>
      </c>
      <c r="BK10" s="23" t="inlineStr">
        <is>
          <t>Spritzer Berhad | Kelington Group Berhad | Meta Platforms Incorporated | Malaysian Pacific Industries Berhad | Alphabet Incorporated - Class A</t>
        </is>
      </c>
      <c r="BL10" s="27" t="n">
        <v>11.5</v>
      </c>
      <c r="BM10" s="26" t="inlineStr">
        <is>
          <t>High</t>
        </is>
      </c>
      <c r="BN10" s="23" t="inlineStr">
        <is>
          <t>Equity Malaysia Domestic 30% of the fund’s NAV</t>
        </is>
      </c>
      <c r="BO10" s="23" t="inlineStr">
        <is>
          <t>Index data are sourced from Lipper.</t>
        </is>
      </c>
      <c r="BP10" s="29" t="n">
        <v>0.4893</v>
      </c>
      <c r="BQ10" s="26" t="inlineStr">
        <is>
          <t>2024-05-23</t>
        </is>
      </c>
      <c r="BR10" s="29" t="n">
        <v>0.4036</v>
      </c>
      <c r="BS10" s="28" t="n">
        <v>-17.51</v>
      </c>
      <c r="BT10" s="24" t="n">
        <v>683</v>
      </c>
    </row>
    <row r="11" ht="16" customHeight="1">
      <c r="A11" s="30" t="inlineStr">
        <is>
          <t>PUBLIC ISLAMIC ASIA DIVIDEND FUND</t>
        </is>
      </c>
      <c r="B11" s="30" t="inlineStr">
        <is>
          <t>PIADF</t>
        </is>
      </c>
      <c r="C11" s="30" t="inlineStr">
        <is>
          <t>Shariah</t>
        </is>
      </c>
      <c r="D11" s="30" t="inlineStr">
        <is>
          <t>Equity</t>
        </is>
      </c>
      <c r="E11" s="30" t="inlineStr">
        <is>
          <t>Asia</t>
        </is>
      </c>
      <c r="F11" s="31" t="inlineStr">
        <is>
          <t>Income</t>
        </is>
      </c>
      <c r="G11" s="32" t="n">
        <v>5</v>
      </c>
      <c r="H11" s="31" t="inlineStr">
        <is>
          <t>Annual</t>
        </is>
      </c>
      <c r="I11" s="33" t="n">
        <v>1686.97</v>
      </c>
      <c r="J11" s="34" t="inlineStr">
        <is>
          <t>03.04.2007</t>
        </is>
      </c>
      <c r="K11" s="34" t="inlineStr">
        <is>
          <t>Qualified</t>
        </is>
      </c>
      <c r="L11" s="35" t="n">
        <v>100</v>
      </c>
      <c r="M11" s="34" t="inlineStr">
        <is>
          <t>5/5</t>
        </is>
      </c>
      <c r="N11" s="36" t="n">
        <v>17.79</v>
      </c>
      <c r="O11" s="36" t="n">
        <v>14.96</v>
      </c>
      <c r="P11" s="36" t="n">
        <v>2.83</v>
      </c>
      <c r="Q11" s="36" t="n">
        <v>34.98</v>
      </c>
      <c r="R11" s="36" t="n">
        <v>30.36</v>
      </c>
      <c r="S11" s="36" t="n">
        <v>4.62</v>
      </c>
      <c r="T11" s="36" t="n">
        <v>18.53</v>
      </c>
      <c r="U11" s="36" t="n">
        <v>13.61</v>
      </c>
      <c r="V11" s="36" t="n">
        <v>4.92</v>
      </c>
      <c r="W11" s="36" t="n">
        <v>3.33</v>
      </c>
      <c r="X11" s="36" t="n">
        <v>2.84</v>
      </c>
      <c r="Y11" s="36" t="n">
        <v>0.49</v>
      </c>
      <c r="Z11" s="36" t="n">
        <v>8.41</v>
      </c>
      <c r="AA11" s="36" t="n">
        <v>6.94</v>
      </c>
      <c r="AB11" s="36" t="n">
        <v>1.47</v>
      </c>
      <c r="AC11" s="36">
        <f>IF(OR(P11="",BL11="",BL11=0),"",P11/BL11)</f>
        <v/>
      </c>
      <c r="AD11" s="36">
        <f>IF(OR(S11="",BL11="",BL11=0),"",S11/BL11)</f>
        <v/>
      </c>
      <c r="AE11" s="36">
        <f>IF(OR(V11="",BL11="",BL11=0),"",V11/BL11)</f>
        <v/>
      </c>
      <c r="AF11" s="36">
        <f>IF(OR(Y11="",BL11="",BL11=0),"",Y11/BL11)</f>
        <v/>
      </c>
      <c r="AG11" s="36">
        <f>IF(OR(AB11="",BL11="",BL11=0),"",AB11/BL11)</f>
        <v/>
      </c>
      <c r="AH11" s="35" t="n">
        <v>1.8</v>
      </c>
      <c r="AI11" s="35" t="n">
        <v>84.59999999999999</v>
      </c>
      <c r="AJ11" s="35" t="n"/>
      <c r="AK11" s="35" t="n">
        <v>13.6</v>
      </c>
      <c r="AL11" s="35" t="n"/>
      <c r="AM11" s="35" t="n"/>
      <c r="AN11" s="35" t="n">
        <v>4</v>
      </c>
      <c r="AO11" s="35" t="n">
        <v>20.4</v>
      </c>
      <c r="AP11" s="35" t="n">
        <v>39.7</v>
      </c>
      <c r="AQ11" s="35" t="n"/>
      <c r="AR11" s="35" t="n"/>
      <c r="AS11" s="35" t="n"/>
      <c r="AT11" s="35" t="n">
        <v>12.1</v>
      </c>
      <c r="AU11" s="35" t="n"/>
      <c r="AV11" s="35" t="n"/>
      <c r="AW11" s="35" t="n"/>
      <c r="AX11" s="35" t="n">
        <v>3.6</v>
      </c>
      <c r="AY11" s="35" t="n"/>
      <c r="AZ11" s="35" t="n">
        <v>20.2</v>
      </c>
      <c r="BA11" s="35" t="n">
        <v>36.9</v>
      </c>
      <c r="BB11" s="35" t="n"/>
      <c r="BC11" s="35" t="n">
        <v>25.1</v>
      </c>
      <c r="BD11" s="35" t="n"/>
      <c r="BE11" s="35" t="n">
        <v>1.5</v>
      </c>
      <c r="BF11" s="35" t="n"/>
      <c r="BG11" s="35" t="n"/>
      <c r="BH11" s="35" t="n">
        <v>1.8</v>
      </c>
      <c r="BI11" s="35" t="n"/>
      <c r="BJ11" s="35" t="n"/>
      <c r="BK11" s="31" t="inlineStr">
        <is>
          <t>Samsung Electronics Company Limited | SK Hynix Incorporated | Taiwan Semiconductor Manufacturing Company Limited | Alibaba Group Holding Limited - W | Hanwha Aerospace Company Limited</t>
        </is>
      </c>
      <c r="BL11" s="35" t="n">
        <v>14.9</v>
      </c>
      <c r="BM11" s="34" t="inlineStr">
        <is>
          <t>Very High</t>
        </is>
      </c>
      <c r="BN11" s="31" t="inlineStr">
        <is>
          <t>Equity Asia Pacific Asia</t>
        </is>
      </c>
      <c r="BO11" s="31" t="n"/>
      <c r="BP11" s="37" t="n">
        <v>0.5329</v>
      </c>
      <c r="BQ11" s="34" t="inlineStr">
        <is>
          <t>2026-02-26</t>
        </is>
      </c>
      <c r="BR11" s="37" t="n">
        <v>0.4982</v>
      </c>
      <c r="BS11" s="36" t="n">
        <v>-6.51</v>
      </c>
      <c r="BT11" s="32" t="n">
        <v>39</v>
      </c>
    </row>
    <row r="12" ht="16" customHeight="1">
      <c r="A12" s="22" t="inlineStr">
        <is>
          <t>PUBLIC ISLAMIC SAVINGS FUND</t>
        </is>
      </c>
      <c r="B12" s="22" t="inlineStr">
        <is>
          <t>PISVF</t>
        </is>
      </c>
      <c r="C12" s="22" t="inlineStr">
        <is>
          <t>Shariah</t>
        </is>
      </c>
      <c r="D12" s="22" t="inlineStr">
        <is>
          <t>Equity</t>
        </is>
      </c>
      <c r="E12" s="22" t="inlineStr">
        <is>
          <t>Malaysia</t>
        </is>
      </c>
      <c r="F12" s="23" t="inlineStr">
        <is>
          <t>Income</t>
        </is>
      </c>
      <c r="G12" s="24" t="n">
        <v>4</v>
      </c>
      <c r="H12" s="23" t="inlineStr">
        <is>
          <t>Semi-Annual</t>
        </is>
      </c>
      <c r="I12" s="25" t="n">
        <v>486.59</v>
      </c>
      <c r="J12" s="26" t="inlineStr">
        <is>
          <t>15.12.2011</t>
        </is>
      </c>
      <c r="K12" s="26" t="inlineStr">
        <is>
          <t>Qualified</t>
        </is>
      </c>
      <c r="L12" s="27" t="n">
        <v>100</v>
      </c>
      <c r="M12" s="26" t="inlineStr">
        <is>
          <t>5/5</t>
        </is>
      </c>
      <c r="N12" s="28" t="n">
        <v>1.97</v>
      </c>
      <c r="O12" s="28" t="n">
        <v>0.96</v>
      </c>
      <c r="P12" s="28" t="n">
        <v>1.01</v>
      </c>
      <c r="Q12" s="28" t="n">
        <v>14.18</v>
      </c>
      <c r="R12" s="28" t="n">
        <v>6.76</v>
      </c>
      <c r="S12" s="28" t="n">
        <v>7.42</v>
      </c>
      <c r="T12" s="28" t="n">
        <v>9.01</v>
      </c>
      <c r="U12" s="28" t="n">
        <v>4.19</v>
      </c>
      <c r="V12" s="28" t="n">
        <v>4.82</v>
      </c>
      <c r="W12" s="28" t="n">
        <v>2.39</v>
      </c>
      <c r="X12" s="28" t="n">
        <v>-0.72</v>
      </c>
      <c r="Y12" s="28" t="n">
        <v>3.11</v>
      </c>
      <c r="Z12" s="28" t="n">
        <v>4.64</v>
      </c>
      <c r="AA12" s="28" t="n">
        <v>0.35</v>
      </c>
      <c r="AB12" s="28" t="n">
        <v>4.29</v>
      </c>
      <c r="AC12" s="28">
        <f>IF(OR(P12="",BL12="",BL12=0),"",P12/BL12)</f>
        <v/>
      </c>
      <c r="AD12" s="28">
        <f>IF(OR(S12="",BL12="",BL12=0),"",S12/BL12)</f>
        <v/>
      </c>
      <c r="AE12" s="28">
        <f>IF(OR(V12="",BL12="",BL12=0),"",V12/BL12)</f>
        <v/>
      </c>
      <c r="AF12" s="28">
        <f>IF(OR(Y12="",BL12="",BL12=0),"",Y12/BL12)</f>
        <v/>
      </c>
      <c r="AG12" s="28">
        <f>IF(OR(AB12="",BL12="",BL12=0),"",AB12/BL12)</f>
        <v/>
      </c>
      <c r="AH12" s="27" t="n">
        <v>76.5</v>
      </c>
      <c r="AI12" s="27" t="n">
        <v>17.3</v>
      </c>
      <c r="AJ12" s="27" t="n"/>
      <c r="AK12" s="27" t="n">
        <v>6.2</v>
      </c>
      <c r="AL12" s="27" t="n"/>
      <c r="AM12" s="27" t="n"/>
      <c r="AN12" s="27" t="n">
        <v>8.9</v>
      </c>
      <c r="AO12" s="27" t="n">
        <v>2</v>
      </c>
      <c r="AP12" s="27" t="n">
        <v>6.4</v>
      </c>
      <c r="AQ12" s="27" t="n"/>
      <c r="AR12" s="27" t="n"/>
      <c r="AS12" s="27" t="n"/>
      <c r="AT12" s="27" t="n"/>
      <c r="AU12" s="27" t="n"/>
      <c r="AV12" s="27" t="n"/>
      <c r="AW12" s="27" t="n"/>
      <c r="AX12" s="27" t="n"/>
      <c r="AY12" s="27" t="n"/>
      <c r="AZ12" s="27" t="n">
        <v>26.8</v>
      </c>
      <c r="BA12" s="27" t="n"/>
      <c r="BB12" s="27" t="n">
        <v>12.3</v>
      </c>
      <c r="BC12" s="27" t="n">
        <v>13.9</v>
      </c>
      <c r="BD12" s="27" t="n"/>
      <c r="BE12" s="27" t="n">
        <v>9.800000000000001</v>
      </c>
      <c r="BF12" s="27" t="n">
        <v>10.3</v>
      </c>
      <c r="BG12" s="27" t="n"/>
      <c r="BH12" s="27" t="n"/>
      <c r="BI12" s="27" t="n"/>
      <c r="BJ12" s="27" t="n"/>
      <c r="BK12" s="23" t="inlineStr">
        <is>
          <t>Tenaga Nasional Berhad | Telekom Malaysia Berhad | Press Metal Aluminium Holdings Berhad | HD Hyundai Electric Company Limited | Malayan Cement Berhad</t>
        </is>
      </c>
      <c r="BL12" s="27" t="n">
        <v>9.199999999999999</v>
      </c>
      <c r="BM12" s="26" t="inlineStr">
        <is>
          <t>Moderate</t>
        </is>
      </c>
      <c r="BN12" s="23" t="inlineStr">
        <is>
          <t>Equity Malaysia Domestic</t>
        </is>
      </c>
      <c r="BO12" s="23" t="n"/>
      <c r="BP12" s="29" t="n">
        <v>0.4053</v>
      </c>
      <c r="BQ12" s="26" t="inlineStr">
        <is>
          <t>2024-07-15</t>
        </is>
      </c>
      <c r="BR12" s="29" t="n">
        <v>0.381</v>
      </c>
      <c r="BS12" s="28" t="n">
        <v>-6</v>
      </c>
      <c r="BT12" s="24" t="n">
        <v>630</v>
      </c>
    </row>
    <row r="13" ht="16" customHeight="1">
      <c r="A13" s="34" t="inlineStr">
        <is>
          <t>PB GREATER CHINA A-SHARES FUND</t>
        </is>
      </c>
      <c r="B13" s="34" t="inlineStr">
        <is>
          <t>PBGCASF</t>
        </is>
      </c>
      <c r="C13" s="34" t="inlineStr">
        <is>
          <t>Conventional</t>
        </is>
      </c>
      <c r="D13" s="34" t="inlineStr">
        <is>
          <t>Equity</t>
        </is>
      </c>
      <c r="E13" s="34" t="inlineStr">
        <is>
          <t>Greater China</t>
        </is>
      </c>
      <c r="F13" s="31" t="inlineStr">
        <is>
          <t>Capital Growth</t>
        </is>
      </c>
      <c r="G13" s="32" t="n">
        <v>5</v>
      </c>
      <c r="H13" s="31" t="inlineStr">
        <is>
          <t>Incidental</t>
        </is>
      </c>
      <c r="I13" s="33" t="n">
        <v>543.83</v>
      </c>
      <c r="J13" s="34" t="inlineStr">
        <is>
          <t>10.03.2020</t>
        </is>
      </c>
      <c r="K13" s="34" t="inlineStr">
        <is>
          <t>Qualified</t>
        </is>
      </c>
      <c r="L13" s="35" t="n">
        <v>100</v>
      </c>
      <c r="M13" s="34" t="inlineStr">
        <is>
          <t>4/4</t>
        </is>
      </c>
      <c r="N13" s="36" t="n">
        <v>-0.15</v>
      </c>
      <c r="O13" s="36" t="n">
        <v>-1.59</v>
      </c>
      <c r="P13" s="36" t="n">
        <v>1.44</v>
      </c>
      <c r="Q13" s="36" t="n">
        <v>28.45</v>
      </c>
      <c r="R13" s="36" t="n">
        <v>4.87</v>
      </c>
      <c r="S13" s="36" t="n">
        <v>23.58</v>
      </c>
      <c r="T13" s="36" t="n">
        <v>11.29</v>
      </c>
      <c r="U13" s="36" t="n">
        <v>6.63</v>
      </c>
      <c r="V13" s="36" t="n">
        <v>4.66</v>
      </c>
      <c r="W13" s="36" t="n">
        <v>0.01</v>
      </c>
      <c r="X13" s="36" t="n">
        <v>-0.97</v>
      </c>
      <c r="Y13" s="36" t="n">
        <v>0.97</v>
      </c>
      <c r="Z13" s="36" t="n"/>
      <c r="AA13" s="36" t="n"/>
      <c r="AB13" s="36" t="n"/>
      <c r="AC13" s="36">
        <f>IF(OR(P13="",BL13="",BL13=0),"",P13/BL13)</f>
        <v/>
      </c>
      <c r="AD13" s="36">
        <f>IF(OR(S13="",BL13="",BL13=0),"",S13/BL13)</f>
        <v/>
      </c>
      <c r="AE13" s="36">
        <f>IF(OR(V13="",BL13="",BL13=0),"",V13/BL13)</f>
        <v/>
      </c>
      <c r="AF13" s="36">
        <f>IF(OR(Y13="",BL13="",BL13=0),"",Y13/BL13)</f>
        <v/>
      </c>
      <c r="AG13" s="36">
        <f>IF(OR(AB13="",BL13="",BL13=0),"",AB13/BL13)</f>
        <v/>
      </c>
      <c r="AH13" s="35" t="n"/>
      <c r="AI13" s="35" t="n">
        <v>90.5</v>
      </c>
      <c r="AJ13" s="35" t="n"/>
      <c r="AK13" s="35" t="n">
        <v>9.5</v>
      </c>
      <c r="AL13" s="35" t="n"/>
      <c r="AM13" s="35" t="n"/>
      <c r="AN13" s="35" t="n">
        <v>2.3</v>
      </c>
      <c r="AO13" s="35" t="n">
        <v>24.9</v>
      </c>
      <c r="AP13" s="35" t="n"/>
      <c r="AQ13" s="35" t="n"/>
      <c r="AR13" s="35" t="n"/>
      <c r="AS13" s="35" t="n"/>
      <c r="AT13" s="35" t="n">
        <v>63.3</v>
      </c>
      <c r="AU13" s="35" t="n"/>
      <c r="AV13" s="35" t="n"/>
      <c r="AW13" s="35" t="n"/>
      <c r="AX13" s="35" t="n"/>
      <c r="AY13" s="35" t="n"/>
      <c r="AZ13" s="35" t="n">
        <v>6.7</v>
      </c>
      <c r="BA13" s="35" t="n">
        <v>34.8</v>
      </c>
      <c r="BB13" s="35" t="n"/>
      <c r="BC13" s="35" t="n">
        <v>17.1</v>
      </c>
      <c r="BD13" s="35" t="n"/>
      <c r="BE13" s="35" t="n">
        <v>10</v>
      </c>
      <c r="BF13" s="35" t="n"/>
      <c r="BG13" s="35" t="n"/>
      <c r="BH13" s="35" t="n">
        <v>16</v>
      </c>
      <c r="BI13" s="35" t="n"/>
      <c r="BJ13" s="35" t="n"/>
      <c r="BK13" s="31" t="inlineStr">
        <is>
          <t>Taiwan Semiconductor Manufacturing Company Limited | Zijin Mining Group Company Limited - A Shares (HKS) | Wanhua Chemical Group Company Limited - A Shares (HKS) | Kinik Company | NAURA Technology Group Company Limited - A Shares (HKS)</t>
        </is>
      </c>
      <c r="BL13" s="35" t="n">
        <v>19.3</v>
      </c>
      <c r="BM13" s="34" t="inlineStr">
        <is>
          <t>Very High</t>
        </is>
      </c>
      <c r="BN13" s="31" t="inlineStr">
        <is>
          <t>Equity Greater China Greater China</t>
        </is>
      </c>
      <c r="BO13" s="31"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P13" s="37" t="n">
        <v>0.3848</v>
      </c>
      <c r="BQ13" s="34" t="inlineStr">
        <is>
          <t>2021-02-18</t>
        </is>
      </c>
      <c r="BR13" s="37" t="n">
        <v>0.3143</v>
      </c>
      <c r="BS13" s="36" t="n">
        <v>-18.32</v>
      </c>
      <c r="BT13" s="32" t="n">
        <v>1873</v>
      </c>
    </row>
    <row r="14" ht="16" customHeight="1">
      <c r="A14" s="22" t="inlineStr">
        <is>
          <t>PUBLIC ISLAMIC TREASURES GROWTH FUND</t>
        </is>
      </c>
      <c r="B14" s="22" t="inlineStr">
        <is>
          <t>PITGF</t>
        </is>
      </c>
      <c r="C14" s="22" t="inlineStr">
        <is>
          <t>Shariah</t>
        </is>
      </c>
      <c r="D14" s="22" t="inlineStr">
        <is>
          <t>Equity</t>
        </is>
      </c>
      <c r="E14" s="22" t="inlineStr">
        <is>
          <t>Malaysia</t>
        </is>
      </c>
      <c r="F14" s="23" t="inlineStr">
        <is>
          <t>Capital Growth</t>
        </is>
      </c>
      <c r="G14" s="24" t="n">
        <v>5</v>
      </c>
      <c r="H14" s="23" t="inlineStr">
        <is>
          <t>Incidental</t>
        </is>
      </c>
      <c r="I14" s="25" t="n">
        <v>283.97</v>
      </c>
      <c r="J14" s="26" t="inlineStr">
        <is>
          <t>19.07.2011</t>
        </is>
      </c>
      <c r="K14" s="26" t="inlineStr">
        <is>
          <t>Qualified</t>
        </is>
      </c>
      <c r="L14" s="27" t="n">
        <v>100</v>
      </c>
      <c r="M14" s="26" t="inlineStr">
        <is>
          <t>5/5</t>
        </is>
      </c>
      <c r="N14" s="28" t="n">
        <v>9.119999999999999</v>
      </c>
      <c r="O14" s="28" t="n">
        <v>1.14</v>
      </c>
      <c r="P14" s="28" t="n">
        <v>7.98</v>
      </c>
      <c r="Q14" s="28" t="n">
        <v>14.9</v>
      </c>
      <c r="R14" s="28" t="n">
        <v>0.73</v>
      </c>
      <c r="S14" s="28" t="n">
        <v>14.17</v>
      </c>
      <c r="T14" s="28" t="n">
        <v>6.06</v>
      </c>
      <c r="U14" s="28" t="n">
        <v>1.66</v>
      </c>
      <c r="V14" s="28" t="n">
        <v>4.4</v>
      </c>
      <c r="W14" s="28" t="n">
        <v>0.18</v>
      </c>
      <c r="X14" s="28" t="n">
        <v>-1.83</v>
      </c>
      <c r="Y14" s="28" t="n">
        <v>2.01</v>
      </c>
      <c r="Z14" s="28" t="n">
        <v>3.87</v>
      </c>
      <c r="AA14" s="28" t="n">
        <v>1.18</v>
      </c>
      <c r="AB14" s="28" t="n">
        <v>2.69</v>
      </c>
      <c r="AC14" s="28">
        <f>IF(OR(P14="",BL14="",BL14=0),"",P14/BL14)</f>
        <v/>
      </c>
      <c r="AD14" s="28">
        <f>IF(OR(S14="",BL14="",BL14=0),"",S14/BL14)</f>
        <v/>
      </c>
      <c r="AE14" s="28">
        <f>IF(OR(V14="",BL14="",BL14=0),"",V14/BL14)</f>
        <v/>
      </c>
      <c r="AF14" s="28">
        <f>IF(OR(Y14="",BL14="",BL14=0),"",Y14/BL14)</f>
        <v/>
      </c>
      <c r="AG14" s="28">
        <f>IF(OR(AB14="",BL14="",BL14=0),"",AB14/BL14)</f>
        <v/>
      </c>
      <c r="AH14" s="27" t="n">
        <v>76.8</v>
      </c>
      <c r="AI14" s="27" t="n">
        <v>18.7</v>
      </c>
      <c r="AJ14" s="27" t="n"/>
      <c r="AK14" s="27" t="n">
        <v>4.5</v>
      </c>
      <c r="AL14" s="27" t="n"/>
      <c r="AM14" s="27" t="n"/>
      <c r="AN14" s="27" t="n">
        <v>7.6</v>
      </c>
      <c r="AO14" s="27" t="n">
        <v>5.8</v>
      </c>
      <c r="AP14" s="27" t="n"/>
      <c r="AQ14" s="27" t="n">
        <v>5.3</v>
      </c>
      <c r="AR14" s="27" t="n"/>
      <c r="AS14" s="27" t="n"/>
      <c r="AT14" s="27" t="n"/>
      <c r="AU14" s="27" t="n"/>
      <c r="AV14" s="27" t="n"/>
      <c r="AW14" s="27" t="n"/>
      <c r="AX14" s="27" t="n"/>
      <c r="AY14" s="27" t="n"/>
      <c r="AZ14" s="27" t="n">
        <v>34.1</v>
      </c>
      <c r="BA14" s="27" t="n"/>
      <c r="BB14" s="27" t="n">
        <v>12.4</v>
      </c>
      <c r="BC14" s="27" t="n">
        <v>8.199999999999999</v>
      </c>
      <c r="BD14" s="27" t="n"/>
      <c r="BE14" s="27" t="n">
        <v>18.9</v>
      </c>
      <c r="BF14" s="27" t="n"/>
      <c r="BG14" s="27" t="n"/>
      <c r="BH14" s="27" t="n"/>
      <c r="BI14" s="27" t="n"/>
      <c r="BJ14" s="27" t="n">
        <v>6.6</v>
      </c>
      <c r="BK14" s="23" t="inlineStr">
        <is>
          <t>Vitrox Corporation Berhad | TIME dotCom Berhad | QL Resources Berhad | Malaysian Pacific Industries Berhad | Bursa Malaysia Berhad</t>
        </is>
      </c>
      <c r="BL14" s="27" t="n">
        <v>9</v>
      </c>
      <c r="BM14" s="26" t="inlineStr">
        <is>
          <t>Moderate</t>
        </is>
      </c>
      <c r="BN14" s="23" t="inlineStr">
        <is>
          <t>Equity Malaysia Domestic</t>
        </is>
      </c>
      <c r="BO14" s="23"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P14" s="29" t="n">
        <v>0.4043</v>
      </c>
      <c r="BQ14" s="26" t="inlineStr">
        <is>
          <t>2021-04-26</t>
        </is>
      </c>
      <c r="BR14" s="29" t="n">
        <v>0.3611</v>
      </c>
      <c r="BS14" s="28" t="n">
        <v>-10.69</v>
      </c>
      <c r="BT14" s="24" t="n">
        <v>1806</v>
      </c>
    </row>
    <row r="15" ht="16" customHeight="1">
      <c r="A15" s="34" t="inlineStr">
        <is>
          <t>PUBLIC SELECT TREASURES EQUITY FUND</t>
        </is>
      </c>
      <c r="B15" s="34" t="inlineStr">
        <is>
          <t>PSTEF</t>
        </is>
      </c>
      <c r="C15" s="34" t="inlineStr">
        <is>
          <t>Conventional</t>
        </is>
      </c>
      <c r="D15" s="34" t="inlineStr">
        <is>
          <t>Equity</t>
        </is>
      </c>
      <c r="E15" s="34" t="inlineStr">
        <is>
          <t>Malaysia</t>
        </is>
      </c>
      <c r="F15" s="31" t="inlineStr">
        <is>
          <t>Capital Growth</t>
        </is>
      </c>
      <c r="G15" s="32" t="n">
        <v>5</v>
      </c>
      <c r="H15" s="31" t="inlineStr">
        <is>
          <t>Incidental</t>
        </is>
      </c>
      <c r="I15" s="33" t="n">
        <v>415.66</v>
      </c>
      <c r="J15" s="34" t="inlineStr">
        <is>
          <t>22.07.2015</t>
        </is>
      </c>
      <c r="K15" s="34" t="inlineStr">
        <is>
          <t>Qualified</t>
        </is>
      </c>
      <c r="L15" s="35" t="n">
        <v>100</v>
      </c>
      <c r="M15" s="34" t="inlineStr">
        <is>
          <t>5/5</t>
        </is>
      </c>
      <c r="N15" s="36" t="n">
        <v>6.19</v>
      </c>
      <c r="O15" s="36" t="n">
        <v>3.11</v>
      </c>
      <c r="P15" s="36" t="n">
        <v>3.08</v>
      </c>
      <c r="Q15" s="36" t="n">
        <v>17.13</v>
      </c>
      <c r="R15" s="36" t="n">
        <v>4.05</v>
      </c>
      <c r="S15" s="36" t="n">
        <v>13.08</v>
      </c>
      <c r="T15" s="36" t="n">
        <v>10.41</v>
      </c>
      <c r="U15" s="36" t="n">
        <v>7.06</v>
      </c>
      <c r="V15" s="36" t="n">
        <v>3.35</v>
      </c>
      <c r="W15" s="36" t="n">
        <v>3.18</v>
      </c>
      <c r="X15" s="36" t="n">
        <v>2.05</v>
      </c>
      <c r="Y15" s="36" t="n">
        <v>1.13</v>
      </c>
      <c r="Z15" s="36" t="n">
        <v>7.48</v>
      </c>
      <c r="AA15" s="36" t="n">
        <v>2.78</v>
      </c>
      <c r="AB15" s="36" t="n">
        <v>4.7</v>
      </c>
      <c r="AC15" s="36">
        <f>IF(OR(P15="",BL15="",BL15=0),"",P15/BL15)</f>
        <v/>
      </c>
      <c r="AD15" s="36">
        <f>IF(OR(S15="",BL15="",BL15=0),"",S15/BL15)</f>
        <v/>
      </c>
      <c r="AE15" s="36">
        <f>IF(OR(V15="",BL15="",BL15=0),"",V15/BL15)</f>
        <v/>
      </c>
      <c r="AF15" s="36">
        <f>IF(OR(Y15="",BL15="",BL15=0),"",Y15/BL15)</f>
        <v/>
      </c>
      <c r="AG15" s="36">
        <f>IF(OR(AB15="",BL15="",BL15=0),"",AB15/BL15)</f>
        <v/>
      </c>
      <c r="AH15" s="35" t="n">
        <v>74.2</v>
      </c>
      <c r="AI15" s="35" t="n">
        <v>22.5</v>
      </c>
      <c r="AJ15" s="35" t="n"/>
      <c r="AK15" s="35" t="n">
        <v>3.3</v>
      </c>
      <c r="AL15" s="35" t="n"/>
      <c r="AM15" s="35" t="n"/>
      <c r="AN15" s="35" t="n">
        <v>4.9</v>
      </c>
      <c r="AO15" s="35" t="n">
        <v>14.2</v>
      </c>
      <c r="AP15" s="35" t="n"/>
      <c r="AQ15" s="35" t="n"/>
      <c r="AR15" s="35" t="n"/>
      <c r="AS15" s="35" t="n">
        <v>3.4</v>
      </c>
      <c r="AT15" s="35" t="n"/>
      <c r="AU15" s="35" t="n"/>
      <c r="AV15" s="35" t="n"/>
      <c r="AW15" s="35" t="n"/>
      <c r="AX15" s="35" t="n"/>
      <c r="AY15" s="35" t="n"/>
      <c r="AZ15" s="35" t="n">
        <v>37.3</v>
      </c>
      <c r="BA15" s="35" t="n">
        <v>7.3</v>
      </c>
      <c r="BB15" s="35" t="n">
        <v>31.1</v>
      </c>
      <c r="BC15" s="35" t="n">
        <v>5</v>
      </c>
      <c r="BD15" s="35" t="n"/>
      <c r="BE15" s="35" t="n">
        <v>12.2</v>
      </c>
      <c r="BF15" s="35" t="n"/>
      <c r="BG15" s="35" t="n"/>
      <c r="BH15" s="35" t="n"/>
      <c r="BI15" s="35" t="n"/>
      <c r="BJ15" s="35" t="n"/>
      <c r="BK15" s="31" t="inlineStr">
        <is>
          <t>Hon.Precision Incorporated | Kinik Company | IGB Real Estate Investment Trust | TIME dotCom Berhad | HEICO Corporation</t>
        </is>
      </c>
      <c r="BL15" s="35" t="n">
        <v>9.1</v>
      </c>
      <c r="BM15" s="34" t="inlineStr">
        <is>
          <t>Moderate</t>
        </is>
      </c>
      <c r="BN15" s="31" t="inlineStr">
        <is>
          <t>Equity Malaysia Domestic 25% of the fund’s NAV</t>
        </is>
      </c>
      <c r="BO15" s="31" t="n"/>
      <c r="BP15" s="37" t="n">
        <v>0.4539</v>
      </c>
      <c r="BQ15" s="34" t="inlineStr">
        <is>
          <t>2026-02-25</t>
        </is>
      </c>
      <c r="BR15" s="37" t="n">
        <v>0.421</v>
      </c>
      <c r="BS15" s="36" t="n">
        <v>-7.25</v>
      </c>
      <c r="BT15" s="32" t="n">
        <v>40</v>
      </c>
    </row>
    <row r="16" ht="16" customHeight="1">
      <c r="A16" s="26" t="inlineStr">
        <is>
          <t>PUBLIC DIVIDEND SELECT FUND</t>
        </is>
      </c>
      <c r="B16" s="26" t="inlineStr">
        <is>
          <t>PDSF</t>
        </is>
      </c>
      <c r="C16" s="26" t="inlineStr">
        <is>
          <t>Conventional</t>
        </is>
      </c>
      <c r="D16" s="26" t="inlineStr">
        <is>
          <t>Equity</t>
        </is>
      </c>
      <c r="E16" s="26" t="inlineStr">
        <is>
          <t>Malaysia</t>
        </is>
      </c>
      <c r="F16" s="23" t="inlineStr">
        <is>
          <t>Income</t>
        </is>
      </c>
      <c r="G16" s="24" t="n">
        <v>4</v>
      </c>
      <c r="H16" s="23" t="inlineStr">
        <is>
          <t>Semi-Annual</t>
        </is>
      </c>
      <c r="I16" s="25" t="n">
        <v>866.73</v>
      </c>
      <c r="J16" s="26" t="inlineStr">
        <is>
          <t>03.05.2005</t>
        </is>
      </c>
      <c r="K16" s="26" t="inlineStr">
        <is>
          <t>Qualified</t>
        </is>
      </c>
      <c r="L16" s="27" t="n">
        <v>100</v>
      </c>
      <c r="M16" s="26" t="inlineStr">
        <is>
          <t>5/5</t>
        </is>
      </c>
      <c r="N16" s="28" t="n">
        <v>2.68</v>
      </c>
      <c r="O16" s="28" t="n">
        <v>2.48</v>
      </c>
      <c r="P16" s="28" t="n">
        <v>0.2</v>
      </c>
      <c r="Q16" s="28" t="n">
        <v>9.19</v>
      </c>
      <c r="R16" s="28" t="n">
        <v>7.73</v>
      </c>
      <c r="S16" s="28" t="n">
        <v>1.46</v>
      </c>
      <c r="T16" s="28" t="n">
        <v>9.59</v>
      </c>
      <c r="U16" s="28" t="n">
        <v>6.31</v>
      </c>
      <c r="V16" s="28" t="n">
        <v>3.28</v>
      </c>
      <c r="W16" s="28" t="n">
        <v>4.72</v>
      </c>
      <c r="X16" s="28" t="n">
        <v>2.09</v>
      </c>
      <c r="Y16" s="28" t="n">
        <v>2.63</v>
      </c>
      <c r="Z16" s="28" t="n">
        <v>3.59</v>
      </c>
      <c r="AA16" s="28" t="n">
        <v>1.31</v>
      </c>
      <c r="AB16" s="28" t="n">
        <v>2.28</v>
      </c>
      <c r="AC16" s="28">
        <f>IF(OR(P16="",BL16="",BL16=0),"",P16/BL16)</f>
        <v/>
      </c>
      <c r="AD16" s="28">
        <f>IF(OR(S16="",BL16="",BL16=0),"",S16/BL16)</f>
        <v/>
      </c>
      <c r="AE16" s="28">
        <f>IF(OR(V16="",BL16="",BL16=0),"",V16/BL16)</f>
        <v/>
      </c>
      <c r="AF16" s="28">
        <f>IF(OR(Y16="",BL16="",BL16=0),"",Y16/BL16)</f>
        <v/>
      </c>
      <c r="AG16" s="28">
        <f>IF(OR(AB16="",BL16="",BL16=0),"",AB16/BL16)</f>
        <v/>
      </c>
      <c r="AH16" s="27" t="n">
        <v>76.3</v>
      </c>
      <c r="AI16" s="27" t="n">
        <v>17.9</v>
      </c>
      <c r="AJ16" s="27" t="n"/>
      <c r="AK16" s="27" t="n">
        <v>5.8</v>
      </c>
      <c r="AL16" s="27" t="n"/>
      <c r="AM16" s="27" t="n"/>
      <c r="AN16" s="27" t="n">
        <v>12.5</v>
      </c>
      <c r="AO16" s="27" t="n"/>
      <c r="AP16" s="27" t="n"/>
      <c r="AQ16" s="27" t="n"/>
      <c r="AR16" s="27" t="n">
        <v>5.4</v>
      </c>
      <c r="AS16" s="27" t="n"/>
      <c r="AT16" s="27" t="n"/>
      <c r="AU16" s="27" t="n"/>
      <c r="AV16" s="27" t="n"/>
      <c r="AW16" s="27" t="n"/>
      <c r="AX16" s="27" t="n"/>
      <c r="AY16" s="27" t="n"/>
      <c r="AZ16" s="27" t="n">
        <v>7.3</v>
      </c>
      <c r="BA16" s="27" t="n"/>
      <c r="BB16" s="27" t="n">
        <v>47.5</v>
      </c>
      <c r="BC16" s="27" t="n">
        <v>9.300000000000001</v>
      </c>
      <c r="BD16" s="27" t="n">
        <v>13.3</v>
      </c>
      <c r="BE16" s="27" t="n"/>
      <c r="BF16" s="27" t="n">
        <v>8.4</v>
      </c>
      <c r="BG16" s="27" t="n"/>
      <c r="BH16" s="27" t="n"/>
      <c r="BI16" s="27" t="n"/>
      <c r="BJ16" s="27" t="n"/>
      <c r="BK16" s="23" t="inlineStr">
        <is>
          <t>Public Bank Berhad | Malayan Banking Berhad | CIMB Group Holdings Berhad | IGB Real Estate Investment Trust | Tenaga Nasional Berhad</t>
        </is>
      </c>
      <c r="BL16" s="27" t="n">
        <v>6.7</v>
      </c>
      <c r="BM16" s="26" t="inlineStr">
        <is>
          <t>Low</t>
        </is>
      </c>
      <c r="BN16" s="23" t="inlineStr">
        <is>
          <t>Equity Malaysia Income Domestic 30% of the fund’s NAV</t>
        </is>
      </c>
      <c r="BO16" s="23" t="n"/>
      <c r="BP16" s="29" t="n">
        <v>0.3542</v>
      </c>
      <c r="BQ16" s="26" t="inlineStr">
        <is>
          <t>2007-10-31</t>
        </is>
      </c>
      <c r="BR16" s="29" t="n">
        <v>0.2908</v>
      </c>
      <c r="BS16" s="28" t="n">
        <v>-17.9</v>
      </c>
      <c r="BT16" s="24" t="n">
        <v>6732</v>
      </c>
    </row>
    <row r="17" ht="16" customHeight="1">
      <c r="A17" s="34" t="inlineStr">
        <is>
          <t>PUBLIC FOCUS SELECT FUND</t>
        </is>
      </c>
      <c r="B17" s="34" t="inlineStr">
        <is>
          <t>PFSF</t>
        </is>
      </c>
      <c r="C17" s="34" t="inlineStr">
        <is>
          <t>Conventional</t>
        </is>
      </c>
      <c r="D17" s="34" t="inlineStr">
        <is>
          <t>Equity</t>
        </is>
      </c>
      <c r="E17" s="34" t="inlineStr">
        <is>
          <t>United States</t>
        </is>
      </c>
      <c r="F17" s="31" t="inlineStr">
        <is>
          <t>Capital Growth</t>
        </is>
      </c>
      <c r="G17" s="32" t="n">
        <v>5</v>
      </c>
      <c r="H17" s="31" t="inlineStr">
        <is>
          <t>Incidental</t>
        </is>
      </c>
      <c r="I17" s="33" t="n">
        <v>491.8</v>
      </c>
      <c r="J17" s="34" t="inlineStr">
        <is>
          <t>25.11.2004</t>
        </is>
      </c>
      <c r="K17" s="34" t="inlineStr">
        <is>
          <t>Qualified</t>
        </is>
      </c>
      <c r="L17" s="35" t="n">
        <v>100</v>
      </c>
      <c r="M17" s="34" t="inlineStr">
        <is>
          <t>5/5</t>
        </is>
      </c>
      <c r="N17" s="36" t="n">
        <v>4.79</v>
      </c>
      <c r="O17" s="36" t="n">
        <v>4.4</v>
      </c>
      <c r="P17" s="36" t="n">
        <v>0.39</v>
      </c>
      <c r="Q17" s="36" t="n">
        <v>15.42</v>
      </c>
      <c r="R17" s="36" t="n">
        <v>5.44</v>
      </c>
      <c r="S17" s="36" t="n">
        <v>9.98</v>
      </c>
      <c r="T17" s="36" t="n">
        <v>12.56</v>
      </c>
      <c r="U17" s="36" t="n">
        <v>9.289999999999999</v>
      </c>
      <c r="V17" s="36" t="n">
        <v>3.27</v>
      </c>
      <c r="W17" s="36" t="n">
        <v>5.35</v>
      </c>
      <c r="X17" s="36" t="n">
        <v>2.56</v>
      </c>
      <c r="Y17" s="36" t="n">
        <v>2.79</v>
      </c>
      <c r="Z17" s="36" t="n">
        <v>5.43</v>
      </c>
      <c r="AA17" s="36" t="n">
        <v>3.19</v>
      </c>
      <c r="AB17" s="36" t="n">
        <v>2.24</v>
      </c>
      <c r="AC17" s="36">
        <f>IF(OR(P17="",BL17="",BL17=0),"",P17/BL17)</f>
        <v/>
      </c>
      <c r="AD17" s="36">
        <f>IF(OR(S17="",BL17="",BL17=0),"",S17/BL17)</f>
        <v/>
      </c>
      <c r="AE17" s="36">
        <f>IF(OR(V17="",BL17="",BL17=0),"",V17/BL17)</f>
        <v/>
      </c>
      <c r="AF17" s="36">
        <f>IF(OR(Y17="",BL17="",BL17=0),"",Y17/BL17)</f>
        <v/>
      </c>
      <c r="AG17" s="36">
        <f>IF(OR(AB17="",BL17="",BL17=0),"",AB17/BL17)</f>
        <v/>
      </c>
      <c r="AH17" s="35" t="n">
        <v>74.90000000000001</v>
      </c>
      <c r="AI17" s="35" t="n">
        <v>22.4</v>
      </c>
      <c r="AJ17" s="35" t="n"/>
      <c r="AK17" s="35" t="n">
        <v>2.7</v>
      </c>
      <c r="AL17" s="35" t="n"/>
      <c r="AM17" s="35" t="n"/>
      <c r="AN17" s="35" t="n">
        <v>5.4</v>
      </c>
      <c r="AO17" s="35" t="n">
        <v>15.3</v>
      </c>
      <c r="AP17" s="35" t="n"/>
      <c r="AQ17" s="35" t="n"/>
      <c r="AR17" s="35" t="n"/>
      <c r="AS17" s="35" t="n">
        <v>1.7</v>
      </c>
      <c r="AT17" s="35" t="n"/>
      <c r="AU17" s="35" t="n"/>
      <c r="AV17" s="35" t="n"/>
      <c r="AW17" s="35" t="n"/>
      <c r="AX17" s="35" t="n"/>
      <c r="AY17" s="35" t="n"/>
      <c r="AZ17" s="35" t="n">
        <v>30.5</v>
      </c>
      <c r="BA17" s="35" t="n">
        <v>8.1</v>
      </c>
      <c r="BB17" s="35" t="n">
        <v>33.1</v>
      </c>
      <c r="BC17" s="35" t="n">
        <v>5.5</v>
      </c>
      <c r="BD17" s="35" t="n"/>
      <c r="BE17" s="35" t="n">
        <v>14.5</v>
      </c>
      <c r="BF17" s="35" t="n"/>
      <c r="BG17" s="35" t="n"/>
      <c r="BH17" s="35" t="n"/>
      <c r="BI17" s="35" t="n"/>
      <c r="BJ17" s="35" t="n"/>
      <c r="BK17" s="31" t="inlineStr">
        <is>
          <t>Hon.Precision Incorporated | Kinik Company | QL Resources Berhad | LPI Capital Berhad | TIME dotCom Berhad</t>
        </is>
      </c>
      <c r="BL17" s="35" t="n">
        <v>7.7</v>
      </c>
      <c r="BM17" s="34" t="inlineStr">
        <is>
          <t>Low</t>
        </is>
      </c>
      <c r="BN17" s="31" t="inlineStr">
        <is>
          <t>Equity Malaysia Domestic 30% of the fund’s NAV</t>
        </is>
      </c>
      <c r="BO17" s="31" t="inlineStr">
        <is>
          <t>Kuala Lumpur Composite Index (prior to 30 April 2008). FTSE Bursa Malaysia Mid 70 Index (w.e.f. 30 April 2008). Underlying index data are sourced from Lipper.</t>
        </is>
      </c>
      <c r="BP17" s="37" t="n">
        <v>0.4139</v>
      </c>
      <c r="BQ17" s="34" t="inlineStr">
        <is>
          <t>2026-02-26</t>
        </is>
      </c>
      <c r="BR17" s="37" t="n">
        <v>0.3866</v>
      </c>
      <c r="BS17" s="36" t="n">
        <v>-6.6</v>
      </c>
      <c r="BT17" s="32" t="n">
        <v>39</v>
      </c>
    </row>
    <row r="18" ht="16" customHeight="1">
      <c r="A18" s="26" t="inlineStr">
        <is>
          <t>PUBLIC FAR-EAST PROPERTY &amp; RESORTS FUND</t>
        </is>
      </c>
      <c r="B18" s="26" t="inlineStr">
        <is>
          <t>PFEPRF</t>
        </is>
      </c>
      <c r="C18" s="26" t="inlineStr">
        <is>
          <t>Conventional</t>
        </is>
      </c>
      <c r="D18" s="26" t="inlineStr">
        <is>
          <t>Equity</t>
        </is>
      </c>
      <c r="E18" s="26" t="inlineStr">
        <is>
          <t>Asia Pacific</t>
        </is>
      </c>
      <c r="F18" s="23" t="inlineStr">
        <is>
          <t>Capital Growth</t>
        </is>
      </c>
      <c r="G18" s="24" t="n">
        <v>5</v>
      </c>
      <c r="H18" s="23" t="inlineStr">
        <is>
          <t>Annual</t>
        </is>
      </c>
      <c r="I18" s="25" t="n">
        <v>199.9</v>
      </c>
      <c r="J18" s="26" t="inlineStr">
        <is>
          <t>10.07.2007</t>
        </is>
      </c>
      <c r="K18" s="26" t="inlineStr">
        <is>
          <t>Qualified</t>
        </is>
      </c>
      <c r="L18" s="27" t="n">
        <v>100</v>
      </c>
      <c r="M18" s="26" t="inlineStr">
        <is>
          <t>5/5</t>
        </is>
      </c>
      <c r="N18" s="28" t="n">
        <v>9.039999999999999</v>
      </c>
      <c r="O18" s="28" t="n">
        <v>8.32</v>
      </c>
      <c r="P18" s="28" t="n">
        <v>0.72</v>
      </c>
      <c r="Q18" s="28" t="n">
        <v>15.68</v>
      </c>
      <c r="R18" s="28" t="n">
        <v>14.99</v>
      </c>
      <c r="S18" s="28" t="n">
        <v>0.6899999999999999</v>
      </c>
      <c r="T18" s="28" t="n">
        <v>8.69</v>
      </c>
      <c r="U18" s="28" t="n">
        <v>5.7</v>
      </c>
      <c r="V18" s="28" t="n">
        <v>2.99</v>
      </c>
      <c r="W18" s="28" t="n">
        <v>4.05</v>
      </c>
      <c r="X18" s="28" t="n">
        <v>0.83</v>
      </c>
      <c r="Y18" s="28" t="n">
        <v>3.22</v>
      </c>
      <c r="Z18" s="28" t="n">
        <v>3.3</v>
      </c>
      <c r="AA18" s="28" t="n">
        <v>1.26</v>
      </c>
      <c r="AB18" s="28" t="n">
        <v>2.04</v>
      </c>
      <c r="AC18" s="28">
        <f>IF(OR(P18="",BL18="",BL18=0),"",P18/BL18)</f>
        <v/>
      </c>
      <c r="AD18" s="28">
        <f>IF(OR(S18="",BL18="",BL18=0),"",S18/BL18)</f>
        <v/>
      </c>
      <c r="AE18" s="28">
        <f>IF(OR(V18="",BL18="",BL18=0),"",V18/BL18)</f>
        <v/>
      </c>
      <c r="AF18" s="28">
        <f>IF(OR(Y18="",BL18="",BL18=0),"",Y18/BL18)</f>
        <v/>
      </c>
      <c r="AG18" s="28">
        <f>IF(OR(AB18="",BL18="",BL18=0),"",AB18/BL18)</f>
        <v/>
      </c>
      <c r="AH18" s="27" t="n">
        <v>26.2</v>
      </c>
      <c r="AI18" s="27" t="n">
        <v>63.6</v>
      </c>
      <c r="AJ18" s="27" t="n"/>
      <c r="AK18" s="27" t="n">
        <v>10.2</v>
      </c>
      <c r="AL18" s="27" t="n"/>
      <c r="AM18" s="27" t="n"/>
      <c r="AN18" s="27" t="n"/>
      <c r="AO18" s="27" t="n"/>
      <c r="AP18" s="27" t="n"/>
      <c r="AQ18" s="27" t="n">
        <v>20.4</v>
      </c>
      <c r="AR18" s="27" t="n"/>
      <c r="AS18" s="27" t="n"/>
      <c r="AT18" s="27" t="n">
        <v>7</v>
      </c>
      <c r="AU18" s="27" t="n">
        <v>2.3</v>
      </c>
      <c r="AV18" s="27" t="n"/>
      <c r="AW18" s="27" t="n"/>
      <c r="AX18" s="27" t="n">
        <v>18.3</v>
      </c>
      <c r="AY18" s="27" t="n"/>
      <c r="AZ18" s="27" t="n"/>
      <c r="BA18" s="27" t="n"/>
      <c r="BB18" s="27" t="n"/>
      <c r="BC18" s="27" t="n"/>
      <c r="BD18" s="27" t="n"/>
      <c r="BE18" s="27" t="n"/>
      <c r="BF18" s="27" t="n"/>
      <c r="BG18" s="27" t="n"/>
      <c r="BH18" s="27" t="n"/>
      <c r="BI18" s="27" t="n">
        <v>89.8</v>
      </c>
      <c r="BJ18" s="27" t="n"/>
      <c r="BK18" s="23" t="inlineStr">
        <is>
          <t>Sun Hung Kai Properties Limited | Goodman Group | China Resources Land Limited | IGB Real Estate Investment Trust | Mitsubishi Estate Company Limited</t>
        </is>
      </c>
      <c r="BL18" s="27" t="n">
        <v>9.5</v>
      </c>
      <c r="BM18" s="26" t="inlineStr">
        <is>
          <t>Moderate</t>
        </is>
      </c>
      <c r="BN18" s="23" t="inlineStr">
        <is>
          <t>Equity Sector Real Asia</t>
        </is>
      </c>
      <c r="BO18" s="23" t="n"/>
      <c r="BP18" s="29" t="n">
        <v>0.3479</v>
      </c>
      <c r="BQ18" s="26" t="inlineStr">
        <is>
          <t>2013-05-20</t>
        </is>
      </c>
      <c r="BR18" s="29" t="n">
        <v>0.2669</v>
      </c>
      <c r="BS18" s="28" t="n">
        <v>-23.28</v>
      </c>
      <c r="BT18" s="24" t="n">
        <v>4704</v>
      </c>
    </row>
    <row r="19" ht="16" customHeight="1">
      <c r="A19" s="34" t="inlineStr">
        <is>
          <t>PUBLIC EMERGING OPPORTUNITIES FUND</t>
        </is>
      </c>
      <c r="B19" s="34" t="inlineStr">
        <is>
          <t>PEMOF</t>
        </is>
      </c>
      <c r="C19" s="34" t="inlineStr">
        <is>
          <t>Conventional</t>
        </is>
      </c>
      <c r="D19" s="34" t="inlineStr">
        <is>
          <t>Equity</t>
        </is>
      </c>
      <c r="E19" s="34" t="inlineStr">
        <is>
          <t>Malaysia</t>
        </is>
      </c>
      <c r="F19" s="31" t="inlineStr">
        <is>
          <t>Capital Growth</t>
        </is>
      </c>
      <c r="G19" s="32" t="n">
        <v>5</v>
      </c>
      <c r="H19" s="31" t="inlineStr">
        <is>
          <t>Incidental</t>
        </is>
      </c>
      <c r="I19" s="33" t="n">
        <v>151.06</v>
      </c>
      <c r="J19" s="34" t="inlineStr">
        <is>
          <t>30.03.2016</t>
        </is>
      </c>
      <c r="K19" s="34" t="inlineStr">
        <is>
          <t>Qualified</t>
        </is>
      </c>
      <c r="L19" s="35" t="n">
        <v>100</v>
      </c>
      <c r="M19" s="34" t="inlineStr">
        <is>
          <t>4/4</t>
        </is>
      </c>
      <c r="N19" s="36" t="n">
        <v>6.11</v>
      </c>
      <c r="O19" s="36" t="n">
        <v>2.66</v>
      </c>
      <c r="P19" s="36" t="n">
        <v>3.45</v>
      </c>
      <c r="Q19" s="36" t="n">
        <v>9.84</v>
      </c>
      <c r="R19" s="36" t="n">
        <v>0.58</v>
      </c>
      <c r="S19" s="36" t="n">
        <v>9.26</v>
      </c>
      <c r="T19" s="36" t="n">
        <v>9.06</v>
      </c>
      <c r="U19" s="36" t="n">
        <v>6.19</v>
      </c>
      <c r="V19" s="36" t="n">
        <v>2.87</v>
      </c>
      <c r="W19" s="36" t="n">
        <v>1.97</v>
      </c>
      <c r="X19" s="36" t="n">
        <v>1.73</v>
      </c>
      <c r="Y19" s="36" t="n">
        <v>0.24</v>
      </c>
      <c r="Z19" s="36" t="n"/>
      <c r="AA19" s="36" t="n"/>
      <c r="AB19" s="36" t="n"/>
      <c r="AC19" s="36">
        <f>IF(OR(P19="",BL19="",BL19=0),"",P19/BL19)</f>
        <v/>
      </c>
      <c r="AD19" s="36">
        <f>IF(OR(S19="",BL19="",BL19=0),"",S19/BL19)</f>
        <v/>
      </c>
      <c r="AE19" s="36">
        <f>IF(OR(V19="",BL19="",BL19=0),"",V19/BL19)</f>
        <v/>
      </c>
      <c r="AF19" s="36">
        <f>IF(OR(Y19="",BL19="",BL19=0),"",Y19/BL19)</f>
        <v/>
      </c>
      <c r="AG19" s="36">
        <f>IF(OR(AB19="",BL19="",BL19=0),"",AB19/BL19)</f>
        <v/>
      </c>
      <c r="AH19" s="35" t="n">
        <v>74.3</v>
      </c>
      <c r="AI19" s="35" t="n">
        <v>22.8</v>
      </c>
      <c r="AJ19" s="35" t="n"/>
      <c r="AK19" s="35" t="n">
        <v>2.9</v>
      </c>
      <c r="AL19" s="35" t="n"/>
      <c r="AM19" s="35" t="n"/>
      <c r="AN19" s="35" t="n">
        <v>5.3</v>
      </c>
      <c r="AO19" s="35" t="n">
        <v>14.7</v>
      </c>
      <c r="AP19" s="35" t="n"/>
      <c r="AQ19" s="35" t="n"/>
      <c r="AR19" s="35" t="n"/>
      <c r="AS19" s="35" t="n">
        <v>2.8</v>
      </c>
      <c r="AT19" s="35" t="n"/>
      <c r="AU19" s="35" t="n"/>
      <c r="AV19" s="35" t="n"/>
      <c r="AW19" s="35" t="n"/>
      <c r="AX19" s="35" t="n"/>
      <c r="AY19" s="35" t="n"/>
      <c r="AZ19" s="35" t="n">
        <v>44.8</v>
      </c>
      <c r="BA19" s="35" t="n">
        <v>7.7</v>
      </c>
      <c r="BB19" s="35" t="n">
        <v>25.9</v>
      </c>
      <c r="BC19" s="35" t="n"/>
      <c r="BD19" s="35" t="n"/>
      <c r="BE19" s="35" t="n">
        <v>8.300000000000001</v>
      </c>
      <c r="BF19" s="35" t="n"/>
      <c r="BG19" s="35" t="n">
        <v>4.7</v>
      </c>
      <c r="BH19" s="35" t="n"/>
      <c r="BI19" s="35" t="n"/>
      <c r="BJ19" s="35" t="n"/>
      <c r="BK19" s="31" t="inlineStr">
        <is>
          <t>Kelington Group Berhad | Hon.Precision Incorporated | Kinik Company | Sunway Real Estate Investment Trust | IGB Real Estate Investment Trust</t>
        </is>
      </c>
      <c r="BL19" s="35" t="n">
        <v>10.6</v>
      </c>
      <c r="BM19" s="34" t="inlineStr">
        <is>
          <t>High</t>
        </is>
      </c>
      <c r="BN19" s="31" t="inlineStr">
        <is>
          <t>Equity Malaysia Domestic 25% of the fund’s NAV</t>
        </is>
      </c>
      <c r="BO19" s="31" t="n"/>
      <c r="BP19" s="37" t="n">
        <v>0.5405</v>
      </c>
      <c r="BQ19" s="34" t="inlineStr">
        <is>
          <t>2024-07-15</t>
        </is>
      </c>
      <c r="BR19" s="37" t="n">
        <v>0.4885</v>
      </c>
      <c r="BS19" s="36" t="n">
        <v>-9.619999999999999</v>
      </c>
      <c r="BT19" s="32" t="n">
        <v>630</v>
      </c>
    </row>
    <row r="20" ht="16" customHeight="1">
      <c r="A20" s="26" t="inlineStr">
        <is>
          <t>PB CHINA PACIFIC EQUITY FUND</t>
        </is>
      </c>
      <c r="B20" s="26" t="inlineStr">
        <is>
          <t>PBCPEF</t>
        </is>
      </c>
      <c r="C20" s="26" t="inlineStr">
        <is>
          <t>Conventional</t>
        </is>
      </c>
      <c r="D20" s="26" t="inlineStr">
        <is>
          <t>Equity</t>
        </is>
      </c>
      <c r="E20" s="26" t="inlineStr">
        <is>
          <t>Greater China</t>
        </is>
      </c>
      <c r="F20" s="23" t="inlineStr">
        <is>
          <t>Capital Growth</t>
        </is>
      </c>
      <c r="G20" s="24" t="n">
        <v>5</v>
      </c>
      <c r="H20" s="23" t="inlineStr">
        <is>
          <t>Incidental</t>
        </is>
      </c>
      <c r="I20" s="25" t="n">
        <v>241.62</v>
      </c>
      <c r="J20" s="26" t="inlineStr">
        <is>
          <t>23.10.2007</t>
        </is>
      </c>
      <c r="K20" s="26" t="inlineStr">
        <is>
          <t>Qualified</t>
        </is>
      </c>
      <c r="L20" s="27" t="n">
        <v>100</v>
      </c>
      <c r="M20" s="26" t="inlineStr">
        <is>
          <t>5/5</t>
        </is>
      </c>
      <c r="N20" s="28" t="n">
        <v>15.47</v>
      </c>
      <c r="O20" s="28" t="n">
        <v>7.97</v>
      </c>
      <c r="P20" s="28" t="n">
        <v>7.5</v>
      </c>
      <c r="Q20" s="28" t="n">
        <v>20.01</v>
      </c>
      <c r="R20" s="28" t="n">
        <v>19.44</v>
      </c>
      <c r="S20" s="28" t="n">
        <v>0.57</v>
      </c>
      <c r="T20" s="28" t="n">
        <v>13.31</v>
      </c>
      <c r="U20" s="28" t="n">
        <v>10.71</v>
      </c>
      <c r="V20" s="28" t="n">
        <v>2.6</v>
      </c>
      <c r="W20" s="28" t="n">
        <v>-0.75</v>
      </c>
      <c r="X20" s="28" t="n">
        <v>-1.53</v>
      </c>
      <c r="Y20" s="28" t="n">
        <v>0.78</v>
      </c>
      <c r="Z20" s="28" t="n">
        <v>8.029999999999999</v>
      </c>
      <c r="AA20" s="28" t="n">
        <v>6.82</v>
      </c>
      <c r="AB20" s="28" t="n">
        <v>1.21</v>
      </c>
      <c r="AC20" s="28">
        <f>IF(OR(P20="",BL20="",BL20=0),"",P20/BL20)</f>
        <v/>
      </c>
      <c r="AD20" s="28">
        <f>IF(OR(S20="",BL20="",BL20=0),"",S20/BL20)</f>
        <v/>
      </c>
      <c r="AE20" s="28">
        <f>IF(OR(V20="",BL20="",BL20=0),"",V20/BL20)</f>
        <v/>
      </c>
      <c r="AF20" s="28">
        <f>IF(OR(Y20="",BL20="",BL20=0),"",Y20/BL20)</f>
        <v/>
      </c>
      <c r="AG20" s="28">
        <f>IF(OR(AB20="",BL20="",BL20=0),"",AB20/BL20)</f>
        <v/>
      </c>
      <c r="AH20" s="27" t="n"/>
      <c r="AI20" s="27" t="n">
        <v>86.90000000000001</v>
      </c>
      <c r="AJ20" s="27" t="n"/>
      <c r="AK20" s="27" t="n">
        <v>13.1</v>
      </c>
      <c r="AL20" s="27" t="n"/>
      <c r="AM20" s="27" t="n"/>
      <c r="AN20" s="27" t="n">
        <v>4</v>
      </c>
      <c r="AO20" s="27" t="n">
        <v>30.8</v>
      </c>
      <c r="AP20" s="27" t="n">
        <v>21.7</v>
      </c>
      <c r="AQ20" s="27" t="n">
        <v>7.1</v>
      </c>
      <c r="AR20" s="27" t="n"/>
      <c r="AS20" s="27" t="n"/>
      <c r="AT20" s="27" t="n">
        <v>23.3</v>
      </c>
      <c r="AU20" s="27" t="n"/>
      <c r="AV20" s="27" t="n"/>
      <c r="AW20" s="27" t="n"/>
      <c r="AX20" s="27" t="n"/>
      <c r="AY20" s="27" t="n"/>
      <c r="AZ20" s="27" t="n">
        <v>17.9</v>
      </c>
      <c r="BA20" s="27" t="n">
        <v>49</v>
      </c>
      <c r="BB20" s="27" t="n">
        <v>4.3</v>
      </c>
      <c r="BC20" s="27" t="n">
        <v>13.5</v>
      </c>
      <c r="BD20" s="27" t="n">
        <v>2.2</v>
      </c>
      <c r="BE20" s="27" t="n"/>
      <c r="BF20" s="27" t="n"/>
      <c r="BG20" s="27" t="n"/>
      <c r="BH20" s="27" t="n"/>
      <c r="BI20" s="27" t="n"/>
      <c r="BJ20" s="27" t="n"/>
      <c r="BK20" s="23" t="inlineStr">
        <is>
          <t>Samsung Electronics Company Limited | SK Hynix Incorporated | Taiwan Semiconductor Manufacturing Company Limited | Alibaba Group Holding Limited - W | Semiconductor Manufacturing International Corporation</t>
        </is>
      </c>
      <c r="BL20" s="27" t="n">
        <v>18</v>
      </c>
      <c r="BM20" s="26" t="inlineStr">
        <is>
          <t>Very High</t>
        </is>
      </c>
      <c r="BN20" s="23" t="inlineStr">
        <is>
          <t>Equity Asia Pacific Greater China</t>
        </is>
      </c>
      <c r="BO20" s="23"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P20" s="29" t="n">
        <v>0.5343</v>
      </c>
      <c r="BQ20" s="26" t="inlineStr">
        <is>
          <t>2021-02-17</t>
        </is>
      </c>
      <c r="BR20" s="29" t="n">
        <v>0.3943</v>
      </c>
      <c r="BS20" s="28" t="n">
        <v>-26.2</v>
      </c>
      <c r="BT20" s="24" t="n">
        <v>1874</v>
      </c>
    </row>
    <row r="21" ht="16" customHeight="1">
      <c r="A21" s="34" t="inlineStr">
        <is>
          <t>PUBLIC ADVANTAGE GROWTH EQUITY FUND</t>
        </is>
      </c>
      <c r="B21" s="34" t="inlineStr">
        <is>
          <t>PAVGEF</t>
        </is>
      </c>
      <c r="C21" s="34" t="inlineStr">
        <is>
          <t>Conventional</t>
        </is>
      </c>
      <c r="D21" s="34" t="inlineStr">
        <is>
          <t>Equity</t>
        </is>
      </c>
      <c r="E21" s="34" t="inlineStr">
        <is>
          <t>Malaysia</t>
        </is>
      </c>
      <c r="F21" s="31" t="inlineStr">
        <is>
          <t>Capital Growth</t>
        </is>
      </c>
      <c r="G21" s="32" t="n">
        <v>5</v>
      </c>
      <c r="H21" s="31" t="inlineStr">
        <is>
          <t>Incidental</t>
        </is>
      </c>
      <c r="I21" s="33" t="n">
        <v>19.45</v>
      </c>
      <c r="J21" s="34" t="inlineStr">
        <is>
          <t>08.09.2015</t>
        </is>
      </c>
      <c r="K21" s="34" t="inlineStr">
        <is>
          <t>Qualified</t>
        </is>
      </c>
      <c r="L21" s="35" t="n">
        <v>100</v>
      </c>
      <c r="M21" s="34" t="inlineStr">
        <is>
          <t>5/5</t>
        </is>
      </c>
      <c r="N21" s="36" t="n">
        <v>2.32</v>
      </c>
      <c r="O21" s="36" t="n">
        <v>2.17</v>
      </c>
      <c r="P21" s="36" t="n">
        <v>0.15</v>
      </c>
      <c r="Q21" s="36" t="n">
        <v>12.36</v>
      </c>
      <c r="R21" s="36" t="n">
        <v>9.01</v>
      </c>
      <c r="S21" s="36" t="n">
        <v>3.35</v>
      </c>
      <c r="T21" s="36" t="n">
        <v>7.62</v>
      </c>
      <c r="U21" s="36" t="n">
        <v>5.69</v>
      </c>
      <c r="V21" s="36" t="n">
        <v>1.93</v>
      </c>
      <c r="W21" s="36" t="n">
        <v>2.27</v>
      </c>
      <c r="X21" s="36" t="n">
        <v>1.7</v>
      </c>
      <c r="Y21" s="36" t="n">
        <v>0.57</v>
      </c>
      <c r="Z21" s="36" t="n">
        <v>4.51</v>
      </c>
      <c r="AA21" s="36" t="n">
        <v>0.37</v>
      </c>
      <c r="AB21" s="36" t="n">
        <v>4.14</v>
      </c>
      <c r="AC21" s="36">
        <f>IF(OR(P21="",BL21="",BL21=0),"",P21/BL21)</f>
        <v/>
      </c>
      <c r="AD21" s="36">
        <f>IF(OR(S21="",BL21="",BL21=0),"",S21/BL21)</f>
        <v/>
      </c>
      <c r="AE21" s="36">
        <f>IF(OR(V21="",BL21="",BL21=0),"",V21/BL21)</f>
        <v/>
      </c>
      <c r="AF21" s="36">
        <f>IF(OR(Y21="",BL21="",BL21=0),"",Y21/BL21)</f>
        <v/>
      </c>
      <c r="AG21" s="36">
        <f>IF(OR(AB21="",BL21="",BL21=0),"",AB21/BL21)</f>
        <v/>
      </c>
      <c r="AH21" s="35" t="n">
        <v>76.8</v>
      </c>
      <c r="AI21" s="35" t="n">
        <v>12.4</v>
      </c>
      <c r="AJ21" s="35" t="n"/>
      <c r="AK21" s="35" t="n">
        <v>10.8</v>
      </c>
      <c r="AL21" s="35" t="n"/>
      <c r="AM21" s="35" t="n"/>
      <c r="AN21" s="35" t="n">
        <v>5.5</v>
      </c>
      <c r="AO21" s="35" t="n">
        <v>3.6</v>
      </c>
      <c r="AP21" s="35" t="n"/>
      <c r="AQ21" s="35" t="n"/>
      <c r="AR21" s="35" t="n"/>
      <c r="AS21" s="35" t="n"/>
      <c r="AT21" s="35" t="n">
        <v>3.3</v>
      </c>
      <c r="AU21" s="35" t="n"/>
      <c r="AV21" s="35" t="n"/>
      <c r="AW21" s="35" t="n"/>
      <c r="AX21" s="35" t="n"/>
      <c r="AY21" s="35" t="n"/>
      <c r="AZ21" s="35" t="n">
        <v>19.3</v>
      </c>
      <c r="BA21" s="35" t="n"/>
      <c r="BB21" s="35" t="n">
        <v>27.5</v>
      </c>
      <c r="BC21" s="35" t="n">
        <v>17.1</v>
      </c>
      <c r="BD21" s="35" t="n"/>
      <c r="BE21" s="35" t="n"/>
      <c r="BF21" s="35" t="n">
        <v>10.5</v>
      </c>
      <c r="BG21" s="35" t="n"/>
      <c r="BH21" s="35" t="n">
        <v>6.9</v>
      </c>
      <c r="BI21" s="35" t="n"/>
      <c r="BJ21" s="35" t="n"/>
      <c r="BK21" s="31" t="inlineStr">
        <is>
          <t>Malayan Banking Berhad | Tenaga Nasional Berhad | UWC Berhad | Press Metal Aluminium Holdings Berhad | Telekom Malaysia Berhad</t>
        </is>
      </c>
      <c r="BL21" s="35" t="n">
        <v>11</v>
      </c>
      <c r="BM21" s="34" t="inlineStr">
        <is>
          <t>High</t>
        </is>
      </c>
      <c r="BN21" s="31" t="inlineStr">
        <is>
          <t>Equity Malaysia Domestic 25% of the fund’s NAV</t>
        </is>
      </c>
      <c r="BO21" s="31" t="n"/>
      <c r="BP21" s="37" t="n">
        <v>0.3454</v>
      </c>
      <c r="BQ21" s="34" t="inlineStr">
        <is>
          <t>2026-01-27</t>
        </is>
      </c>
      <c r="BR21" s="37" t="n">
        <v>0.3273</v>
      </c>
      <c r="BS21" s="36" t="n">
        <v>-5.24</v>
      </c>
      <c r="BT21" s="32" t="n">
        <v>69</v>
      </c>
    </row>
    <row r="22" ht="16" customHeight="1">
      <c r="A22" s="22" t="inlineStr">
        <is>
          <t>PUBLIC ISLAMIC SECTOR SELECT FUND</t>
        </is>
      </c>
      <c r="B22" s="22" t="inlineStr">
        <is>
          <t>PISSF</t>
        </is>
      </c>
      <c r="C22" s="22" t="inlineStr">
        <is>
          <t>Shariah</t>
        </is>
      </c>
      <c r="D22" s="22" t="inlineStr">
        <is>
          <t>Equity</t>
        </is>
      </c>
      <c r="E22" s="22" t="inlineStr">
        <is>
          <t>Malaysia</t>
        </is>
      </c>
      <c r="F22" s="23" t="inlineStr">
        <is>
          <t>Capital Growth</t>
        </is>
      </c>
      <c r="G22" s="24" t="n">
        <v>4</v>
      </c>
      <c r="H22" s="23" t="inlineStr">
        <is>
          <t>Incidental</t>
        </is>
      </c>
      <c r="I22" s="25" t="n">
        <v>112.13</v>
      </c>
      <c r="J22" s="26" t="inlineStr">
        <is>
          <t>13.11.2007</t>
        </is>
      </c>
      <c r="K22" s="26" t="inlineStr">
        <is>
          <t>Qualified</t>
        </is>
      </c>
      <c r="L22" s="27" t="n">
        <v>100</v>
      </c>
      <c r="M22" s="26" t="inlineStr">
        <is>
          <t>5/5</t>
        </is>
      </c>
      <c r="N22" s="28" t="n">
        <v>2.62</v>
      </c>
      <c r="O22" s="28" t="n">
        <v>1</v>
      </c>
      <c r="P22" s="28" t="n">
        <v>1.62</v>
      </c>
      <c r="Q22" s="28" t="n">
        <v>7.07</v>
      </c>
      <c r="R22" s="28" t="n">
        <v>7.06</v>
      </c>
      <c r="S22" s="28" t="n">
        <v>0.01</v>
      </c>
      <c r="T22" s="28" t="n">
        <v>5.13</v>
      </c>
      <c r="U22" s="28" t="n">
        <v>4.2</v>
      </c>
      <c r="V22" s="28" t="n">
        <v>0.93</v>
      </c>
      <c r="W22" s="28" t="n">
        <v>1.73</v>
      </c>
      <c r="X22" s="28" t="n">
        <v>-1.2</v>
      </c>
      <c r="Y22" s="28" t="n">
        <v>2.93</v>
      </c>
      <c r="Z22" s="28" t="n">
        <v>1.55</v>
      </c>
      <c r="AA22" s="28" t="n">
        <v>-0.03</v>
      </c>
      <c r="AB22" s="28" t="n">
        <v>1.58</v>
      </c>
      <c r="AC22" s="28">
        <f>IF(OR(P22="",BL22="",BL22=0),"",P22/BL22)</f>
        <v/>
      </c>
      <c r="AD22" s="28">
        <f>IF(OR(S22="",BL22="",BL22=0),"",S22/BL22)</f>
        <v/>
      </c>
      <c r="AE22" s="28">
        <f>IF(OR(V22="",BL22="",BL22=0),"",V22/BL22)</f>
        <v/>
      </c>
      <c r="AF22" s="28">
        <f>IF(OR(Y22="",BL22="",BL22=0),"",Y22/BL22)</f>
        <v/>
      </c>
      <c r="AG22" s="28">
        <f>IF(OR(AB22="",BL22="",BL22=0),"",AB22/BL22)</f>
        <v/>
      </c>
      <c r="AH22" s="27" t="n">
        <v>77</v>
      </c>
      <c r="AI22" s="27" t="n">
        <v>21.1</v>
      </c>
      <c r="AJ22" s="27" t="n"/>
      <c r="AK22" s="27" t="n">
        <v>1.9</v>
      </c>
      <c r="AL22" s="27" t="n"/>
      <c r="AM22" s="27" t="n"/>
      <c r="AN22" s="27" t="n">
        <v>8.9</v>
      </c>
      <c r="AO22" s="27" t="n">
        <v>6.9</v>
      </c>
      <c r="AP22" s="27" t="n"/>
      <c r="AQ22" s="27" t="n"/>
      <c r="AR22" s="27" t="n">
        <v>5.3</v>
      </c>
      <c r="AS22" s="27" t="n"/>
      <c r="AT22" s="27" t="n"/>
      <c r="AU22" s="27" t="n"/>
      <c r="AV22" s="27" t="n"/>
      <c r="AW22" s="27" t="n"/>
      <c r="AX22" s="27" t="n"/>
      <c r="AY22" s="27" t="n"/>
      <c r="AZ22" s="27" t="n">
        <v>26.9</v>
      </c>
      <c r="BA22" s="27" t="n"/>
      <c r="BB22" s="27" t="n"/>
      <c r="BC22" s="27" t="n">
        <v>23.7</v>
      </c>
      <c r="BD22" s="27" t="n"/>
      <c r="BE22" s="27" t="n">
        <v>16.3</v>
      </c>
      <c r="BF22" s="27" t="n">
        <v>10.2</v>
      </c>
      <c r="BG22" s="27" t="n">
        <v>8.6</v>
      </c>
      <c r="BH22" s="27" t="n"/>
      <c r="BI22" s="27" t="n"/>
      <c r="BJ22" s="27" t="n"/>
      <c r="BK22" s="23" t="inlineStr">
        <is>
          <t>Tenaga Nasional Berhad | Sunway Construction Group Berhad | Telekom Malaysia Berhad | Gamuda Berhad | Malayan Cement Berhad</t>
        </is>
      </c>
      <c r="BL22" s="27" t="n">
        <v>8</v>
      </c>
      <c r="BM22" s="26" t="inlineStr">
        <is>
          <t>Moderate</t>
        </is>
      </c>
      <c r="BN22" s="23" t="inlineStr">
        <is>
          <t>Equity Malaysia Domestic</t>
        </is>
      </c>
      <c r="BO22" s="23" t="inlineStr">
        <is>
          <t>Index data are sourced from Lipper.</t>
        </is>
      </c>
      <c r="BP22" s="29" t="n">
        <v>0.3302</v>
      </c>
      <c r="BQ22" s="26" t="inlineStr">
        <is>
          <t>2013-11-19</t>
        </is>
      </c>
      <c r="BR22" s="29" t="n">
        <v>0.2763</v>
      </c>
      <c r="BS22" s="28" t="n">
        <v>-16.32</v>
      </c>
      <c r="BT22" s="24" t="n">
        <v>4521</v>
      </c>
    </row>
    <row r="23" ht="16" customHeight="1">
      <c r="A23" s="30" t="inlineStr">
        <is>
          <t>PUBLIC ISLAMIC OPPORTUNITIES FUND</t>
        </is>
      </c>
      <c r="B23" s="30" t="inlineStr">
        <is>
          <t>PIOF</t>
        </is>
      </c>
      <c r="C23" s="30" t="inlineStr">
        <is>
          <t>Shariah</t>
        </is>
      </c>
      <c r="D23" s="30" t="inlineStr">
        <is>
          <t>Equity</t>
        </is>
      </c>
      <c r="E23" s="30" t="inlineStr">
        <is>
          <t>Malaysia</t>
        </is>
      </c>
      <c r="F23" s="31" t="inlineStr">
        <is>
          <t>Capital Growth</t>
        </is>
      </c>
      <c r="G23" s="32" t="n">
        <v>5</v>
      </c>
      <c r="H23" s="31" t="inlineStr">
        <is>
          <t>Incidental</t>
        </is>
      </c>
      <c r="I23" s="33" t="n">
        <v>1090.72</v>
      </c>
      <c r="J23" s="34" t="inlineStr">
        <is>
          <t>28.06.2005</t>
        </is>
      </c>
      <c r="K23" s="34" t="inlineStr">
        <is>
          <t>Qualified</t>
        </is>
      </c>
      <c r="L23" s="35" t="n">
        <v>100</v>
      </c>
      <c r="M23" s="34" t="inlineStr">
        <is>
          <t>5/5</t>
        </is>
      </c>
      <c r="N23" s="36" t="n">
        <v>1.51</v>
      </c>
      <c r="O23" s="36" t="n">
        <v>-1.51</v>
      </c>
      <c r="P23" s="36" t="n">
        <v>3.02</v>
      </c>
      <c r="Q23" s="36" t="n">
        <v>1.63</v>
      </c>
      <c r="R23" s="36" t="n">
        <v>-0.19</v>
      </c>
      <c r="S23" s="36" t="n">
        <v>1.82</v>
      </c>
      <c r="T23" s="36" t="n">
        <v>2.22</v>
      </c>
      <c r="U23" s="36" t="n">
        <v>1.3</v>
      </c>
      <c r="V23" s="36" t="n">
        <v>0.92</v>
      </c>
      <c r="W23" s="36" t="n">
        <v>-0.79</v>
      </c>
      <c r="X23" s="36" t="n">
        <v>-1</v>
      </c>
      <c r="Y23" s="36" t="n">
        <v>0.21</v>
      </c>
      <c r="Z23" s="36" t="n">
        <v>5.32</v>
      </c>
      <c r="AA23" s="36" t="n">
        <v>0.25</v>
      </c>
      <c r="AB23" s="36" t="n">
        <v>5.07</v>
      </c>
      <c r="AC23" s="36">
        <f>IF(OR(P23="",BL23="",BL23=0),"",P23/BL23)</f>
        <v/>
      </c>
      <c r="AD23" s="36">
        <f>IF(OR(S23="",BL23="",BL23=0),"",S23/BL23)</f>
        <v/>
      </c>
      <c r="AE23" s="36">
        <f>IF(OR(V23="",BL23="",BL23=0),"",V23/BL23)</f>
        <v/>
      </c>
      <c r="AF23" s="36">
        <f>IF(OR(Y23="",BL23="",BL23=0),"",Y23/BL23)</f>
        <v/>
      </c>
      <c r="AG23" s="36">
        <f>IF(OR(AB23="",BL23="",BL23=0),"",AB23/BL23)</f>
        <v/>
      </c>
      <c r="AH23" s="35" t="n">
        <v>69.90000000000001</v>
      </c>
      <c r="AI23" s="35" t="n">
        <v>18.9</v>
      </c>
      <c r="AJ23" s="35" t="n"/>
      <c r="AK23" s="35" t="n">
        <v>11.2</v>
      </c>
      <c r="AL23" s="35" t="n"/>
      <c r="AM23" s="35" t="n"/>
      <c r="AN23" s="35" t="n">
        <v>6.2</v>
      </c>
      <c r="AO23" s="35" t="n">
        <v>5.5</v>
      </c>
      <c r="AP23" s="35" t="n">
        <v>7.2</v>
      </c>
      <c r="AQ23" s="35" t="n"/>
      <c r="AR23" s="35" t="n"/>
      <c r="AS23" s="35" t="n"/>
      <c r="AT23" s="35" t="n"/>
      <c r="AU23" s="35" t="n"/>
      <c r="AV23" s="35" t="n"/>
      <c r="AW23" s="35" t="n"/>
      <c r="AX23" s="35" t="n"/>
      <c r="AY23" s="35" t="n"/>
      <c r="AZ23" s="35" t="n">
        <v>39.9</v>
      </c>
      <c r="BA23" s="35" t="n">
        <v>14.5</v>
      </c>
      <c r="BB23" s="35" t="n">
        <v>11.4</v>
      </c>
      <c r="BC23" s="35" t="n">
        <v>5.6</v>
      </c>
      <c r="BD23" s="35" t="n">
        <v>6.9</v>
      </c>
      <c r="BE23" s="35" t="n"/>
      <c r="BF23" s="35" t="n"/>
      <c r="BG23" s="35" t="n"/>
      <c r="BH23" s="35" t="n"/>
      <c r="BI23" s="35" t="n"/>
      <c r="BJ23" s="35" t="n"/>
      <c r="BK23" s="31" t="inlineStr">
        <is>
          <t>Kelington Group Berhad | Frontken Corporation Berhad | Taiwan Semiconductor Manufacturing Company Limited | Uchi Technologies Berhad | HD Hyundai Electric Company Limited</t>
        </is>
      </c>
      <c r="BL23" s="35" t="n">
        <v>11.1</v>
      </c>
      <c r="BM23" s="34" t="inlineStr">
        <is>
          <t>High</t>
        </is>
      </c>
      <c r="BN23" s="31" t="inlineStr">
        <is>
          <t>Equity Malaysia Domestic</t>
        </is>
      </c>
      <c r="BO23" s="31" t="inlineStr">
        <is>
          <t>Kuala Lumpur Syariah Index (prior to 1 November 2007). FTSE Bursa Malaysia EMAS Shariah Index (1 November 2007 to 29 April 2013). FTSE Bursa Malaysia Small Cap Shariah Index (w.e.f. 30 April 2013). Underlying index data are sourced from Lipper.</t>
        </is>
      </c>
      <c r="BP23" s="37" t="n">
        <v>0.714</v>
      </c>
      <c r="BQ23" s="34" t="inlineStr">
        <is>
          <t>2021-11-19</t>
        </is>
      </c>
      <c r="BR23" s="37" t="n">
        <v>0.5401</v>
      </c>
      <c r="BS23" s="36" t="n">
        <v>-24.36</v>
      </c>
      <c r="BT23" s="32" t="n">
        <v>1599</v>
      </c>
    </row>
    <row r="24" ht="16" customHeight="1">
      <c r="A24" s="26" t="inlineStr">
        <is>
          <t>PUBLIC e-ASIA EVOLVING GROWTH FUND</t>
        </is>
      </c>
      <c r="B24" s="26" t="inlineStr">
        <is>
          <t>PeAEVGF</t>
        </is>
      </c>
      <c r="C24" s="26" t="inlineStr">
        <is>
          <t>Conventional</t>
        </is>
      </c>
      <c r="D24" s="26" t="inlineStr">
        <is>
          <t>Equity</t>
        </is>
      </c>
      <c r="E24" s="26" t="inlineStr">
        <is>
          <t>Asia</t>
        </is>
      </c>
      <c r="F24" s="23" t="inlineStr">
        <is>
          <t>Capital Growth</t>
        </is>
      </c>
      <c r="G24" s="24" t="n">
        <v>5</v>
      </c>
      <c r="H24" s="23" t="inlineStr">
        <is>
          <t>Incidental</t>
        </is>
      </c>
      <c r="I24" s="25" t="n">
        <v>764.28</v>
      </c>
      <c r="J24" s="26" t="inlineStr">
        <is>
          <t>30.11.2021</t>
        </is>
      </c>
      <c r="K24" s="26" t="inlineStr">
        <is>
          <t>Qualified</t>
        </is>
      </c>
      <c r="L24" s="27" t="n">
        <v>100</v>
      </c>
      <c r="M24" s="26" t="inlineStr">
        <is>
          <t>3/3</t>
        </is>
      </c>
      <c r="N24" s="28" t="n">
        <v>11.61</v>
      </c>
      <c r="O24" s="28" t="n">
        <v>9.41</v>
      </c>
      <c r="P24" s="28" t="n">
        <v>2.2</v>
      </c>
      <c r="Q24" s="28" t="n">
        <v>26.36</v>
      </c>
      <c r="R24" s="28" t="n">
        <v>25.4</v>
      </c>
      <c r="S24" s="28" t="n">
        <v>0.96</v>
      </c>
      <c r="T24" s="28" t="n">
        <v>17.64</v>
      </c>
      <c r="U24" s="28" t="n">
        <v>16.9</v>
      </c>
      <c r="V24" s="28" t="n">
        <v>0.74</v>
      </c>
      <c r="W24" s="28" t="n"/>
      <c r="X24" s="28" t="n"/>
      <c r="Y24" s="28" t="n"/>
      <c r="Z24" s="28" t="n"/>
      <c r="AA24" s="28" t="n"/>
      <c r="AB24" s="28" t="n"/>
      <c r="AC24" s="28">
        <f>IF(OR(P24="",BL24="",BL24=0),"",P24/BL24)</f>
        <v/>
      </c>
      <c r="AD24" s="28">
        <f>IF(OR(S24="",BL24="",BL24=0),"",S24/BL24)</f>
        <v/>
      </c>
      <c r="AE24" s="28">
        <f>IF(OR(V24="",BL24="",BL24=0),"",V24/BL24)</f>
        <v/>
      </c>
      <c r="AF24" s="28">
        <f>IF(OR(Y24="",BL24="",BL24=0),"",Y24/BL24)</f>
        <v/>
      </c>
      <c r="AG24" s="28">
        <f>IF(OR(AB24="",BL24="",BL24=0),"",AB24/BL24)</f>
        <v/>
      </c>
      <c r="AH24" s="27" t="n">
        <v>1</v>
      </c>
      <c r="AI24" s="27" t="n">
        <v>85.2</v>
      </c>
      <c r="AJ24" s="27" t="n"/>
      <c r="AK24" s="27" t="n">
        <v>13.8</v>
      </c>
      <c r="AL24" s="27" t="n"/>
      <c r="AM24" s="27" t="n"/>
      <c r="AN24" s="27" t="n">
        <v>11.6</v>
      </c>
      <c r="AO24" s="27" t="n">
        <v>19.2</v>
      </c>
      <c r="AP24" s="27" t="n">
        <v>22.2</v>
      </c>
      <c r="AQ24" s="27" t="n"/>
      <c r="AR24" s="27" t="n"/>
      <c r="AS24" s="27" t="n">
        <v>1.6</v>
      </c>
      <c r="AT24" s="27" t="n">
        <v>30.6</v>
      </c>
      <c r="AU24" s="27" t="n"/>
      <c r="AV24" s="27" t="n"/>
      <c r="AW24" s="27" t="n"/>
      <c r="AX24" s="27" t="n"/>
      <c r="AY24" s="27" t="n"/>
      <c r="AZ24" s="27" t="n">
        <v>13.7</v>
      </c>
      <c r="BA24" s="27" t="n">
        <v>42.8</v>
      </c>
      <c r="BB24" s="27" t="n">
        <v>1</v>
      </c>
      <c r="BC24" s="27" t="n">
        <v>23.5</v>
      </c>
      <c r="BD24" s="27" t="n">
        <v>5.2</v>
      </c>
      <c r="BE24" s="27" t="n"/>
      <c r="BF24" s="27" t="n"/>
      <c r="BG24" s="27" t="n"/>
      <c r="BH24" s="27" t="n"/>
      <c r="BI24" s="27" t="n"/>
      <c r="BJ24" s="27" t="n"/>
      <c r="BK24" s="23" t="inlineStr">
        <is>
          <t>Samsung Electronics Company Limited | Taiwan Semiconductor Manufacturing Company Limited | SK Hynix Incorporated | Unimicron Technology Corporation | Alibaba Group Holding Limited - W</t>
        </is>
      </c>
      <c r="BL24" s="27" t="n">
        <v>18.5</v>
      </c>
      <c r="BM24" s="26" t="inlineStr">
        <is>
          <t>Very High</t>
        </is>
      </c>
      <c r="BN24" s="23" t="inlineStr">
        <is>
          <t>Equity Asia Pacific ex- Asia</t>
        </is>
      </c>
      <c r="BO24" s="23"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P24" s="29" t="n">
        <v>0.3294</v>
      </c>
      <c r="BQ24" s="26" t="inlineStr">
        <is>
          <t>2026-01-28</t>
        </is>
      </c>
      <c r="BR24" s="29" t="n">
        <v>0.2974</v>
      </c>
      <c r="BS24" s="28" t="n">
        <v>-9.710000000000001</v>
      </c>
      <c r="BT24" s="24" t="n">
        <v>68</v>
      </c>
    </row>
    <row r="25" ht="16" customHeight="1">
      <c r="A25" s="30" t="inlineStr">
        <is>
          <t>PUBLIC ISLAMIC SUSTAINABLE GROWTH FUND</t>
        </is>
      </c>
      <c r="B25" s="30" t="inlineStr">
        <is>
          <t>PISGRTF</t>
        </is>
      </c>
      <c r="C25" s="30" t="inlineStr">
        <is>
          <t>Shariah</t>
        </is>
      </c>
      <c r="D25" s="30" t="inlineStr">
        <is>
          <t>Equity</t>
        </is>
      </c>
      <c r="E25" s="30" t="inlineStr">
        <is>
          <t>Malaysia</t>
        </is>
      </c>
      <c r="F25" s="31" t="inlineStr">
        <is>
          <t>Capital Growth</t>
        </is>
      </c>
      <c r="G25" s="32" t="n">
        <v>4</v>
      </c>
      <c r="H25" s="31" t="inlineStr">
        <is>
          <t>Incidental</t>
        </is>
      </c>
      <c r="I25" s="33" t="n">
        <v>122.8</v>
      </c>
      <c r="J25" s="34" t="inlineStr">
        <is>
          <t>04.06.2024</t>
        </is>
      </c>
      <c r="K25" s="34" t="inlineStr">
        <is>
          <t>Qualified</t>
        </is>
      </c>
      <c r="L25" s="35" t="n">
        <v>100</v>
      </c>
      <c r="M25" s="34" t="inlineStr">
        <is>
          <t>2/2</t>
        </is>
      </c>
      <c r="N25" s="36" t="n">
        <v>1.12</v>
      </c>
      <c r="O25" s="36" t="n">
        <v>0.9</v>
      </c>
      <c r="P25" s="36" t="n">
        <v>0.22</v>
      </c>
      <c r="Q25" s="36" t="n">
        <v>10.94</v>
      </c>
      <c r="R25" s="36" t="n">
        <v>6.81</v>
      </c>
      <c r="S25" s="36" t="n">
        <v>4.13</v>
      </c>
      <c r="T25" s="36" t="n"/>
      <c r="U25" s="36" t="n"/>
      <c r="V25" s="36" t="n"/>
      <c r="W25" s="36" t="n"/>
      <c r="X25" s="36" t="n"/>
      <c r="Y25" s="36" t="n"/>
      <c r="Z25" s="36" t="n"/>
      <c r="AA25" s="36" t="n"/>
      <c r="AB25" s="36" t="n"/>
      <c r="AC25" s="36">
        <f>IF(OR(P25="",BL25="",BL25=0),"",P25/BL25)</f>
        <v/>
      </c>
      <c r="AD25" s="36">
        <f>IF(OR(S25="",BL25="",BL25=0),"",S25/BL25)</f>
        <v/>
      </c>
      <c r="AE25" s="36">
        <f>IF(OR(V25="",BL25="",BL25=0),"",V25/BL25)</f>
        <v/>
      </c>
      <c r="AF25" s="36">
        <f>IF(OR(Y25="",BL25="",BL25=0),"",Y25/BL25)</f>
        <v/>
      </c>
      <c r="AG25" s="36">
        <f>IF(OR(AB25="",BL25="",BL25=0),"",AB25/BL25)</f>
        <v/>
      </c>
      <c r="AH25" s="35" t="n">
        <v>75.59999999999999</v>
      </c>
      <c r="AI25" s="35" t="n">
        <v>16.4</v>
      </c>
      <c r="AJ25" s="35" t="n"/>
      <c r="AK25" s="35" t="n">
        <v>8</v>
      </c>
      <c r="AL25" s="35" t="n"/>
      <c r="AM25" s="35" t="n"/>
      <c r="AN25" s="35" t="n">
        <v>8.1</v>
      </c>
      <c r="AO25" s="35" t="n">
        <v>5.7</v>
      </c>
      <c r="AP25" s="35" t="n"/>
      <c r="AQ25" s="35" t="n"/>
      <c r="AR25" s="35" t="n"/>
      <c r="AS25" s="35" t="n"/>
      <c r="AT25" s="35" t="n">
        <v>2.6</v>
      </c>
      <c r="AU25" s="35" t="n"/>
      <c r="AV25" s="35" t="n"/>
      <c r="AW25" s="35" t="n"/>
      <c r="AX25" s="35" t="n"/>
      <c r="AY25" s="35" t="n"/>
      <c r="AZ25" s="35" t="n">
        <v>20.3</v>
      </c>
      <c r="BA25" s="35" t="n"/>
      <c r="BB25" s="35" t="n">
        <v>22.6</v>
      </c>
      <c r="BC25" s="35" t="n">
        <v>24.5</v>
      </c>
      <c r="BD25" s="35" t="n"/>
      <c r="BE25" s="35" t="n">
        <v>7.2</v>
      </c>
      <c r="BF25" s="35" t="n">
        <v>9.6</v>
      </c>
      <c r="BG25" s="35" t="n"/>
      <c r="BH25" s="35" t="n"/>
      <c r="BI25" s="35" t="n"/>
      <c r="BJ25" s="35" t="n"/>
      <c r="BK25" s="31" t="inlineStr">
        <is>
          <t>Tenaga Nasional Berhad | Sunway Berhad | Telekom Malaysia Berhad | TIME dotCom Berhad | QL Resources Berhad</t>
        </is>
      </c>
      <c r="BL25" s="35" t="n"/>
      <c r="BM25" s="34" t="n"/>
      <c r="BN25" s="31" t="n"/>
      <c r="BO25" s="31" t="inlineStr">
        <is>
          <t>Index data are sourced from Lipper.</t>
        </is>
      </c>
      <c r="BP25" s="37" t="n">
        <v>0.2681</v>
      </c>
      <c r="BQ25" s="34" t="inlineStr">
        <is>
          <t>2026-01-27</t>
        </is>
      </c>
      <c r="BR25" s="37" t="n">
        <v>0.2479</v>
      </c>
      <c r="BS25" s="36" t="n">
        <v>-7.53</v>
      </c>
      <c r="BT25" s="32" t="n">
        <v>69</v>
      </c>
    </row>
    <row r="26" ht="16" customHeight="1">
      <c r="A26" s="22" t="inlineStr">
        <is>
          <t>PUBLIC ISLAMIC GLOBAL SUSTAINABLE GROWTH FUND</t>
        </is>
      </c>
      <c r="B26" s="22" t="inlineStr">
        <is>
          <t>PISGSGF</t>
        </is>
      </c>
      <c r="C26" s="22" t="inlineStr">
        <is>
          <t>Shariah</t>
        </is>
      </c>
      <c r="D26" s="22" t="inlineStr">
        <is>
          <t>Equity</t>
        </is>
      </c>
      <c r="E26" s="22" t="inlineStr">
        <is>
          <t>Global</t>
        </is>
      </c>
      <c r="F26" s="23" t="inlineStr">
        <is>
          <t>Capital Growth</t>
        </is>
      </c>
      <c r="G26" s="24" t="n">
        <v>5</v>
      </c>
      <c r="H26" s="23" t="inlineStr">
        <is>
          <t>Incidental</t>
        </is>
      </c>
      <c r="I26" s="25" t="n">
        <v>722.51</v>
      </c>
      <c r="J26" s="26" t="inlineStr">
        <is>
          <t>20.02.2024</t>
        </is>
      </c>
      <c r="K26" s="26" t="inlineStr">
        <is>
          <t>Qualified</t>
        </is>
      </c>
      <c r="L26" s="27" t="n">
        <v>100</v>
      </c>
      <c r="M26" s="26" t="inlineStr">
        <is>
          <t>2/2</t>
        </is>
      </c>
      <c r="N26" s="28" t="n">
        <v>0.23</v>
      </c>
      <c r="O26" s="28" t="n">
        <v>-0.05</v>
      </c>
      <c r="P26" s="28" t="n">
        <v>0.28</v>
      </c>
      <c r="Q26" s="28" t="n">
        <v>16.92</v>
      </c>
      <c r="R26" s="28" t="n">
        <v>8.279999999999999</v>
      </c>
      <c r="S26" s="28" t="n">
        <v>8.640000000000001</v>
      </c>
      <c r="T26" s="28" t="n"/>
      <c r="U26" s="28" t="n"/>
      <c r="V26" s="28" t="n"/>
      <c r="W26" s="28" t="n"/>
      <c r="X26" s="28" t="n"/>
      <c r="Y26" s="28" t="n"/>
      <c r="Z26" s="28" t="n"/>
      <c r="AA26" s="28" t="n"/>
      <c r="AB26" s="28" t="n"/>
      <c r="AC26" s="28">
        <f>IF(OR(P26="",BL26="",BL26=0),"",P26/BL26)</f>
        <v/>
      </c>
      <c r="AD26" s="28">
        <f>IF(OR(S26="",BL26="",BL26=0),"",S26/BL26)</f>
        <v/>
      </c>
      <c r="AE26" s="28">
        <f>IF(OR(V26="",BL26="",BL26=0),"",V26/BL26)</f>
        <v/>
      </c>
      <c r="AF26" s="28">
        <f>IF(OR(Y26="",BL26="",BL26=0),"",Y26/BL26)</f>
        <v/>
      </c>
      <c r="AG26" s="28">
        <f>IF(OR(AB26="",BL26="",BL26=0),"",AB26/BL26)</f>
        <v/>
      </c>
      <c r="AH26" s="27" t="n">
        <v>3.7</v>
      </c>
      <c r="AI26" s="27" t="n">
        <v>81.2</v>
      </c>
      <c r="AJ26" s="27" t="n"/>
      <c r="AK26" s="27" t="n">
        <v>15.1</v>
      </c>
      <c r="AL26" s="27" t="n"/>
      <c r="AM26" s="27" t="n"/>
      <c r="AN26" s="27" t="n">
        <v>51</v>
      </c>
      <c r="AO26" s="27" t="n">
        <v>9.5</v>
      </c>
      <c r="AP26" s="27" t="n">
        <v>8.199999999999999</v>
      </c>
      <c r="AQ26" s="27" t="n"/>
      <c r="AR26" s="27" t="n"/>
      <c r="AS26" s="27" t="n"/>
      <c r="AT26" s="27" t="n">
        <v>4.5</v>
      </c>
      <c r="AU26" s="27" t="n"/>
      <c r="AV26" s="27" t="n">
        <v>6.6</v>
      </c>
      <c r="AW26" s="27" t="n"/>
      <c r="AX26" s="27" t="n"/>
      <c r="AY26" s="27" t="n"/>
      <c r="AZ26" s="27" t="n"/>
      <c r="BA26" s="27" t="n">
        <v>49.8</v>
      </c>
      <c r="BB26" s="27" t="n">
        <v>5.1</v>
      </c>
      <c r="BC26" s="27" t="n">
        <v>23.4</v>
      </c>
      <c r="BD26" s="27" t="n">
        <v>5</v>
      </c>
      <c r="BE26" s="27" t="n">
        <v>1.6</v>
      </c>
      <c r="BF26" s="27" t="n"/>
      <c r="BG26" s="27" t="n"/>
      <c r="BH26" s="27" t="n"/>
      <c r="BI26" s="27" t="n"/>
      <c r="BJ26" s="27" t="n"/>
      <c r="BK26" s="23" t="inlineStr">
        <is>
          <t>Taiwan Semiconductor Manufacturing Company Limited | Alphabet Incorporated - Class A | Apple Incorporated | Meta Platforms Incorporated | ASML Holding N.V. - NYS</t>
        </is>
      </c>
      <c r="BL26" s="27" t="n"/>
      <c r="BM26" s="26" t="n"/>
      <c r="BN26" s="23" t="n"/>
      <c r="BO26" s="23" t="inlineStr">
        <is>
          <t>The benchmark for PISGSGF is a composite of 90% S&amp;P Global 1200 ESG Shariah Index and 10% 3-Month Islamic Interbank Money Market (IIMM) rate. UnderlyingindexdataaresourcedfromS&amp;PDowJonesIndices,LLCandBank Negara Malaysia and expressed in Ringgit terms.</t>
        </is>
      </c>
      <c r="BP26" s="29" t="n">
        <v>0.3218</v>
      </c>
      <c r="BQ26" s="26" t="inlineStr">
        <is>
          <t>2025-10-29</t>
        </is>
      </c>
      <c r="BR26" s="29" t="n">
        <v>0.2868</v>
      </c>
      <c r="BS26" s="28" t="n">
        <v>-10.88</v>
      </c>
      <c r="BT26" s="24" t="n">
        <v>159</v>
      </c>
    </row>
    <row r="27" ht="16" customHeight="1">
      <c r="A27" s="34" t="inlineStr">
        <is>
          <t>PUBLIC CHINA SELECT FUND</t>
        </is>
      </c>
      <c r="B27" s="34" t="inlineStr">
        <is>
          <t>PCSF</t>
        </is>
      </c>
      <c r="C27" s="34" t="inlineStr">
        <is>
          <t>Conventional</t>
        </is>
      </c>
      <c r="D27" s="34" t="inlineStr">
        <is>
          <t>Equity</t>
        </is>
      </c>
      <c r="E27" s="34" t="inlineStr">
        <is>
          <t>Greater China</t>
        </is>
      </c>
      <c r="F27" s="31" t="inlineStr">
        <is>
          <t>Capital Growth</t>
        </is>
      </c>
      <c r="G27" s="32" t="n">
        <v>5</v>
      </c>
      <c r="H27" s="31" t="inlineStr">
        <is>
          <t>Incidental</t>
        </is>
      </c>
      <c r="I27" s="33" t="n">
        <v>879.09</v>
      </c>
      <c r="J27" s="34" t="inlineStr">
        <is>
          <t>05.06.2007</t>
        </is>
      </c>
      <c r="K27" s="34" t="inlineStr">
        <is>
          <t>Qualified</t>
        </is>
      </c>
      <c r="L27" s="35" t="n">
        <v>80</v>
      </c>
      <c r="M27" s="34" t="inlineStr">
        <is>
          <t>4/5</t>
        </is>
      </c>
      <c r="N27" s="36" t="n">
        <v>2.92</v>
      </c>
      <c r="O27" s="36" t="n">
        <v>3.47</v>
      </c>
      <c r="P27" s="36" t="n">
        <v>-0.55</v>
      </c>
      <c r="Q27" s="36" t="n">
        <v>28.84</v>
      </c>
      <c r="R27" s="36" t="n">
        <v>11.24</v>
      </c>
      <c r="S27" s="36" t="n">
        <v>17.6</v>
      </c>
      <c r="T27" s="36" t="n">
        <v>18.19</v>
      </c>
      <c r="U27" s="36" t="n">
        <v>10.93</v>
      </c>
      <c r="V27" s="36" t="n">
        <v>7.26</v>
      </c>
      <c r="W27" s="36" t="n">
        <v>3.99</v>
      </c>
      <c r="X27" s="36" t="n">
        <v>-0.61</v>
      </c>
      <c r="Y27" s="36" t="n">
        <v>4.6</v>
      </c>
      <c r="Z27" s="36" t="n">
        <v>9.4</v>
      </c>
      <c r="AA27" s="36" t="n">
        <v>7.19</v>
      </c>
      <c r="AB27" s="36" t="n">
        <v>2.21</v>
      </c>
      <c r="AC27" s="36">
        <f>IF(OR(P27="",BL27="",BL27=0),"",P27/BL27)</f>
        <v/>
      </c>
      <c r="AD27" s="36">
        <f>IF(OR(S27="",BL27="",BL27=0),"",S27/BL27)</f>
        <v/>
      </c>
      <c r="AE27" s="36">
        <f>IF(OR(V27="",BL27="",BL27=0),"",V27/BL27)</f>
        <v/>
      </c>
      <c r="AF27" s="36">
        <f>IF(OR(Y27="",BL27="",BL27=0),"",Y27/BL27)</f>
        <v/>
      </c>
      <c r="AG27" s="36">
        <f>IF(OR(AB27="",BL27="",BL27=0),"",AB27/BL27)</f>
        <v/>
      </c>
      <c r="AH27" s="35" t="n"/>
      <c r="AI27" s="35" t="n">
        <v>94.8</v>
      </c>
      <c r="AJ27" s="35" t="n"/>
      <c r="AK27" s="35" t="n">
        <v>5.2</v>
      </c>
      <c r="AL27" s="35" t="n"/>
      <c r="AM27" s="35" t="n"/>
      <c r="AN27" s="35" t="n">
        <v>19</v>
      </c>
      <c r="AO27" s="35" t="n">
        <v>49.7</v>
      </c>
      <c r="AP27" s="35" t="n"/>
      <c r="AQ27" s="35" t="n"/>
      <c r="AR27" s="35" t="n"/>
      <c r="AS27" s="35" t="n"/>
      <c r="AT27" s="35" t="n">
        <v>26.1</v>
      </c>
      <c r="AU27" s="35" t="n"/>
      <c r="AV27" s="35" t="n"/>
      <c r="AW27" s="35" t="n"/>
      <c r="AX27" s="35" t="n"/>
      <c r="AY27" s="35" t="n"/>
      <c r="AZ27" s="35" t="n">
        <v>15.5</v>
      </c>
      <c r="BA27" s="35" t="n">
        <v>40.3</v>
      </c>
      <c r="BB27" s="35" t="n"/>
      <c r="BC27" s="35" t="n">
        <v>30.6</v>
      </c>
      <c r="BD27" s="35" t="n">
        <v>8.4</v>
      </c>
      <c r="BE27" s="35" t="n"/>
      <c r="BF27" s="35" t="n"/>
      <c r="BG27" s="35" t="n"/>
      <c r="BH27" s="35" t="n"/>
      <c r="BI27" s="35" t="n"/>
      <c r="BJ27" s="35" t="n"/>
      <c r="BK27" s="31" t="inlineStr">
        <is>
          <t>Taiwan Semiconductor Manufacturing Company Limited | Asia Vital Components Company Limited | Elite Material Company Limited | Alibaba Group Holding Limited - W | Tencent Holdings Limited</t>
        </is>
      </c>
      <c r="BL27" s="35" t="n">
        <v>16.4</v>
      </c>
      <c r="BM27" s="34" t="inlineStr">
        <is>
          <t>Very High</t>
        </is>
      </c>
      <c r="BN27" s="31" t="inlineStr">
        <is>
          <t>Equity Greater China Greater China</t>
        </is>
      </c>
      <c r="BO27" s="31" t="n"/>
      <c r="BP27" s="37" t="n">
        <v>0.5153</v>
      </c>
      <c r="BQ27" s="34" t="inlineStr">
        <is>
          <t>2026-03-18</t>
        </is>
      </c>
      <c r="BR27" s="37" t="n">
        <v>0.5024999999999999</v>
      </c>
      <c r="BS27" s="36" t="n">
        <v>-2.48</v>
      </c>
      <c r="BT27" s="32" t="n">
        <v>19</v>
      </c>
    </row>
    <row r="28" ht="16" customHeight="1">
      <c r="A28" s="26" t="inlineStr">
        <is>
          <t>PB GROWTH SEQUEL FUND</t>
        </is>
      </c>
      <c r="B28" s="26" t="inlineStr">
        <is>
          <t>PBGSQF</t>
        </is>
      </c>
      <c r="C28" s="26" t="inlineStr">
        <is>
          <t>Conventional</t>
        </is>
      </c>
      <c r="D28" s="26" t="inlineStr">
        <is>
          <t>Equity</t>
        </is>
      </c>
      <c r="E28" s="26" t="inlineStr">
        <is>
          <t>Malaysia</t>
        </is>
      </c>
      <c r="F28" s="23" t="inlineStr">
        <is>
          <t>Capital Growth</t>
        </is>
      </c>
      <c r="G28" s="24" t="n">
        <v>4</v>
      </c>
      <c r="H28" s="23" t="inlineStr">
        <is>
          <t>Incidental</t>
        </is>
      </c>
      <c r="I28" s="25" t="n">
        <v>64.33</v>
      </c>
      <c r="J28" s="26" t="inlineStr">
        <is>
          <t>15.11.2011</t>
        </is>
      </c>
      <c r="K28" s="26" t="inlineStr">
        <is>
          <t>Qualified</t>
        </is>
      </c>
      <c r="L28" s="27" t="n">
        <v>80</v>
      </c>
      <c r="M28" s="26" t="inlineStr">
        <is>
          <t>4/5</t>
        </is>
      </c>
      <c r="N28" s="28" t="n">
        <v>-0.65</v>
      </c>
      <c r="O28" s="28" t="n">
        <v>2.17</v>
      </c>
      <c r="P28" s="28" t="n">
        <v>-2.82</v>
      </c>
      <c r="Q28" s="28" t="n">
        <v>13.3</v>
      </c>
      <c r="R28" s="28" t="n">
        <v>9.01</v>
      </c>
      <c r="S28" s="28" t="n">
        <v>4.29</v>
      </c>
      <c r="T28" s="28" t="n">
        <v>11.49</v>
      </c>
      <c r="U28" s="28" t="n">
        <v>5.69</v>
      </c>
      <c r="V28" s="28" t="n">
        <v>5.8</v>
      </c>
      <c r="W28" s="28" t="n">
        <v>5.16</v>
      </c>
      <c r="X28" s="28" t="n">
        <v>1.7</v>
      </c>
      <c r="Y28" s="28" t="n">
        <v>3.46</v>
      </c>
      <c r="Z28" s="28" t="n">
        <v>4.3</v>
      </c>
      <c r="AA28" s="28" t="n">
        <v>0.37</v>
      </c>
      <c r="AB28" s="28" t="n">
        <v>3.93</v>
      </c>
      <c r="AC28" s="28">
        <f>IF(OR(P28="",BL28="",BL28=0),"",P28/BL28)</f>
        <v/>
      </c>
      <c r="AD28" s="28">
        <f>IF(OR(S28="",BL28="",BL28=0),"",S28/BL28)</f>
        <v/>
      </c>
      <c r="AE28" s="28">
        <f>IF(OR(V28="",BL28="",BL28=0),"",V28/BL28)</f>
        <v/>
      </c>
      <c r="AF28" s="28">
        <f>IF(OR(Y28="",BL28="",BL28=0),"",Y28/BL28)</f>
        <v/>
      </c>
      <c r="AG28" s="28">
        <f>IF(OR(AB28="",BL28="",BL28=0),"",AB28/BL28)</f>
        <v/>
      </c>
      <c r="AH28" s="27" t="n">
        <v>76.3</v>
      </c>
      <c r="AI28" s="27" t="n">
        <v>15.3</v>
      </c>
      <c r="AJ28" s="27" t="n"/>
      <c r="AK28" s="27" t="n">
        <v>8.4</v>
      </c>
      <c r="AL28" s="27" t="n"/>
      <c r="AM28" s="27" t="n"/>
      <c r="AN28" s="27" t="n">
        <v>10.4</v>
      </c>
      <c r="AO28" s="27" t="n">
        <v>4.9</v>
      </c>
      <c r="AP28" s="27" t="n"/>
      <c r="AQ28" s="27" t="n"/>
      <c r="AR28" s="27" t="n"/>
      <c r="AS28" s="27" t="n"/>
      <c r="AT28" s="27" t="n"/>
      <c r="AU28" s="27" t="n"/>
      <c r="AV28" s="27" t="n"/>
      <c r="AW28" s="27" t="n"/>
      <c r="AX28" s="27" t="n"/>
      <c r="AY28" s="27" t="n"/>
      <c r="AZ28" s="27" t="n">
        <v>28.5</v>
      </c>
      <c r="BA28" s="27" t="n">
        <v>4.9</v>
      </c>
      <c r="BB28" s="27" t="n">
        <v>24.7</v>
      </c>
      <c r="BC28" s="27" t="n">
        <v>17.7</v>
      </c>
      <c r="BD28" s="27" t="n"/>
      <c r="BE28" s="27" t="n">
        <v>8.4</v>
      </c>
      <c r="BF28" s="27" t="n"/>
      <c r="BG28" s="27" t="n"/>
      <c r="BH28" s="27" t="n"/>
      <c r="BI28" s="27" t="n"/>
      <c r="BJ28" s="27" t="n"/>
      <c r="BK28" s="23" t="inlineStr">
        <is>
          <t>Public Bank Berhad | Sunway Berhad | Southern Cable Group Berhad | QL Resources Berhad | Malayan Cement Berhad</t>
        </is>
      </c>
      <c r="BL28" s="27" t="n">
        <v>8.9</v>
      </c>
      <c r="BM28" s="26" t="inlineStr">
        <is>
          <t>Moderate</t>
        </is>
      </c>
      <c r="BN28" s="23" t="inlineStr">
        <is>
          <t>Equity Malaysia</t>
        </is>
      </c>
      <c r="BO28" s="23" t="inlineStr">
        <is>
          <t>Index data are sourced from Lipper.</t>
        </is>
      </c>
      <c r="BP28" s="29" t="n">
        <v>0.3784</v>
      </c>
      <c r="BQ28" s="26" t="inlineStr">
        <is>
          <t>2026-01-27</t>
        </is>
      </c>
      <c r="BR28" s="29" t="n">
        <v>0.3462</v>
      </c>
      <c r="BS28" s="28" t="n">
        <v>-8.51</v>
      </c>
      <c r="BT28" s="24" t="n">
        <v>69</v>
      </c>
    </row>
    <row r="29" ht="16" customHeight="1">
      <c r="A29" s="30" t="inlineStr">
        <is>
          <t>PUBLIC ITTIKAL FUND</t>
        </is>
      </c>
      <c r="B29" s="30" t="inlineStr">
        <is>
          <t>P ITTIKAL</t>
        </is>
      </c>
      <c r="C29" s="30" t="inlineStr">
        <is>
          <t>Shariah</t>
        </is>
      </c>
      <c r="D29" s="30" t="inlineStr">
        <is>
          <t>Equity</t>
        </is>
      </c>
      <c r="E29" s="30" t="inlineStr">
        <is>
          <t>Malaysia</t>
        </is>
      </c>
      <c r="F29" s="31" t="inlineStr">
        <is>
          <t>Capital Growth</t>
        </is>
      </c>
      <c r="G29" s="32" t="n">
        <v>4</v>
      </c>
      <c r="H29" s="31" t="inlineStr">
        <is>
          <t>Incidental</t>
        </is>
      </c>
      <c r="I29" s="33" t="n">
        <v>3917.94</v>
      </c>
      <c r="J29" s="34" t="inlineStr">
        <is>
          <t>10.04.1997</t>
        </is>
      </c>
      <c r="K29" s="34" t="inlineStr">
        <is>
          <t>Qualified</t>
        </is>
      </c>
      <c r="L29" s="35" t="n">
        <v>80</v>
      </c>
      <c r="M29" s="34" t="inlineStr">
        <is>
          <t>4/5</t>
        </is>
      </c>
      <c r="N29" s="36" t="n">
        <v>-0.51</v>
      </c>
      <c r="O29" s="36" t="n">
        <v>1</v>
      </c>
      <c r="P29" s="36" t="n">
        <v>-1.51</v>
      </c>
      <c r="Q29" s="36" t="n">
        <v>12.12</v>
      </c>
      <c r="R29" s="36" t="n">
        <v>7.06</v>
      </c>
      <c r="S29" s="36" t="n">
        <v>5.06</v>
      </c>
      <c r="T29" s="36" t="n">
        <v>9.970000000000001</v>
      </c>
      <c r="U29" s="36" t="n">
        <v>4.2</v>
      </c>
      <c r="V29" s="36" t="n">
        <v>5.77</v>
      </c>
      <c r="W29" s="36" t="n">
        <v>4.75</v>
      </c>
      <c r="X29" s="36" t="n">
        <v>-1.2</v>
      </c>
      <c r="Y29" s="36" t="n">
        <v>5.95</v>
      </c>
      <c r="Z29" s="36" t="n">
        <v>3.48</v>
      </c>
      <c r="AA29" s="36" t="n">
        <v>-0.03</v>
      </c>
      <c r="AB29" s="36" t="n">
        <v>3.51</v>
      </c>
      <c r="AC29" s="36">
        <f>IF(OR(P29="",BL29="",BL29=0),"",P29/BL29)</f>
        <v/>
      </c>
      <c r="AD29" s="36">
        <f>IF(OR(S29="",BL29="",BL29=0),"",S29/BL29)</f>
        <v/>
      </c>
      <c r="AE29" s="36">
        <f>IF(OR(V29="",BL29="",BL29=0),"",V29/BL29)</f>
        <v/>
      </c>
      <c r="AF29" s="36">
        <f>IF(OR(Y29="",BL29="",BL29=0),"",Y29/BL29)</f>
        <v/>
      </c>
      <c r="AG29" s="36">
        <f>IF(OR(AB29="",BL29="",BL29=0),"",AB29/BL29)</f>
        <v/>
      </c>
      <c r="AH29" s="35" t="n">
        <v>75</v>
      </c>
      <c r="AI29" s="35" t="n">
        <v>20.4</v>
      </c>
      <c r="AJ29" s="35" t="n"/>
      <c r="AK29" s="35" t="n">
        <v>4.6</v>
      </c>
      <c r="AL29" s="35" t="n"/>
      <c r="AM29" s="35" t="n"/>
      <c r="AN29" s="35" t="n">
        <v>12.1</v>
      </c>
      <c r="AO29" s="35" t="n">
        <v>8.300000000000001</v>
      </c>
      <c r="AP29" s="35" t="n"/>
      <c r="AQ29" s="35" t="n"/>
      <c r="AR29" s="35" t="n"/>
      <c r="AS29" s="35" t="n"/>
      <c r="AT29" s="35" t="n"/>
      <c r="AU29" s="35" t="n"/>
      <c r="AV29" s="35" t="n"/>
      <c r="AW29" s="35" t="n"/>
      <c r="AX29" s="35" t="n"/>
      <c r="AY29" s="35" t="n"/>
      <c r="AZ29" s="35" t="n"/>
      <c r="BA29" s="35" t="n">
        <v>12</v>
      </c>
      <c r="BB29" s="35" t="n">
        <v>13.8</v>
      </c>
      <c r="BC29" s="35" t="n">
        <v>19.1</v>
      </c>
      <c r="BD29" s="35" t="n"/>
      <c r="BE29" s="35" t="n">
        <v>21</v>
      </c>
      <c r="BF29" s="35" t="n">
        <v>9.699999999999999</v>
      </c>
      <c r="BG29" s="35" t="n"/>
      <c r="BH29" s="35" t="n"/>
      <c r="BI29" s="35" t="n"/>
      <c r="BJ29" s="35" t="n"/>
      <c r="BK29" s="31" t="inlineStr">
        <is>
          <t>Sunway Berhad | Tenaga Nasional Berhad | IHH Healthcare Berhad | Telekom Malaysia Berhad | QL Resources Berhad</t>
        </is>
      </c>
      <c r="BL29" s="35" t="n">
        <v>8.5</v>
      </c>
      <c r="BM29" s="34" t="inlineStr">
        <is>
          <t>Moderate</t>
        </is>
      </c>
      <c r="BN29" s="31" t="inlineStr">
        <is>
          <t>Equity Malaysia Domestic</t>
        </is>
      </c>
      <c r="BO29" s="31" t="inlineStr">
        <is>
          <t>Kuala Lumpur Syariah Index (prior to 1 November 2007). FTSE Bursa Malaysia EMAS Shariah Index (w.e.f. 1 November 2007).</t>
        </is>
      </c>
      <c r="BP29" s="37" t="n">
        <v>1.31</v>
      </c>
      <c r="BQ29" s="34" t="inlineStr">
        <is>
          <t>2000-02-24</t>
        </is>
      </c>
      <c r="BR29" s="37" t="n">
        <v>0.9298</v>
      </c>
      <c r="BS29" s="36" t="n">
        <v>-29.02</v>
      </c>
      <c r="BT29" s="32" t="n">
        <v>9538</v>
      </c>
    </row>
    <row r="30" ht="16" customHeight="1">
      <c r="A30" s="26" t="inlineStr">
        <is>
          <t>PUBLIC SECTOR SELECT FUND</t>
        </is>
      </c>
      <c r="B30" s="26" t="inlineStr">
        <is>
          <t>PSSF</t>
        </is>
      </c>
      <c r="C30" s="26" t="inlineStr">
        <is>
          <t>Conventional</t>
        </is>
      </c>
      <c r="D30" s="26" t="inlineStr">
        <is>
          <t>Equity</t>
        </is>
      </c>
      <c r="E30" s="26" t="inlineStr">
        <is>
          <t>Malaysia</t>
        </is>
      </c>
      <c r="F30" s="23" t="inlineStr">
        <is>
          <t>Capital Growth</t>
        </is>
      </c>
      <c r="G30" s="24" t="n">
        <v>4</v>
      </c>
      <c r="H30" s="23" t="inlineStr">
        <is>
          <t>Incidental</t>
        </is>
      </c>
      <c r="I30" s="25" t="n">
        <v>378.83</v>
      </c>
      <c r="J30" s="26" t="inlineStr">
        <is>
          <t>13.11.2007</t>
        </is>
      </c>
      <c r="K30" s="26" t="inlineStr">
        <is>
          <t>Qualified</t>
        </is>
      </c>
      <c r="L30" s="27" t="n">
        <v>80</v>
      </c>
      <c r="M30" s="26" t="inlineStr">
        <is>
          <t>4/5</t>
        </is>
      </c>
      <c r="N30" s="28" t="n">
        <v>1.87</v>
      </c>
      <c r="O30" s="28" t="n">
        <v>2.7</v>
      </c>
      <c r="P30" s="28" t="n">
        <v>-0.83</v>
      </c>
      <c r="Q30" s="28" t="n">
        <v>13.3</v>
      </c>
      <c r="R30" s="28" t="n">
        <v>8.15</v>
      </c>
      <c r="S30" s="28" t="n">
        <v>5.15</v>
      </c>
      <c r="T30" s="28" t="n">
        <v>11.21</v>
      </c>
      <c r="U30" s="28" t="n">
        <v>6.58</v>
      </c>
      <c r="V30" s="28" t="n">
        <v>4.63</v>
      </c>
      <c r="W30" s="28" t="n">
        <v>6.17</v>
      </c>
      <c r="X30" s="28" t="n">
        <v>1.93</v>
      </c>
      <c r="Y30" s="28" t="n">
        <v>4.24</v>
      </c>
      <c r="Z30" s="28" t="n">
        <v>5.51</v>
      </c>
      <c r="AA30" s="28" t="n">
        <v>1.04</v>
      </c>
      <c r="AB30" s="28" t="n">
        <v>4.47</v>
      </c>
      <c r="AC30" s="28">
        <f>IF(OR(P30="",BL30="",BL30=0),"",P30/BL30)</f>
        <v/>
      </c>
      <c r="AD30" s="28">
        <f>IF(OR(S30="",BL30="",BL30=0),"",S30/BL30)</f>
        <v/>
      </c>
      <c r="AE30" s="28">
        <f>IF(OR(V30="",BL30="",BL30=0),"",V30/BL30)</f>
        <v/>
      </c>
      <c r="AF30" s="28">
        <f>IF(OR(Y30="",BL30="",BL30=0),"",Y30/BL30)</f>
        <v/>
      </c>
      <c r="AG30" s="28">
        <f>IF(OR(AB30="",BL30="",BL30=0),"",AB30/BL30)</f>
        <v/>
      </c>
      <c r="AH30" s="27" t="n">
        <v>76.2</v>
      </c>
      <c r="AI30" s="27" t="n">
        <v>19.6</v>
      </c>
      <c r="AJ30" s="27" t="n"/>
      <c r="AK30" s="27" t="n">
        <v>4.2</v>
      </c>
      <c r="AL30" s="27" t="n"/>
      <c r="AM30" s="27" t="n"/>
      <c r="AN30" s="27" t="n">
        <v>14.3</v>
      </c>
      <c r="AO30" s="27" t="n"/>
      <c r="AP30" s="27" t="n"/>
      <c r="AQ30" s="27" t="n"/>
      <c r="AR30" s="27" t="n">
        <v>3</v>
      </c>
      <c r="AS30" s="27" t="n"/>
      <c r="AT30" s="27" t="n">
        <v>2.3</v>
      </c>
      <c r="AU30" s="27" t="n"/>
      <c r="AV30" s="27" t="n"/>
      <c r="AW30" s="27" t="n"/>
      <c r="AX30" s="27" t="n"/>
      <c r="AY30" s="27" t="n"/>
      <c r="AZ30" s="27" t="n"/>
      <c r="BA30" s="27" t="n">
        <v>7</v>
      </c>
      <c r="BB30" s="27" t="n">
        <v>44.9</v>
      </c>
      <c r="BC30" s="27" t="n">
        <v>17.4</v>
      </c>
      <c r="BD30" s="27" t="n"/>
      <c r="BE30" s="27" t="n">
        <v>8.9</v>
      </c>
      <c r="BF30" s="27" t="n">
        <v>5.9</v>
      </c>
      <c r="BG30" s="27" t="n"/>
      <c r="BH30" s="27" t="n"/>
      <c r="BI30" s="27" t="n"/>
      <c r="BJ30" s="27" t="n"/>
      <c r="BK30" s="23" t="inlineStr">
        <is>
          <t>Malayan Banking Berhad | Public Bank Berhad | Telekom Malaysia Berhad | Meta Platforms Incorporated | NVIDIA Corporation</t>
        </is>
      </c>
      <c r="BL30" s="27" t="n">
        <v>6.1</v>
      </c>
      <c r="BM30" s="26" t="inlineStr">
        <is>
          <t>Low</t>
        </is>
      </c>
      <c r="BN30" s="23" t="inlineStr">
        <is>
          <t>Equity Malaysia Domestic 25% of the fund’s NAV</t>
        </is>
      </c>
      <c r="BO30" s="23" t="n"/>
      <c r="BP30" s="29" t="n">
        <v>0.3973</v>
      </c>
      <c r="BQ30" s="26" t="inlineStr">
        <is>
          <t>2026-02-11</t>
        </is>
      </c>
      <c r="BR30" s="29" t="n">
        <v>0.3729</v>
      </c>
      <c r="BS30" s="28" t="n">
        <v>-6.14</v>
      </c>
      <c r="BT30" s="24" t="n">
        <v>54</v>
      </c>
    </row>
    <row r="31" ht="16" customHeight="1">
      <c r="A31" s="30" t="inlineStr">
        <is>
          <t>PUBLIC ISLAMIC SELECT ENTERPRISES FUND</t>
        </is>
      </c>
      <c r="B31" s="30" t="inlineStr">
        <is>
          <t>PISEF</t>
        </is>
      </c>
      <c r="C31" s="30" t="inlineStr">
        <is>
          <t>Shariah</t>
        </is>
      </c>
      <c r="D31" s="30" t="inlineStr">
        <is>
          <t>Equity</t>
        </is>
      </c>
      <c r="E31" s="30" t="inlineStr">
        <is>
          <t>Malaysia</t>
        </is>
      </c>
      <c r="F31" s="31" t="inlineStr">
        <is>
          <t>Capital Growth</t>
        </is>
      </c>
      <c r="G31" s="32" t="n">
        <v>4</v>
      </c>
      <c r="H31" s="31" t="inlineStr">
        <is>
          <t>Incidental</t>
        </is>
      </c>
      <c r="I31" s="33" t="n">
        <v>947.53</v>
      </c>
      <c r="J31" s="34" t="inlineStr">
        <is>
          <t>14.08.2008</t>
        </is>
      </c>
      <c r="K31" s="34" t="inlineStr">
        <is>
          <t>Qualified</t>
        </is>
      </c>
      <c r="L31" s="35" t="n">
        <v>80</v>
      </c>
      <c r="M31" s="34" t="inlineStr">
        <is>
          <t>4/5</t>
        </is>
      </c>
      <c r="N31" s="36" t="n">
        <v>-1.86</v>
      </c>
      <c r="O31" s="36" t="n">
        <v>1</v>
      </c>
      <c r="P31" s="36" t="n">
        <v>-2.86</v>
      </c>
      <c r="Q31" s="36" t="n">
        <v>10.46</v>
      </c>
      <c r="R31" s="36" t="n">
        <v>7.06</v>
      </c>
      <c r="S31" s="36" t="n">
        <v>3.4</v>
      </c>
      <c r="T31" s="36" t="n">
        <v>8.43</v>
      </c>
      <c r="U31" s="36" t="n">
        <v>4.2</v>
      </c>
      <c r="V31" s="36" t="n">
        <v>4.23</v>
      </c>
      <c r="W31" s="36" t="n">
        <v>3.11</v>
      </c>
      <c r="X31" s="36" t="n">
        <v>-1.2</v>
      </c>
      <c r="Y31" s="36" t="n">
        <v>4.31</v>
      </c>
      <c r="Z31" s="36" t="n">
        <v>2.7</v>
      </c>
      <c r="AA31" s="36" t="n">
        <v>-0.03</v>
      </c>
      <c r="AB31" s="36" t="n">
        <v>2.73</v>
      </c>
      <c r="AC31" s="36">
        <f>IF(OR(P31="",BL31="",BL31=0),"",P31/BL31)</f>
        <v/>
      </c>
      <c r="AD31" s="36">
        <f>IF(OR(S31="",BL31="",BL31=0),"",S31/BL31)</f>
        <v/>
      </c>
      <c r="AE31" s="36">
        <f>IF(OR(V31="",BL31="",BL31=0),"",V31/BL31)</f>
        <v/>
      </c>
      <c r="AF31" s="36">
        <f>IF(OR(Y31="",BL31="",BL31=0),"",Y31/BL31)</f>
        <v/>
      </c>
      <c r="AG31" s="36">
        <f>IF(OR(AB31="",BL31="",BL31=0),"",AB31/BL31)</f>
        <v/>
      </c>
      <c r="AH31" s="35" t="n">
        <v>76.5</v>
      </c>
      <c r="AI31" s="35" t="n">
        <v>17.1</v>
      </c>
      <c r="AJ31" s="35" t="n"/>
      <c r="AK31" s="35" t="n">
        <v>6.4</v>
      </c>
      <c r="AL31" s="35" t="n"/>
      <c r="AM31" s="35" t="n"/>
      <c r="AN31" s="35" t="n">
        <v>11</v>
      </c>
      <c r="AO31" s="35" t="n"/>
      <c r="AP31" s="35" t="n"/>
      <c r="AQ31" s="35" t="n"/>
      <c r="AR31" s="35" t="n">
        <v>2.1</v>
      </c>
      <c r="AS31" s="35" t="n"/>
      <c r="AT31" s="35" t="n">
        <v>4</v>
      </c>
      <c r="AU31" s="35" t="n"/>
      <c r="AV31" s="35" t="n"/>
      <c r="AW31" s="35" t="n"/>
      <c r="AX31" s="35" t="n"/>
      <c r="AY31" s="35" t="n"/>
      <c r="AZ31" s="35" t="n">
        <v>12.4</v>
      </c>
      <c r="BA31" s="35" t="n"/>
      <c r="BB31" s="35" t="n"/>
      <c r="BC31" s="35" t="n">
        <v>17.4</v>
      </c>
      <c r="BD31" s="35" t="n"/>
      <c r="BE31" s="35" t="n">
        <v>19</v>
      </c>
      <c r="BF31" s="35" t="n">
        <v>9.699999999999999</v>
      </c>
      <c r="BG31" s="35" t="n">
        <v>8.300000000000001</v>
      </c>
      <c r="BH31" s="35" t="n"/>
      <c r="BI31" s="35" t="n"/>
      <c r="BJ31" s="35" t="n"/>
      <c r="BK31" s="31" t="inlineStr">
        <is>
          <t>Tenaga Nasional Berhad | Telekom Malaysia Berhad | NVIDIA Corporation | Gamuda Berhad | Malayan Cement Berhad</t>
        </is>
      </c>
      <c r="BL31" s="35" t="n">
        <v>8.5</v>
      </c>
      <c r="BM31" s="34" t="inlineStr">
        <is>
          <t>Moderate</t>
        </is>
      </c>
      <c r="BN31" s="31" t="inlineStr">
        <is>
          <t>Equity Malaysia Domestic</t>
        </is>
      </c>
      <c r="BO31" s="31" t="n"/>
      <c r="BP31" s="37" t="n">
        <v>0.4479</v>
      </c>
      <c r="BQ31" s="34" t="inlineStr">
        <is>
          <t>2014-07-07</t>
        </is>
      </c>
      <c r="BR31" s="37" t="n">
        <v>0.415</v>
      </c>
      <c r="BS31" s="36" t="n">
        <v>-7.35</v>
      </c>
      <c r="BT31" s="32" t="n">
        <v>4291</v>
      </c>
    </row>
    <row r="32" ht="16" customHeight="1">
      <c r="A32" s="26" t="inlineStr">
        <is>
          <t>PB SMALLCAP GROWTH FUND</t>
        </is>
      </c>
      <c r="B32" s="26" t="inlineStr">
        <is>
          <t>PBSCGF</t>
        </is>
      </c>
      <c r="C32" s="26" t="inlineStr">
        <is>
          <t>Conventional</t>
        </is>
      </c>
      <c r="D32" s="26" t="inlineStr">
        <is>
          <t>Equity</t>
        </is>
      </c>
      <c r="E32" s="26" t="inlineStr">
        <is>
          <t>Malaysia</t>
        </is>
      </c>
      <c r="F32" s="23" t="inlineStr">
        <is>
          <t>Capital Growth</t>
        </is>
      </c>
      <c r="G32" s="24" t="n">
        <v>5</v>
      </c>
      <c r="H32" s="23" t="inlineStr">
        <is>
          <t>Incidental</t>
        </is>
      </c>
      <c r="I32" s="25" t="n">
        <v>128.85</v>
      </c>
      <c r="J32" s="26" t="inlineStr">
        <is>
          <t>13.01.2016</t>
        </is>
      </c>
      <c r="K32" s="26" t="inlineStr">
        <is>
          <t>Qualified</t>
        </is>
      </c>
      <c r="L32" s="27" t="n">
        <v>80</v>
      </c>
      <c r="M32" s="26" t="inlineStr">
        <is>
          <t>4/5</t>
        </is>
      </c>
      <c r="N32" s="28" t="n">
        <v>-0.21</v>
      </c>
      <c r="O32" s="28" t="n">
        <v>0.01</v>
      </c>
      <c r="P32" s="28" t="n">
        <v>-0.22</v>
      </c>
      <c r="Q32" s="28" t="n">
        <v>15.79</v>
      </c>
      <c r="R32" s="28" t="n">
        <v>-0.45</v>
      </c>
      <c r="S32" s="28" t="n">
        <v>16.24</v>
      </c>
      <c r="T32" s="28" t="n">
        <v>4.89</v>
      </c>
      <c r="U32" s="28" t="n">
        <v>1.06</v>
      </c>
      <c r="V32" s="28" t="n">
        <v>3.83</v>
      </c>
      <c r="W32" s="28" t="n">
        <v>2.29</v>
      </c>
      <c r="X32" s="28" t="n">
        <v>-0.3</v>
      </c>
      <c r="Y32" s="28" t="n">
        <v>2.59</v>
      </c>
      <c r="Z32" s="28" t="n">
        <v>4.32</v>
      </c>
      <c r="AA32" s="28" t="n">
        <v>0.8100000000000001</v>
      </c>
      <c r="AB32" s="28" t="n">
        <v>3.51</v>
      </c>
      <c r="AC32" s="28">
        <f>IF(OR(P32="",BL32="",BL32=0),"",P32/BL32)</f>
        <v/>
      </c>
      <c r="AD32" s="28">
        <f>IF(OR(S32="",BL32="",BL32=0),"",S32/BL32)</f>
        <v/>
      </c>
      <c r="AE32" s="28">
        <f>IF(OR(V32="",BL32="",BL32=0),"",V32/BL32)</f>
        <v/>
      </c>
      <c r="AF32" s="28">
        <f>IF(OR(Y32="",BL32="",BL32=0),"",Y32/BL32)</f>
        <v/>
      </c>
      <c r="AG32" s="28">
        <f>IF(OR(AB32="",BL32="",BL32=0),"",AB32/BL32)</f>
        <v/>
      </c>
      <c r="AH32" s="27" t="n">
        <v>75.7</v>
      </c>
      <c r="AI32" s="27" t="n">
        <v>16.9</v>
      </c>
      <c r="AJ32" s="27" t="n"/>
      <c r="AK32" s="27" t="n">
        <v>7.4</v>
      </c>
      <c r="AL32" s="27" t="n"/>
      <c r="AM32" s="27" t="n"/>
      <c r="AN32" s="27" t="n">
        <v>11.7</v>
      </c>
      <c r="AO32" s="27" t="n"/>
      <c r="AP32" s="27" t="n"/>
      <c r="AQ32" s="27" t="n">
        <v>5.2</v>
      </c>
      <c r="AR32" s="27" t="n"/>
      <c r="AS32" s="27" t="n"/>
      <c r="AT32" s="27" t="n"/>
      <c r="AU32" s="27" t="n"/>
      <c r="AV32" s="27" t="n"/>
      <c r="AW32" s="27" t="n"/>
      <c r="AX32" s="27" t="n"/>
      <c r="AY32" s="27" t="n"/>
      <c r="AZ32" s="27" t="n">
        <v>45.9</v>
      </c>
      <c r="BA32" s="27" t="n"/>
      <c r="BB32" s="27" t="n">
        <v>7.2</v>
      </c>
      <c r="BC32" s="27" t="n">
        <v>8.1</v>
      </c>
      <c r="BD32" s="27" t="n"/>
      <c r="BE32" s="27" t="n">
        <v>22.7</v>
      </c>
      <c r="BF32" s="27" t="n"/>
      <c r="BG32" s="27" t="n"/>
      <c r="BH32" s="27" t="n"/>
      <c r="BI32" s="27" t="n"/>
      <c r="BJ32" s="27" t="n">
        <v>6.3</v>
      </c>
      <c r="BK32" s="23" t="inlineStr">
        <is>
          <t>Spritzer Berhad | Malaysian Pacific Industries Berhad | Hume Cement Industries Berhad | Southern Cable Group Berhad | UWC Berhad</t>
        </is>
      </c>
      <c r="BL32" s="27" t="n">
        <v>11.6</v>
      </c>
      <c r="BM32" s="26" t="inlineStr">
        <is>
          <t>High</t>
        </is>
      </c>
      <c r="BN32" s="23" t="inlineStr">
        <is>
          <t>Equity Malaysia Small &amp;</t>
        </is>
      </c>
      <c r="BO32" s="23" t="inlineStr">
        <is>
          <t>measure of fund performance. ThebenchmarkforPBSCGFisacompositeof90%FTSEBursaMalaysiaSmall Cap Index and 10% 3-Month Kuala Lumpur Interbank Offered Rate (KLIBOR). Underlying index data are sourced from Lipper and Bank Negara Malaysia.</t>
        </is>
      </c>
      <c r="BP32" s="29" t="n">
        <v>0.3595</v>
      </c>
      <c r="BQ32" s="26" t="inlineStr">
        <is>
          <t>2024-06-14</t>
        </is>
      </c>
      <c r="BR32" s="29" t="n">
        <v>0.3058</v>
      </c>
      <c r="BS32" s="28" t="n">
        <v>-14.94</v>
      </c>
      <c r="BT32" s="24" t="n">
        <v>661</v>
      </c>
    </row>
    <row r="33" ht="16" customHeight="1">
      <c r="A33" s="34" t="inlineStr">
        <is>
          <t>PUBLIC CHINA TITANS FUND</t>
        </is>
      </c>
      <c r="B33" s="34" t="inlineStr">
        <is>
          <t>PCTF</t>
        </is>
      </c>
      <c r="C33" s="34" t="inlineStr">
        <is>
          <t>Conventional</t>
        </is>
      </c>
      <c r="D33" s="34" t="inlineStr">
        <is>
          <t>Equity</t>
        </is>
      </c>
      <c r="E33" s="34" t="inlineStr">
        <is>
          <t>Greater China</t>
        </is>
      </c>
      <c r="F33" s="31" t="inlineStr">
        <is>
          <t>Capital Growth</t>
        </is>
      </c>
      <c r="G33" s="32" t="n">
        <v>5</v>
      </c>
      <c r="H33" s="31" t="inlineStr">
        <is>
          <t>Incidental</t>
        </is>
      </c>
      <c r="I33" s="33" t="n">
        <v>895.9400000000001</v>
      </c>
      <c r="J33" s="34" t="inlineStr">
        <is>
          <t>01.04.2008</t>
        </is>
      </c>
      <c r="K33" s="34" t="inlineStr">
        <is>
          <t>Qualified</t>
        </is>
      </c>
      <c r="L33" s="35" t="n">
        <v>80</v>
      </c>
      <c r="M33" s="34" t="inlineStr">
        <is>
          <t>4/5</t>
        </is>
      </c>
      <c r="N33" s="36" t="n">
        <v>0.31</v>
      </c>
      <c r="O33" s="36" t="n">
        <v>2.62</v>
      </c>
      <c r="P33" s="36" t="n">
        <v>-2.31</v>
      </c>
      <c r="Q33" s="36" t="n">
        <v>8.699999999999999</v>
      </c>
      <c r="R33" s="36" t="n">
        <v>7.86</v>
      </c>
      <c r="S33" s="36" t="n">
        <v>0.84</v>
      </c>
      <c r="T33" s="36" t="n">
        <v>16.33</v>
      </c>
      <c r="U33" s="36" t="n">
        <v>13.6</v>
      </c>
      <c r="V33" s="36" t="n">
        <v>2.73</v>
      </c>
      <c r="W33" s="36" t="n">
        <v>2.83</v>
      </c>
      <c r="X33" s="36" t="n">
        <v>2.11</v>
      </c>
      <c r="Y33" s="36" t="n">
        <v>0.72</v>
      </c>
      <c r="Z33" s="36" t="n">
        <v>8.24</v>
      </c>
      <c r="AA33" s="36" t="n">
        <v>6.53</v>
      </c>
      <c r="AB33" s="36" t="n">
        <v>1.71</v>
      </c>
      <c r="AC33" s="36">
        <f>IF(OR(P33="",BL33="",BL33=0),"",P33/BL33)</f>
        <v/>
      </c>
      <c r="AD33" s="36">
        <f>IF(OR(S33="",BL33="",BL33=0),"",S33/BL33)</f>
        <v/>
      </c>
      <c r="AE33" s="36">
        <f>IF(OR(V33="",BL33="",BL33=0),"",V33/BL33)</f>
        <v/>
      </c>
      <c r="AF33" s="36">
        <f>IF(OR(Y33="",BL33="",BL33=0),"",Y33/BL33)</f>
        <v/>
      </c>
      <c r="AG33" s="36">
        <f>IF(OR(AB33="",BL33="",BL33=0),"",AB33/BL33)</f>
        <v/>
      </c>
      <c r="AH33" s="35" t="n"/>
      <c r="AI33" s="35" t="n">
        <v>84.59999999999999</v>
      </c>
      <c r="AJ33" s="35" t="n"/>
      <c r="AK33" s="35" t="n">
        <v>15.4</v>
      </c>
      <c r="AL33" s="35" t="n"/>
      <c r="AM33" s="35" t="n"/>
      <c r="AN33" s="35" t="n">
        <v>7.9</v>
      </c>
      <c r="AO33" s="35" t="n">
        <v>31.5</v>
      </c>
      <c r="AP33" s="35" t="n"/>
      <c r="AQ33" s="35" t="n"/>
      <c r="AR33" s="35" t="n"/>
      <c r="AS33" s="35" t="n"/>
      <c r="AT33" s="35" t="n">
        <v>7</v>
      </c>
      <c r="AU33" s="35" t="n"/>
      <c r="AV33" s="35" t="n"/>
      <c r="AW33" s="35" t="n"/>
      <c r="AX33" s="35" t="n"/>
      <c r="AY33" s="35" t="n"/>
      <c r="AZ33" s="35" t="n">
        <v>7.9</v>
      </c>
      <c r="BA33" s="35" t="n">
        <v>30.3</v>
      </c>
      <c r="BB33" s="35" t="n">
        <v>20.2</v>
      </c>
      <c r="BC33" s="35" t="n">
        <v>25.1</v>
      </c>
      <c r="BD33" s="35" t="n"/>
      <c r="BE33" s="35" t="n">
        <v>1.1</v>
      </c>
      <c r="BF33" s="35" t="n"/>
      <c r="BG33" s="35" t="n"/>
      <c r="BH33" s="35" t="n"/>
      <c r="BI33" s="35" t="n"/>
      <c r="BJ33" s="35" t="n"/>
      <c r="BK33" s="31" t="inlineStr">
        <is>
          <t>Taiwan Semiconductor Manufacturing Company Limited | Alibaba Group Holding Limited - W | China Construction Bank Corporation - H Shares | Tencent Holdings Limited | Delta Electronics Incorporated</t>
        </is>
      </c>
      <c r="BL33" s="35" t="n">
        <v>16</v>
      </c>
      <c r="BM33" s="34" t="inlineStr">
        <is>
          <t>Very High</t>
        </is>
      </c>
      <c r="BN33" s="31" t="inlineStr">
        <is>
          <t>Equity Greater China Greater China</t>
        </is>
      </c>
      <c r="BO33" s="31"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P33" s="37" t="n">
        <v>0.4627</v>
      </c>
      <c r="BQ33" s="34" t="inlineStr">
        <is>
          <t>2025-10-03</t>
        </is>
      </c>
      <c r="BR33" s="37" t="n">
        <v>0.4085</v>
      </c>
      <c r="BS33" s="36" t="n">
        <v>-11.71</v>
      </c>
      <c r="BT33" s="32" t="n">
        <v>185</v>
      </c>
    </row>
    <row r="34" ht="16" customHeight="1">
      <c r="A34" s="22" t="inlineStr">
        <is>
          <t>PUBLIC ISLAMIC GROWTH &amp; INCOME FUND</t>
        </is>
      </c>
      <c r="B34" s="22" t="inlineStr">
        <is>
          <t>PISGIF</t>
        </is>
      </c>
      <c r="C34" s="22" t="inlineStr">
        <is>
          <t>Shariah</t>
        </is>
      </c>
      <c r="D34" s="22" t="inlineStr">
        <is>
          <t>Equity</t>
        </is>
      </c>
      <c r="E34" s="22" t="inlineStr">
        <is>
          <t>Malaysia</t>
        </is>
      </c>
      <c r="F34" s="23" t="inlineStr">
        <is>
          <t>Capital Growth + Income</t>
        </is>
      </c>
      <c r="G34" s="24" t="n">
        <v>4</v>
      </c>
      <c r="H34" s="23" t="inlineStr">
        <is>
          <t>Annual</t>
        </is>
      </c>
      <c r="I34" s="25" t="n">
        <v>122.12</v>
      </c>
      <c r="J34" s="26" t="inlineStr">
        <is>
          <t>07.01.2014</t>
        </is>
      </c>
      <c r="K34" s="26" t="inlineStr">
        <is>
          <t>Qualified</t>
        </is>
      </c>
      <c r="L34" s="27" t="n">
        <v>80</v>
      </c>
      <c r="M34" s="26" t="inlineStr">
        <is>
          <t>4/5</t>
        </is>
      </c>
      <c r="N34" s="28" t="n">
        <v>1.05</v>
      </c>
      <c r="O34" s="28" t="n">
        <v>1</v>
      </c>
      <c r="P34" s="28" t="n">
        <v>0.05</v>
      </c>
      <c r="Q34" s="28" t="n">
        <v>6.87</v>
      </c>
      <c r="R34" s="28" t="n">
        <v>7.06</v>
      </c>
      <c r="S34" s="28" t="n">
        <v>-0.19</v>
      </c>
      <c r="T34" s="28" t="n">
        <v>6.8</v>
      </c>
      <c r="U34" s="28" t="n">
        <v>4.2</v>
      </c>
      <c r="V34" s="28" t="n">
        <v>2.6</v>
      </c>
      <c r="W34" s="28" t="n">
        <v>2.19</v>
      </c>
      <c r="X34" s="28" t="n">
        <v>-1.2</v>
      </c>
      <c r="Y34" s="28" t="n">
        <v>3.39</v>
      </c>
      <c r="Z34" s="28" t="n">
        <v>2.48</v>
      </c>
      <c r="AA34" s="28" t="n">
        <v>-0.03</v>
      </c>
      <c r="AB34" s="28" t="n">
        <v>2.51</v>
      </c>
      <c r="AC34" s="28">
        <f>IF(OR(P34="",BL34="",BL34=0),"",P34/BL34)</f>
        <v/>
      </c>
      <c r="AD34" s="28">
        <f>IF(OR(S34="",BL34="",BL34=0),"",S34/BL34)</f>
        <v/>
      </c>
      <c r="AE34" s="28">
        <f>IF(OR(V34="",BL34="",BL34=0),"",V34/BL34)</f>
        <v/>
      </c>
      <c r="AF34" s="28">
        <f>IF(OR(Y34="",BL34="",BL34=0),"",Y34/BL34)</f>
        <v/>
      </c>
      <c r="AG34" s="28">
        <f>IF(OR(AB34="",BL34="",BL34=0),"",AB34/BL34)</f>
        <v/>
      </c>
      <c r="AH34" s="27" t="n">
        <v>75.7</v>
      </c>
      <c r="AI34" s="27" t="n">
        <v>20.8</v>
      </c>
      <c r="AJ34" s="27" t="n"/>
      <c r="AK34" s="27" t="n">
        <v>3.5</v>
      </c>
      <c r="AL34" s="27" t="n"/>
      <c r="AM34" s="27" t="n"/>
      <c r="AN34" s="27" t="n">
        <v>9.4</v>
      </c>
      <c r="AO34" s="27" t="n">
        <v>6.4</v>
      </c>
      <c r="AP34" s="27" t="n"/>
      <c r="AQ34" s="27" t="n"/>
      <c r="AR34" s="27" t="n">
        <v>5</v>
      </c>
      <c r="AS34" s="27" t="n"/>
      <c r="AT34" s="27" t="n"/>
      <c r="AU34" s="27" t="n"/>
      <c r="AV34" s="27" t="n"/>
      <c r="AW34" s="27" t="n"/>
      <c r="AX34" s="27" t="n"/>
      <c r="AY34" s="27" t="n"/>
      <c r="AZ34" s="27" t="n">
        <v>13.2</v>
      </c>
      <c r="BA34" s="27" t="n"/>
      <c r="BB34" s="27" t="n">
        <v>18.8</v>
      </c>
      <c r="BC34" s="27" t="n">
        <v>22.4</v>
      </c>
      <c r="BD34" s="27" t="n"/>
      <c r="BE34" s="27" t="n"/>
      <c r="BF34" s="27" t="n">
        <v>10.2</v>
      </c>
      <c r="BG34" s="27" t="n">
        <v>10.7</v>
      </c>
      <c r="BH34" s="27" t="n"/>
      <c r="BI34" s="27" t="n"/>
      <c r="BJ34" s="27" t="n"/>
      <c r="BK34" s="23" t="inlineStr">
        <is>
          <t>Tenaga Nasional Berhad | Telekom Malaysia Berhad | Gamuda Berhad | IHH Healthcare Berhad | Taiwan Semiconductor Manufacturing Company Limited</t>
        </is>
      </c>
      <c r="BL34" s="27" t="n">
        <v>6.2</v>
      </c>
      <c r="BM34" s="26" t="inlineStr">
        <is>
          <t>Low</t>
        </is>
      </c>
      <c r="BN34" s="23" t="inlineStr">
        <is>
          <t>Equity Malaysia Domestic</t>
        </is>
      </c>
      <c r="BO34" s="23" t="inlineStr">
        <is>
          <t>2022 0.20 30.12.22 0.9</t>
        </is>
      </c>
      <c r="BP34" s="29" t="n">
        <v>0.2735</v>
      </c>
      <c r="BQ34" s="26" t="inlineStr">
        <is>
          <t>2025-10-02</t>
        </is>
      </c>
      <c r="BR34" s="29" t="n">
        <v>0.2601</v>
      </c>
      <c r="BS34" s="28" t="n">
        <v>-4.9</v>
      </c>
      <c r="BT34" s="24" t="n">
        <v>186</v>
      </c>
    </row>
    <row r="35" ht="16" customHeight="1">
      <c r="A35" s="34" t="inlineStr">
        <is>
          <t>PUBLIC STRATEGIC GROWTH FUND</t>
        </is>
      </c>
      <c r="B35" s="34" t="inlineStr">
        <is>
          <t>PSTGF</t>
        </is>
      </c>
      <c r="C35" s="34" t="inlineStr">
        <is>
          <t>Conventional</t>
        </is>
      </c>
      <c r="D35" s="34" t="inlineStr">
        <is>
          <t>Equity</t>
        </is>
      </c>
      <c r="E35" s="34" t="inlineStr">
        <is>
          <t>Malaysia</t>
        </is>
      </c>
      <c r="F35" s="31" t="inlineStr">
        <is>
          <t>Capital Growth</t>
        </is>
      </c>
      <c r="G35" s="32" t="n">
        <v>4</v>
      </c>
      <c r="H35" s="31" t="inlineStr">
        <is>
          <t>Incidental</t>
        </is>
      </c>
      <c r="I35" s="33" t="n">
        <v>388.9</v>
      </c>
      <c r="J35" s="34" t="inlineStr">
        <is>
          <t>08.12.2014</t>
        </is>
      </c>
      <c r="K35" s="34" t="inlineStr">
        <is>
          <t>Qualified</t>
        </is>
      </c>
      <c r="L35" s="35" t="n">
        <v>80</v>
      </c>
      <c r="M35" s="34" t="inlineStr">
        <is>
          <t>4/5</t>
        </is>
      </c>
      <c r="N35" s="36" t="n">
        <v>4.68</v>
      </c>
      <c r="O35" s="36" t="n">
        <v>2.55</v>
      </c>
      <c r="P35" s="36" t="n">
        <v>2.13</v>
      </c>
      <c r="Q35" s="36" t="n">
        <v>8.789999999999999</v>
      </c>
      <c r="R35" s="36" t="n">
        <v>10.23</v>
      </c>
      <c r="S35" s="36" t="n">
        <v>-1.44</v>
      </c>
      <c r="T35" s="36" t="n">
        <v>10.73</v>
      </c>
      <c r="U35" s="36" t="n">
        <v>8.199999999999999</v>
      </c>
      <c r="V35" s="36" t="n">
        <v>2.53</v>
      </c>
      <c r="W35" s="36" t="n">
        <v>4.49</v>
      </c>
      <c r="X35" s="36" t="n">
        <v>3.41</v>
      </c>
      <c r="Y35" s="36" t="n">
        <v>1.08</v>
      </c>
      <c r="Z35" s="36" t="n">
        <v>8.23</v>
      </c>
      <c r="AA35" s="36" t="n">
        <v>4.01</v>
      </c>
      <c r="AB35" s="36" t="n">
        <v>4.22</v>
      </c>
      <c r="AC35" s="36">
        <f>IF(OR(P35="",BL35="",BL35=0),"",P35/BL35)</f>
        <v/>
      </c>
      <c r="AD35" s="36">
        <f>IF(OR(S35="",BL35="",BL35=0),"",S35/BL35)</f>
        <v/>
      </c>
      <c r="AE35" s="36">
        <f>IF(OR(V35="",BL35="",BL35=0),"",V35/BL35)</f>
        <v/>
      </c>
      <c r="AF35" s="36">
        <f>IF(OR(Y35="",BL35="",BL35=0),"",Y35/BL35)</f>
        <v/>
      </c>
      <c r="AG35" s="36">
        <f>IF(OR(AB35="",BL35="",BL35=0),"",AB35/BL35)</f>
        <v/>
      </c>
      <c r="AH35" s="35" t="n">
        <v>61.2</v>
      </c>
      <c r="AI35" s="35" t="n">
        <v>18.9</v>
      </c>
      <c r="AJ35" s="35" t="n"/>
      <c r="AK35" s="35" t="n">
        <v>19.9</v>
      </c>
      <c r="AL35" s="35" t="n"/>
      <c r="AM35" s="35" t="n"/>
      <c r="AN35" s="35" t="n">
        <v>6.2</v>
      </c>
      <c r="AO35" s="35" t="n">
        <v>4.9</v>
      </c>
      <c r="AP35" s="35" t="n">
        <v>7.8</v>
      </c>
      <c r="AQ35" s="35" t="n"/>
      <c r="AR35" s="35" t="n"/>
      <c r="AS35" s="35" t="n"/>
      <c r="AT35" s="35" t="n"/>
      <c r="AU35" s="35" t="n"/>
      <c r="AV35" s="35" t="n"/>
      <c r="AW35" s="35" t="n"/>
      <c r="AX35" s="35" t="n"/>
      <c r="AY35" s="35" t="n"/>
      <c r="AZ35" s="35" t="n">
        <v>19.3</v>
      </c>
      <c r="BA35" s="35" t="n">
        <v>4.9</v>
      </c>
      <c r="BB35" s="35" t="n">
        <v>34.7</v>
      </c>
      <c r="BC35" s="35" t="n"/>
      <c r="BD35" s="35" t="n"/>
      <c r="BE35" s="35" t="n">
        <v>7.2</v>
      </c>
      <c r="BF35" s="35" t="n">
        <v>6.8</v>
      </c>
      <c r="BG35" s="35" t="n"/>
      <c r="BH35" s="35" t="n"/>
      <c r="BI35" s="35" t="n"/>
      <c r="BJ35" s="35" t="n"/>
      <c r="BK35" s="31" t="inlineStr">
        <is>
          <t>Malayan Banking Berhad | Public Bank Berhad | Tenaga Nasional Berhad | HD Hyundai Electric Company Limited | Taiwan Semiconductor Manufacturing Company Limited</t>
        </is>
      </c>
      <c r="BL35" s="35" t="n">
        <v>6.9</v>
      </c>
      <c r="BM35" s="34" t="inlineStr">
        <is>
          <t>Low</t>
        </is>
      </c>
      <c r="BN35" s="31" t="inlineStr">
        <is>
          <t>Equity Malaysia Domestic 30% of the fund’s NAV</t>
        </is>
      </c>
      <c r="BO35" s="31"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P35" s="37" t="n">
        <v>0.4912</v>
      </c>
      <c r="BQ35" s="34" t="inlineStr">
        <is>
          <t>2026-02-26</t>
        </is>
      </c>
      <c r="BR35" s="37" t="n">
        <v>0.4635</v>
      </c>
      <c r="BS35" s="36" t="n">
        <v>-5.64</v>
      </c>
      <c r="BT35" s="32" t="n">
        <v>39</v>
      </c>
    </row>
    <row r="36" ht="16" customHeight="1">
      <c r="A36" s="26" t="inlineStr">
        <is>
          <t>PB ISLAMIC ASIA STRATEGIC SECTOR FUND</t>
        </is>
      </c>
      <c r="B36" s="26" t="inlineStr">
        <is>
          <t>PBIASSF</t>
        </is>
      </c>
      <c r="C36" s="26" t="inlineStr">
        <is>
          <t>Conventional</t>
        </is>
      </c>
      <c r="D36" s="26" t="inlineStr">
        <is>
          <t>Equity</t>
        </is>
      </c>
      <c r="E36" s="26" t="inlineStr">
        <is>
          <t>Asia</t>
        </is>
      </c>
      <c r="F36" s="23" t="inlineStr">
        <is>
          <t>Capital Growth</t>
        </is>
      </c>
      <c r="G36" s="24" t="n">
        <v>5</v>
      </c>
      <c r="H36" s="23" t="inlineStr">
        <is>
          <t>Incidental</t>
        </is>
      </c>
      <c r="I36" s="25" t="n">
        <v>100.08</v>
      </c>
      <c r="J36" s="26" t="inlineStr">
        <is>
          <t>06.09.2007</t>
        </is>
      </c>
      <c r="K36" s="26" t="inlineStr">
        <is>
          <t>Qualified</t>
        </is>
      </c>
      <c r="L36" s="27" t="n">
        <v>80</v>
      </c>
      <c r="M36" s="26" t="inlineStr">
        <is>
          <t>4/5</t>
        </is>
      </c>
      <c r="N36" s="28" t="n">
        <v>21.38</v>
      </c>
      <c r="O36" s="28" t="n">
        <v>19.33</v>
      </c>
      <c r="P36" s="28" t="n">
        <v>2.05</v>
      </c>
      <c r="Q36" s="28" t="n">
        <v>44.95</v>
      </c>
      <c r="R36" s="28" t="n">
        <v>37.52</v>
      </c>
      <c r="S36" s="28" t="n">
        <v>7.43</v>
      </c>
      <c r="T36" s="28" t="n">
        <v>18.24</v>
      </c>
      <c r="U36" s="28" t="n">
        <v>16.02</v>
      </c>
      <c r="V36" s="28" t="n">
        <v>2.22</v>
      </c>
      <c r="W36" s="28" t="n">
        <v>2.63</v>
      </c>
      <c r="X36" s="28" t="n">
        <v>3.33</v>
      </c>
      <c r="Y36" s="28" t="n">
        <v>-0.7</v>
      </c>
      <c r="Z36" s="28" t="n">
        <v>9.23</v>
      </c>
      <c r="AA36" s="28" t="n">
        <v>8.69</v>
      </c>
      <c r="AB36" s="28" t="n">
        <v>0.54</v>
      </c>
      <c r="AC36" s="28">
        <f>IF(OR(P36="",BL36="",BL36=0),"",P36/BL36)</f>
        <v/>
      </c>
      <c r="AD36" s="28">
        <f>IF(OR(S36="",BL36="",BL36=0),"",S36/BL36)</f>
        <v/>
      </c>
      <c r="AE36" s="28">
        <f>IF(OR(V36="",BL36="",BL36=0),"",V36/BL36)</f>
        <v/>
      </c>
      <c r="AF36" s="28">
        <f>IF(OR(Y36="",BL36="",BL36=0),"",Y36/BL36)</f>
        <v/>
      </c>
      <c r="AG36" s="28">
        <f>IF(OR(AB36="",BL36="",BL36=0),"",AB36/BL36)</f>
        <v/>
      </c>
      <c r="AH36" s="27" t="n"/>
      <c r="AI36" s="27" t="n">
        <v>91.59999999999999</v>
      </c>
      <c r="AJ36" s="27" t="n"/>
      <c r="AK36" s="27" t="n">
        <v>8.4</v>
      </c>
      <c r="AL36" s="27" t="n"/>
      <c r="AM36" s="27" t="n"/>
      <c r="AN36" s="27" t="n"/>
      <c r="AO36" s="27" t="n">
        <v>37.7</v>
      </c>
      <c r="AP36" s="27" t="n">
        <v>35.7</v>
      </c>
      <c r="AQ36" s="27" t="n">
        <v>2.8</v>
      </c>
      <c r="AR36" s="27" t="n"/>
      <c r="AS36" s="27" t="n"/>
      <c r="AT36" s="27" t="n">
        <v>15.4</v>
      </c>
      <c r="AU36" s="27" t="n"/>
      <c r="AV36" s="27" t="n"/>
      <c r="AW36" s="27" t="n"/>
      <c r="AX36" s="27" t="n"/>
      <c r="AY36" s="27" t="n"/>
      <c r="AZ36" s="27" t="n">
        <v>23.8</v>
      </c>
      <c r="BA36" s="27" t="n">
        <v>49.4</v>
      </c>
      <c r="BB36" s="27" t="n"/>
      <c r="BC36" s="27" t="n">
        <v>16.7</v>
      </c>
      <c r="BD36" s="27" t="n"/>
      <c r="BE36" s="27" t="n">
        <v>1.7</v>
      </c>
      <c r="BF36" s="27" t="n"/>
      <c r="BG36" s="27" t="n"/>
      <c r="BH36" s="27" t="n"/>
      <c r="BI36" s="27" t="n"/>
      <c r="BJ36" s="27" t="n"/>
      <c r="BK36" s="23" t="inlineStr">
        <is>
          <t>Samsung Electronics Company Limited | Taiwan Semiconductor Manufacturing Company Limited | SK Hynix Incorporated | HD Hyundai Electric Company Limited | Alibaba Group Holding Limited - W</t>
        </is>
      </c>
      <c r="BL36" s="27" t="n">
        <v>19.4</v>
      </c>
      <c r="BM36" s="26" t="inlineStr">
        <is>
          <t>Very High</t>
        </is>
      </c>
      <c r="BN36" s="23" t="inlineStr">
        <is>
          <t>Equity Asia Pacific Asia</t>
        </is>
      </c>
      <c r="BO36"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P36" s="29" t="n">
        <v>0.5211</v>
      </c>
      <c r="BQ36" s="26" t="inlineStr">
        <is>
          <t>2026-02-26</t>
        </is>
      </c>
      <c r="BR36" s="29" t="n">
        <v>0.4814</v>
      </c>
      <c r="BS36" s="28" t="n">
        <v>-7.62</v>
      </c>
      <c r="BT36" s="24" t="n">
        <v>39</v>
      </c>
    </row>
    <row r="37" ht="16" customHeight="1">
      <c r="A37" s="30" t="inlineStr">
        <is>
          <t>PUBLIC CHINA ITTIKAL FUND</t>
        </is>
      </c>
      <c r="B37" s="30" t="inlineStr">
        <is>
          <t>PCIF</t>
        </is>
      </c>
      <c r="C37" s="30" t="inlineStr">
        <is>
          <t>Shariah</t>
        </is>
      </c>
      <c r="D37" s="30" t="inlineStr">
        <is>
          <t>Equity</t>
        </is>
      </c>
      <c r="E37" s="30" t="inlineStr">
        <is>
          <t>Malaysia</t>
        </is>
      </c>
      <c r="F37" s="31" t="inlineStr">
        <is>
          <t>Capital Growth</t>
        </is>
      </c>
      <c r="G37" s="32" t="n">
        <v>5</v>
      </c>
      <c r="H37" s="31" t="inlineStr">
        <is>
          <t>Incidental</t>
        </is>
      </c>
      <c r="I37" s="33" t="n">
        <v>748.66</v>
      </c>
      <c r="J37" s="34" t="inlineStr">
        <is>
          <t>20.11.2007</t>
        </is>
      </c>
      <c r="K37" s="34" t="inlineStr">
        <is>
          <t>Qualified</t>
        </is>
      </c>
      <c r="L37" s="35" t="n">
        <v>80</v>
      </c>
      <c r="M37" s="34" t="inlineStr">
        <is>
          <t>4/5</t>
        </is>
      </c>
      <c r="N37" s="36" t="n">
        <v>9.35</v>
      </c>
      <c r="O37" s="36" t="n">
        <v>3.94</v>
      </c>
      <c r="P37" s="36" t="n">
        <v>5.41</v>
      </c>
      <c r="Q37" s="36" t="n">
        <v>15.83</v>
      </c>
      <c r="R37" s="36" t="n">
        <v>7.12</v>
      </c>
      <c r="S37" s="36" t="n">
        <v>8.710000000000001</v>
      </c>
      <c r="T37" s="36" t="n">
        <v>13.36</v>
      </c>
      <c r="U37" s="36" t="n">
        <v>11.48</v>
      </c>
      <c r="V37" s="36" t="n">
        <v>1.88</v>
      </c>
      <c r="W37" s="36" t="n">
        <v>0.89</v>
      </c>
      <c r="X37" s="36" t="n">
        <v>0.6899999999999999</v>
      </c>
      <c r="Y37" s="36" t="n">
        <v>0.2</v>
      </c>
      <c r="Z37" s="36" t="n">
        <v>7.58</v>
      </c>
      <c r="AA37" s="36" t="n">
        <v>7.89</v>
      </c>
      <c r="AB37" s="36" t="n">
        <v>-0.31</v>
      </c>
      <c r="AC37" s="36">
        <f>IF(OR(P37="",BL37="",BL37=0),"",P37/BL37)</f>
        <v/>
      </c>
      <c r="AD37" s="36">
        <f>IF(OR(S37="",BL37="",BL37=0),"",S37/BL37)</f>
        <v/>
      </c>
      <c r="AE37" s="36">
        <f>IF(OR(V37="",BL37="",BL37=0),"",V37/BL37)</f>
        <v/>
      </c>
      <c r="AF37" s="36">
        <f>IF(OR(Y37="",BL37="",BL37=0),"",Y37/BL37)</f>
        <v/>
      </c>
      <c r="AG37" s="36">
        <f>IF(OR(AB37="",BL37="",BL37=0),"",AB37/BL37)</f>
        <v/>
      </c>
      <c r="AH37" s="35" t="n"/>
      <c r="AI37" s="35" t="n">
        <v>92.3</v>
      </c>
      <c r="AJ37" s="35" t="n"/>
      <c r="AK37" s="35" t="n">
        <v>7.7</v>
      </c>
      <c r="AL37" s="35" t="n"/>
      <c r="AM37" s="35" t="n"/>
      <c r="AN37" s="35" t="n">
        <v>4</v>
      </c>
      <c r="AO37" s="35" t="n">
        <v>58.8</v>
      </c>
      <c r="AP37" s="35" t="n">
        <v>1.6</v>
      </c>
      <c r="AQ37" s="35" t="n"/>
      <c r="AR37" s="35" t="n"/>
      <c r="AS37" s="35" t="n"/>
      <c r="AT37" s="35" t="n">
        <v>27.9</v>
      </c>
      <c r="AU37" s="35" t="n"/>
      <c r="AV37" s="35" t="n"/>
      <c r="AW37" s="35" t="n"/>
      <c r="AX37" s="35" t="n"/>
      <c r="AY37" s="35" t="n"/>
      <c r="AZ37" s="35" t="n">
        <v>21.7</v>
      </c>
      <c r="BA37" s="35" t="n">
        <v>35.1</v>
      </c>
      <c r="BB37" s="35" t="n"/>
      <c r="BC37" s="35" t="n">
        <v>31.3</v>
      </c>
      <c r="BD37" s="35" t="n">
        <v>2.7</v>
      </c>
      <c r="BE37" s="35" t="n">
        <v>1.5</v>
      </c>
      <c r="BF37" s="35" t="n"/>
      <c r="BG37" s="35" t="n"/>
      <c r="BH37" s="35" t="n"/>
      <c r="BI37" s="35" t="n"/>
      <c r="BJ37" s="35" t="n"/>
      <c r="BK37" s="31" t="inlineStr">
        <is>
          <t>Taiwan Semiconductor Manufacturing Company Limited | Alibaba Group Holding Limited - W | Unimicron Technology Corporation | Delta Electronics Incorporated | Asia Vital Components Company Limited</t>
        </is>
      </c>
      <c r="BL37" s="35" t="n">
        <v>15.5</v>
      </c>
      <c r="BM37" s="34" t="inlineStr">
        <is>
          <t>Very High</t>
        </is>
      </c>
      <c r="BN37" s="31" t="inlineStr">
        <is>
          <t>Equity Greater China Greater China</t>
        </is>
      </c>
      <c r="BO37" s="31" t="inlineStr">
        <is>
          <t>ThebenchmarkforPCIFisacompositeof50%DowJonesIslamicMarketHong KongIndexSM(priorto1January2009),50%S&amp;PShariahBMIHongKongand China'H'SharesIndex(w.e.f.1January2009),30%DowJonesIslamicMarket TaiwanIndexSM(priorto1January2009),30%S&amp;PShariahBMITaiwanIndex (w.e.f.1January2009)and20%FTSEBursaMalaysiaEMASShariahIndex(prior to30April2011),20%FTSEBursaMalaysiaHijrahShariahIndex(w.e.f.30April 2011). UnderlyingindexdataaresourcedfromS&amp;PDowJonesIndices,LLCandLipper and expressed in Ringgit terms.</t>
        </is>
      </c>
      <c r="BP37" s="37" t="n">
        <v>0.4999</v>
      </c>
      <c r="BQ37" s="34" t="inlineStr">
        <is>
          <t>2021-02-17</t>
        </is>
      </c>
      <c r="BR37" s="37" t="n">
        <v>0.4656</v>
      </c>
      <c r="BS37" s="36" t="n">
        <v>-6.86</v>
      </c>
      <c r="BT37" s="32" t="n">
        <v>1874</v>
      </c>
    </row>
    <row r="38" ht="16" customHeight="1">
      <c r="A38" s="26" t="inlineStr">
        <is>
          <t>PUBLIC SELECT ALPHA-30 FUND</t>
        </is>
      </c>
      <c r="B38" s="26" t="inlineStr">
        <is>
          <t>PSA30F</t>
        </is>
      </c>
      <c r="C38" s="26" t="inlineStr">
        <is>
          <t>Conventional</t>
        </is>
      </c>
      <c r="D38" s="26" t="inlineStr">
        <is>
          <t>Equity</t>
        </is>
      </c>
      <c r="E38" s="26" t="inlineStr">
        <is>
          <t>Malaysia</t>
        </is>
      </c>
      <c r="F38" s="23" t="inlineStr">
        <is>
          <t>Capital Growth</t>
        </is>
      </c>
      <c r="G38" s="24" t="n">
        <v>4</v>
      </c>
      <c r="H38" s="23" t="inlineStr">
        <is>
          <t>Incidental</t>
        </is>
      </c>
      <c r="I38" s="25" t="n">
        <v>56.18</v>
      </c>
      <c r="J38" s="26" t="inlineStr">
        <is>
          <t>07.04.2009</t>
        </is>
      </c>
      <c r="K38" s="26" t="inlineStr">
        <is>
          <t>Qualified</t>
        </is>
      </c>
      <c r="L38" s="27" t="n">
        <v>80</v>
      </c>
      <c r="M38" s="26" t="inlineStr">
        <is>
          <t>4/5</t>
        </is>
      </c>
      <c r="N38" s="28" t="n">
        <v>1.24</v>
      </c>
      <c r="O38" s="28" t="n">
        <v>2.17</v>
      </c>
      <c r="P38" s="28" t="n">
        <v>-0.93</v>
      </c>
      <c r="Q38" s="28" t="n">
        <v>10.35</v>
      </c>
      <c r="R38" s="28" t="n">
        <v>9.01</v>
      </c>
      <c r="S38" s="28" t="n">
        <v>1.34</v>
      </c>
      <c r="T38" s="28" t="n">
        <v>7.37</v>
      </c>
      <c r="U38" s="28" t="n">
        <v>5.69</v>
      </c>
      <c r="V38" s="28" t="n">
        <v>1.68</v>
      </c>
      <c r="W38" s="28" t="n">
        <v>2.01</v>
      </c>
      <c r="X38" s="28" t="n">
        <v>1.7</v>
      </c>
      <c r="Y38" s="28" t="n">
        <v>0.31</v>
      </c>
      <c r="Z38" s="28" t="n">
        <v>4.25</v>
      </c>
      <c r="AA38" s="28" t="n">
        <v>0.37</v>
      </c>
      <c r="AB38" s="28" t="n">
        <v>3.88</v>
      </c>
      <c r="AC38" s="28">
        <f>IF(OR(P38="",BL38="",BL38=0),"",P38/BL38)</f>
        <v/>
      </c>
      <c r="AD38" s="28">
        <f>IF(OR(S38="",BL38="",BL38=0),"",S38/BL38)</f>
        <v/>
      </c>
      <c r="AE38" s="28">
        <f>IF(OR(V38="",BL38="",BL38=0),"",V38/BL38)</f>
        <v/>
      </c>
      <c r="AF38" s="28">
        <f>IF(OR(Y38="",BL38="",BL38=0),"",Y38/BL38)</f>
        <v/>
      </c>
      <c r="AG38" s="28">
        <f>IF(OR(AB38="",BL38="",BL38=0),"",AB38/BL38)</f>
        <v/>
      </c>
      <c r="AH38" s="27" t="n">
        <v>76</v>
      </c>
      <c r="AI38" s="27" t="n">
        <v>19.8</v>
      </c>
      <c r="AJ38" s="27" t="n"/>
      <c r="AK38" s="27" t="n">
        <v>4.2</v>
      </c>
      <c r="AL38" s="27" t="n"/>
      <c r="AM38" s="27" t="n"/>
      <c r="AN38" s="27" t="n">
        <v>14.5</v>
      </c>
      <c r="AO38" s="27" t="n"/>
      <c r="AP38" s="27" t="n"/>
      <c r="AQ38" s="27" t="n"/>
      <c r="AR38" s="27" t="n">
        <v>2.4</v>
      </c>
      <c r="AS38" s="27" t="n"/>
      <c r="AT38" s="27" t="n">
        <v>2.9</v>
      </c>
      <c r="AU38" s="27" t="n"/>
      <c r="AV38" s="27" t="n"/>
      <c r="AW38" s="27" t="n"/>
      <c r="AX38" s="27" t="n"/>
      <c r="AY38" s="27" t="n"/>
      <c r="AZ38" s="27" t="n">
        <v>15.5</v>
      </c>
      <c r="BA38" s="27" t="n">
        <v>6.8</v>
      </c>
      <c r="BB38" s="27" t="n">
        <v>34.1</v>
      </c>
      <c r="BC38" s="27" t="n">
        <v>16.9</v>
      </c>
      <c r="BD38" s="27" t="n"/>
      <c r="BE38" s="27" t="n"/>
      <c r="BF38" s="27" t="n">
        <v>10</v>
      </c>
      <c r="BG38" s="27" t="n"/>
      <c r="BH38" s="27" t="n"/>
      <c r="BI38" s="27" t="n"/>
      <c r="BJ38" s="27" t="n"/>
      <c r="BK38" s="23" t="inlineStr">
        <is>
          <t>Malayan Banking Berhad | Tenaga Nasional Berhad | Public Bank Berhad | Meta Platforms Incorporated | NVIDIA Corporation</t>
        </is>
      </c>
      <c r="BL38" s="27" t="n">
        <v>8</v>
      </c>
      <c r="BM38" s="26" t="inlineStr">
        <is>
          <t>Moderate</t>
        </is>
      </c>
      <c r="BN38" s="23" t="inlineStr">
        <is>
          <t>Equity Malaysia Domestic 30% of the fund’s NAV</t>
        </is>
      </c>
      <c r="BO38" s="23" t="inlineStr">
        <is>
          <t>Kuala Lumpur Composite Index (prior to 6 July 2009). FTSE Bursa Malaysia KLCI (w.e.f. 6 July 2009).</t>
        </is>
      </c>
      <c r="BP38" s="29" t="n">
        <v>0.3857</v>
      </c>
      <c r="BQ38" s="26" t="inlineStr">
        <is>
          <t>2025-10-09</t>
        </is>
      </c>
      <c r="BR38" s="29" t="n">
        <v>0.3639</v>
      </c>
      <c r="BS38" s="28" t="n">
        <v>-5.65</v>
      </c>
      <c r="BT38" s="24" t="n">
        <v>179</v>
      </c>
    </row>
    <row r="39" ht="16" customHeight="1">
      <c r="A39" s="30" t="inlineStr">
        <is>
          <t>PUBLIC INDEX FUND</t>
        </is>
      </c>
      <c r="B39" s="30" t="inlineStr">
        <is>
          <t>PIX</t>
        </is>
      </c>
      <c r="C39" s="30" t="inlineStr">
        <is>
          <t>Shariah</t>
        </is>
      </c>
      <c r="D39" s="30" t="inlineStr">
        <is>
          <t>Equity</t>
        </is>
      </c>
      <c r="E39" s="30" t="inlineStr">
        <is>
          <t>Malaysia</t>
        </is>
      </c>
      <c r="F39" s="31" t="inlineStr">
        <is>
          <t>Capital Growth</t>
        </is>
      </c>
      <c r="G39" s="32" t="n">
        <v>4</v>
      </c>
      <c r="H39" s="31" t="inlineStr">
        <is>
          <t>Incidental</t>
        </is>
      </c>
      <c r="I39" s="33" t="n">
        <v>495.38</v>
      </c>
      <c r="J39" s="34" t="inlineStr">
        <is>
          <t>02.03.1992</t>
        </is>
      </c>
      <c r="K39" s="34" t="inlineStr">
        <is>
          <t>Qualified</t>
        </is>
      </c>
      <c r="L39" s="35" t="n">
        <v>80</v>
      </c>
      <c r="M39" s="34" t="inlineStr">
        <is>
          <t>4/5</t>
        </is>
      </c>
      <c r="N39" s="36" t="n">
        <v>1.08</v>
      </c>
      <c r="O39" s="36" t="n">
        <v>2.7</v>
      </c>
      <c r="P39" s="36" t="n">
        <v>-1.62</v>
      </c>
      <c r="Q39" s="36" t="n">
        <v>11.45</v>
      </c>
      <c r="R39" s="36" t="n">
        <v>8.15</v>
      </c>
      <c r="S39" s="36" t="n">
        <v>3.3</v>
      </c>
      <c r="T39" s="36" t="n">
        <v>8.19</v>
      </c>
      <c r="U39" s="36" t="n">
        <v>6.58</v>
      </c>
      <c r="V39" s="36" t="n">
        <v>1.61</v>
      </c>
      <c r="W39" s="36" t="n">
        <v>4.04</v>
      </c>
      <c r="X39" s="36" t="n">
        <v>1.93</v>
      </c>
      <c r="Y39" s="36" t="n">
        <v>2.11</v>
      </c>
      <c r="Z39" s="36" t="n">
        <v>2.86</v>
      </c>
      <c r="AA39" s="36" t="n">
        <v>1.04</v>
      </c>
      <c r="AB39" s="36" t="n">
        <v>1.82</v>
      </c>
      <c r="AC39" s="36">
        <f>IF(OR(P39="",BL39="",BL39=0),"",P39/BL39)</f>
        <v/>
      </c>
      <c r="AD39" s="36">
        <f>IF(OR(S39="",BL39="",BL39=0),"",S39/BL39)</f>
        <v/>
      </c>
      <c r="AE39" s="36">
        <f>IF(OR(V39="",BL39="",BL39=0),"",V39/BL39)</f>
        <v/>
      </c>
      <c r="AF39" s="36">
        <f>IF(OR(Y39="",BL39="",BL39=0),"",Y39/BL39)</f>
        <v/>
      </c>
      <c r="AG39" s="36">
        <f>IF(OR(AB39="",BL39="",BL39=0),"",AB39/BL39)</f>
        <v/>
      </c>
      <c r="AH39" s="35" t="n">
        <v>96.5</v>
      </c>
      <c r="AI39" s="35" t="n"/>
      <c r="AJ39" s="35" t="n"/>
      <c r="AK39" s="35" t="n">
        <v>3.5</v>
      </c>
      <c r="AL39" s="35" t="n"/>
      <c r="AM39" s="35" t="n"/>
      <c r="AN39" s="35" t="n"/>
      <c r="AO39" s="35" t="n"/>
      <c r="AP39" s="35" t="n"/>
      <c r="AQ39" s="35" t="n"/>
      <c r="AR39" s="35" t="n"/>
      <c r="AS39" s="35" t="n"/>
      <c r="AT39" s="35" t="n"/>
      <c r="AU39" s="35" t="n"/>
      <c r="AV39" s="35" t="n"/>
      <c r="AW39" s="35" t="n"/>
      <c r="AX39" s="35" t="n"/>
      <c r="AY39" s="35" t="n"/>
      <c r="AZ39" s="35" t="n">
        <v>11.7</v>
      </c>
      <c r="BA39" s="35" t="n"/>
      <c r="BB39" s="35" t="n">
        <v>46.8</v>
      </c>
      <c r="BC39" s="35" t="n">
        <v>10.2</v>
      </c>
      <c r="BD39" s="35" t="n"/>
      <c r="BE39" s="35" t="n">
        <v>13.3</v>
      </c>
      <c r="BF39" s="35" t="n">
        <v>9.699999999999999</v>
      </c>
      <c r="BG39" s="35" t="n"/>
      <c r="BH39" s="35" t="n"/>
      <c r="BI39" s="35" t="n"/>
      <c r="BJ39" s="35" t="n"/>
      <c r="BK39" s="31" t="inlineStr">
        <is>
          <t>Public Bank Berhad | LPI Capital Berhad | Tenaga Nasional Berhad | Malayan Banking Berhad | CIMB Group Holdings Berhad</t>
        </is>
      </c>
      <c r="BL39" s="35" t="n">
        <v>7.8</v>
      </c>
      <c r="BM39" s="34" t="inlineStr">
        <is>
          <t>Moderate</t>
        </is>
      </c>
      <c r="BN39" s="31" t="inlineStr">
        <is>
          <t>Equity Malaysia 100% Domestic</t>
        </is>
      </c>
      <c r="BO39" s="31" t="inlineStr">
        <is>
          <t>Kuala Lumpur Composite Index (prior to 6 July 2009). FTSE Bursa Malaysia Top 100 Index (w.e.f. 6 July 2009). Underlying index data are sourced from Lipper.</t>
        </is>
      </c>
      <c r="BP39" s="37" t="n">
        <v>1.101</v>
      </c>
      <c r="BQ39" s="34" t="inlineStr">
        <is>
          <t>2008-01-11</t>
        </is>
      </c>
      <c r="BR39" s="37" t="n">
        <v>0.7036</v>
      </c>
      <c r="BS39" s="36" t="n">
        <v>-36.09</v>
      </c>
      <c r="BT39" s="32" t="n">
        <v>6660</v>
      </c>
    </row>
    <row r="40" ht="16" customHeight="1">
      <c r="A40" s="26" t="inlineStr">
        <is>
          <t>PB GLOBAL TECHNOLOGY &amp; HEALTHCARE FUND</t>
        </is>
      </c>
      <c r="B40" s="26" t="inlineStr">
        <is>
          <t>PBGTHF</t>
        </is>
      </c>
      <c r="C40" s="26" t="inlineStr">
        <is>
          <t>Conventional</t>
        </is>
      </c>
      <c r="D40" s="26" t="inlineStr">
        <is>
          <t>Equity</t>
        </is>
      </c>
      <c r="E40" s="26" t="inlineStr">
        <is>
          <t>Global</t>
        </is>
      </c>
      <c r="F40" s="23" t="inlineStr">
        <is>
          <t>Capital Growth</t>
        </is>
      </c>
      <c r="G40" s="24" t="n">
        <v>5</v>
      </c>
      <c r="H40" s="23" t="inlineStr">
        <is>
          <t>Incidental</t>
        </is>
      </c>
      <c r="I40" s="25" t="n">
        <v>477.57</v>
      </c>
      <c r="J40" s="26" t="inlineStr">
        <is>
          <t>09.05.2019</t>
        </is>
      </c>
      <c r="K40" s="26" t="inlineStr">
        <is>
          <t>Qualified</t>
        </is>
      </c>
      <c r="L40" s="27" t="n">
        <v>75</v>
      </c>
      <c r="M40" s="26" t="inlineStr">
        <is>
          <t>3/4</t>
        </is>
      </c>
      <c r="N40" s="28" t="n">
        <v>1.64</v>
      </c>
      <c r="O40" s="28" t="n">
        <v>-1.75</v>
      </c>
      <c r="P40" s="28" t="n">
        <v>3.39</v>
      </c>
      <c r="Q40" s="28" t="n">
        <v>17.86</v>
      </c>
      <c r="R40" s="28" t="n">
        <v>6.21</v>
      </c>
      <c r="S40" s="28" t="n">
        <v>11.65</v>
      </c>
      <c r="T40" s="28" t="n">
        <v>22.13</v>
      </c>
      <c r="U40" s="28" t="n">
        <v>14.86</v>
      </c>
      <c r="V40" s="28" t="n">
        <v>7.27</v>
      </c>
      <c r="W40" s="28" t="n">
        <v>11.37</v>
      </c>
      <c r="X40" s="28" t="n">
        <v>11.4</v>
      </c>
      <c r="Y40" s="28" t="n">
        <v>-0.03</v>
      </c>
      <c r="Z40" s="28" t="n"/>
      <c r="AA40" s="28" t="n"/>
      <c r="AB40" s="28" t="n"/>
      <c r="AC40" s="28">
        <f>IF(OR(P40="",BL40="",BL40=0),"",P40/BL40)</f>
        <v/>
      </c>
      <c r="AD40" s="28">
        <f>IF(OR(S40="",BL40="",BL40=0),"",S40/BL40)</f>
        <v/>
      </c>
      <c r="AE40" s="28">
        <f>IF(OR(V40="",BL40="",BL40=0),"",V40/BL40)</f>
        <v/>
      </c>
      <c r="AF40" s="28">
        <f>IF(OR(Y40="",BL40="",BL40=0),"",Y40/BL40)</f>
        <v/>
      </c>
      <c r="AG40" s="28">
        <f>IF(OR(AB40="",BL40="",BL40=0),"",AB40/BL40)</f>
        <v/>
      </c>
      <c r="AH40" s="27" t="n"/>
      <c r="AI40" s="27" t="n">
        <v>91.5</v>
      </c>
      <c r="AJ40" s="27" t="n"/>
      <c r="AK40" s="27" t="n">
        <v>8.5</v>
      </c>
      <c r="AL40" s="27" t="n"/>
      <c r="AM40" s="27" t="n"/>
      <c r="AN40" s="27" t="n">
        <v>45.2</v>
      </c>
      <c r="AO40" s="27" t="n">
        <v>14.7</v>
      </c>
      <c r="AP40" s="27" t="n">
        <v>19.1</v>
      </c>
      <c r="AQ40" s="27" t="n"/>
      <c r="AR40" s="27" t="n"/>
      <c r="AS40" s="27" t="n"/>
      <c r="AT40" s="27" t="n">
        <v>5.7</v>
      </c>
      <c r="AU40" s="27" t="n"/>
      <c r="AV40" s="27" t="n">
        <v>4.6</v>
      </c>
      <c r="AW40" s="27" t="n"/>
      <c r="AX40" s="27" t="n"/>
      <c r="AY40" s="27" t="n"/>
      <c r="AZ40" s="27" t="n">
        <v>11.3</v>
      </c>
      <c r="BA40" s="27" t="n">
        <v>49.1</v>
      </c>
      <c r="BB40" s="27" t="n"/>
      <c r="BC40" s="27" t="n">
        <v>15.7</v>
      </c>
      <c r="BD40" s="27" t="n">
        <v>2</v>
      </c>
      <c r="BE40" s="27" t="n"/>
      <c r="BF40" s="27" t="n"/>
      <c r="BG40" s="27" t="n"/>
      <c r="BH40" s="27" t="n"/>
      <c r="BI40" s="27" t="n"/>
      <c r="BJ40" s="27" t="n">
        <v>13.4</v>
      </c>
      <c r="BK40" s="23" t="inlineStr">
        <is>
          <t>Samsung Electronics Company Limited | SK Hynix Incorporated | Apple Incorporated | Taiwan Semiconductor Manufacturing Company Limited | HD Hyundai Electric Company Limited</t>
        </is>
      </c>
      <c r="BL40" s="27" t="n">
        <v>15.5</v>
      </c>
      <c r="BM40" s="26" t="inlineStr">
        <is>
          <t>Very High</t>
        </is>
      </c>
      <c r="BN40" s="23" t="inlineStr">
        <is>
          <t>Equity Global Global</t>
        </is>
      </c>
      <c r="BO40" s="23" t="inlineStr">
        <is>
          <t>2022 1.25 30.06.22 3.7 ThebenchmarkforPBGTHFisacompositeof50%S&amp;PGlobal1200Information Note: Distribution yield simply measures the level of distributions and is not a TechnologyIndex, 40% S&amp;P Global 1200 Health Care Index and 10% 1-Month measure of fund performance. Kuala Lumpur Interbank Offered Rate (KLIBOR). Underlying index data are sourced from Lipper and Bank Negara Malaysia and expressed in Ringgit terms.</t>
        </is>
      </c>
      <c r="BP40" s="29" t="n">
        <v>0.625</v>
      </c>
      <c r="BQ40" s="26" t="inlineStr">
        <is>
          <t>2025-11-03</t>
        </is>
      </c>
      <c r="BR40" s="29" t="n">
        <v>0.5658</v>
      </c>
      <c r="BS40" s="28" t="n">
        <v>-9.470000000000001</v>
      </c>
      <c r="BT40" s="24" t="n">
        <v>154</v>
      </c>
    </row>
    <row r="41" ht="16" customHeight="1">
      <c r="A41" s="34" t="inlineStr">
        <is>
          <t>PUBLIC OPTIMAL EQUITY FUND</t>
        </is>
      </c>
      <c r="B41" s="34" t="inlineStr">
        <is>
          <t>POEF</t>
        </is>
      </c>
      <c r="C41" s="34" t="inlineStr">
        <is>
          <t>Conventional</t>
        </is>
      </c>
      <c r="D41" s="34" t="inlineStr">
        <is>
          <t>Equity</t>
        </is>
      </c>
      <c r="E41" s="34" t="inlineStr">
        <is>
          <t>Malaysia</t>
        </is>
      </c>
      <c r="F41" s="31" t="inlineStr">
        <is>
          <t>Capital Growth</t>
        </is>
      </c>
      <c r="G41" s="32" t="n">
        <v>5</v>
      </c>
      <c r="H41" s="31" t="inlineStr">
        <is>
          <t>Incidental</t>
        </is>
      </c>
      <c r="I41" s="33" t="n">
        <v>29.8</v>
      </c>
      <c r="J41" s="34" t="inlineStr">
        <is>
          <t>26.07.2016</t>
        </is>
      </c>
      <c r="K41" s="34" t="inlineStr">
        <is>
          <t>Qualified</t>
        </is>
      </c>
      <c r="L41" s="35" t="n">
        <v>75</v>
      </c>
      <c r="M41" s="34" t="inlineStr">
        <is>
          <t>3/4</t>
        </is>
      </c>
      <c r="N41" s="36" t="n">
        <v>19.08</v>
      </c>
      <c r="O41" s="36" t="n">
        <v>6.72</v>
      </c>
      <c r="P41" s="36" t="n">
        <v>12.36</v>
      </c>
      <c r="Q41" s="36" t="n">
        <v>25.28</v>
      </c>
      <c r="R41" s="36" t="n">
        <v>18.35</v>
      </c>
      <c r="S41" s="36" t="n">
        <v>6.93</v>
      </c>
      <c r="T41" s="36" t="n">
        <v>15.27</v>
      </c>
      <c r="U41" s="36" t="n">
        <v>12.27</v>
      </c>
      <c r="V41" s="36" t="n">
        <v>3</v>
      </c>
      <c r="W41" s="36" t="n">
        <v>0.11</v>
      </c>
      <c r="X41" s="36" t="n">
        <v>2.62</v>
      </c>
      <c r="Y41" s="36" t="n">
        <v>-2.51</v>
      </c>
      <c r="Z41" s="36" t="n"/>
      <c r="AA41" s="36" t="n"/>
      <c r="AB41" s="36" t="n"/>
      <c r="AC41" s="36">
        <f>IF(OR(P41="",BL41="",BL41=0),"",P41/BL41)</f>
        <v/>
      </c>
      <c r="AD41" s="36">
        <f>IF(OR(S41="",BL41="",BL41=0),"",S41/BL41)</f>
        <v/>
      </c>
      <c r="AE41" s="36">
        <f>IF(OR(V41="",BL41="",BL41=0),"",V41/BL41)</f>
        <v/>
      </c>
      <c r="AF41" s="36">
        <f>IF(OR(Y41="",BL41="",BL41=0),"",Y41/BL41)</f>
        <v/>
      </c>
      <c r="AG41" s="36">
        <f>IF(OR(AB41="",BL41="",BL41=0),"",AB41/BL41)</f>
        <v/>
      </c>
      <c r="AH41" s="35" t="n"/>
      <c r="AI41" s="35" t="n">
        <v>90.3</v>
      </c>
      <c r="AJ41" s="35" t="n"/>
      <c r="AK41" s="35" t="n">
        <v>9.699999999999999</v>
      </c>
      <c r="AL41" s="35" t="n"/>
      <c r="AM41" s="35" t="n"/>
      <c r="AN41" s="35" t="n">
        <v>2.9</v>
      </c>
      <c r="AO41" s="35" t="n">
        <v>37.4</v>
      </c>
      <c r="AP41" s="35" t="n">
        <v>30.7</v>
      </c>
      <c r="AQ41" s="35" t="n"/>
      <c r="AR41" s="35" t="n"/>
      <c r="AS41" s="35" t="n"/>
      <c r="AT41" s="35" t="n">
        <v>19.3</v>
      </c>
      <c r="AU41" s="35" t="n"/>
      <c r="AV41" s="35" t="n"/>
      <c r="AW41" s="35" t="n"/>
      <c r="AX41" s="35" t="n"/>
      <c r="AY41" s="35" t="n"/>
      <c r="AZ41" s="35" t="n">
        <v>26</v>
      </c>
      <c r="BA41" s="35" t="n">
        <v>48.1</v>
      </c>
      <c r="BB41" s="35" t="n">
        <v>3.5</v>
      </c>
      <c r="BC41" s="35" t="n">
        <v>11.4</v>
      </c>
      <c r="BD41" s="35" t="n">
        <v>1.3</v>
      </c>
      <c r="BE41" s="35" t="n"/>
      <c r="BF41" s="35" t="n"/>
      <c r="BG41" s="35" t="n"/>
      <c r="BH41" s="35" t="n"/>
      <c r="BI41" s="35" t="n"/>
      <c r="BJ41" s="35" t="n"/>
      <c r="BK41" s="31" t="inlineStr">
        <is>
          <t>Samsung Electronics Company Limited | SK Hynix Incorporated | Alibaba Group Holding Limited - W | Taiwan Semiconductor Manufacturing Company Limited | Chroma ATE Incorporated</t>
        </is>
      </c>
      <c r="BL41" s="35" t="n">
        <v>17.6</v>
      </c>
      <c r="BM41" s="34" t="inlineStr">
        <is>
          <t>Very High</t>
        </is>
      </c>
      <c r="BN41" s="31" t="inlineStr">
        <is>
          <t>Equity Asia Pacific Asia</t>
        </is>
      </c>
      <c r="BO41" s="31" t="inlineStr">
        <is>
          <t>Note: Distribution yield simply measures the level of distributions and is ThebenchmarkforPOEFisacompositeof50%customisedindexbyMSCIbased not a measure of fund performance. onthetop30constituentsofMSCIACFar-EastEx-JapanIndex(priorto30April 2021),50%customisedindexbyS&amp;PDowJonesIndices,LLCbasedonthetop30 constituentsoftheS&amp;PBMIAsiaEx-JapanIndex(w.e.f.30April2021),40%FTSE Bursa Malaysia KLCI and 10% 3-Month Kuala Lumpur Interbank Offered Rate (KLIBOR). UnderlyingindexdataaresourcedfromS&amp;PDowJonesIndices,LLC,Lipperand Bank Negara Malaysia and expressed in Ringgit terms.</t>
        </is>
      </c>
      <c r="BP41" s="37" t="n">
        <v>0.4172</v>
      </c>
      <c r="BQ41" s="34" t="inlineStr">
        <is>
          <t>2021-02-17</t>
        </is>
      </c>
      <c r="BR41" s="37" t="n">
        <v>0.3275</v>
      </c>
      <c r="BS41" s="36" t="n">
        <v>-21.5</v>
      </c>
      <c r="BT41" s="32" t="n">
        <v>1874</v>
      </c>
    </row>
    <row r="42" ht="16" customHeight="1">
      <c r="A42" s="22" t="inlineStr">
        <is>
          <t>PUBLIC ISLAMIC OPTIMAL EQUITY FUND</t>
        </is>
      </c>
      <c r="B42" s="22" t="inlineStr">
        <is>
          <t>PIOEF</t>
        </is>
      </c>
      <c r="C42" s="22" t="inlineStr">
        <is>
          <t>Shariah</t>
        </is>
      </c>
      <c r="D42" s="22" t="inlineStr">
        <is>
          <t>Equity</t>
        </is>
      </c>
      <c r="E42" s="22" t="inlineStr">
        <is>
          <t>Malaysia</t>
        </is>
      </c>
      <c r="F42" s="23" t="inlineStr">
        <is>
          <t>Capital Growth</t>
        </is>
      </c>
      <c r="G42" s="24" t="n">
        <v>5</v>
      </c>
      <c r="H42" s="23" t="inlineStr">
        <is>
          <t>Incidental</t>
        </is>
      </c>
      <c r="I42" s="25" t="n">
        <v>55.45</v>
      </c>
      <c r="J42" s="26" t="inlineStr">
        <is>
          <t>26.07.2016</t>
        </is>
      </c>
      <c r="K42" s="26" t="inlineStr">
        <is>
          <t>Qualified</t>
        </is>
      </c>
      <c r="L42" s="27" t="n">
        <v>75</v>
      </c>
      <c r="M42" s="26" t="inlineStr">
        <is>
          <t>3/4</t>
        </is>
      </c>
      <c r="N42" s="28" t="n">
        <v>19.68</v>
      </c>
      <c r="O42" s="28" t="n">
        <v>10.53</v>
      </c>
      <c r="P42" s="28" t="n">
        <v>9.15</v>
      </c>
      <c r="Q42" s="28" t="n">
        <v>25.69</v>
      </c>
      <c r="R42" s="28" t="n">
        <v>23.49</v>
      </c>
      <c r="S42" s="28" t="n">
        <v>2.2</v>
      </c>
      <c r="T42" s="28" t="n">
        <v>14.67</v>
      </c>
      <c r="U42" s="28" t="n">
        <v>11.7</v>
      </c>
      <c r="V42" s="28" t="n">
        <v>2.97</v>
      </c>
      <c r="W42" s="28" t="n">
        <v>-0.6</v>
      </c>
      <c r="X42" s="28" t="n">
        <v>2.07</v>
      </c>
      <c r="Y42" s="28" t="n">
        <v>-2.67</v>
      </c>
      <c r="Z42" s="28" t="n"/>
      <c r="AA42" s="28" t="n"/>
      <c r="AB42" s="28" t="n"/>
      <c r="AC42" s="28">
        <f>IF(OR(P42="",BL42="",BL42=0),"",P42/BL42)</f>
        <v/>
      </c>
      <c r="AD42" s="28">
        <f>IF(OR(S42="",BL42="",BL42=0),"",S42/BL42)</f>
        <v/>
      </c>
      <c r="AE42" s="28">
        <f>IF(OR(V42="",BL42="",BL42=0),"",V42/BL42)</f>
        <v/>
      </c>
      <c r="AF42" s="28">
        <f>IF(OR(Y42="",BL42="",BL42=0),"",Y42/BL42)</f>
        <v/>
      </c>
      <c r="AG42" s="28">
        <f>IF(OR(AB42="",BL42="",BL42=0),"",AB42/BL42)</f>
        <v/>
      </c>
      <c r="AH42" s="27" t="n"/>
      <c r="AI42" s="27" t="n">
        <v>88</v>
      </c>
      <c r="AJ42" s="27" t="n"/>
      <c r="AK42" s="27" t="n">
        <v>12</v>
      </c>
      <c r="AL42" s="27" t="n"/>
      <c r="AM42" s="27" t="n"/>
      <c r="AN42" s="27" t="n">
        <v>7.1</v>
      </c>
      <c r="AO42" s="27" t="n">
        <v>44.5</v>
      </c>
      <c r="AP42" s="27" t="n">
        <v>19.9</v>
      </c>
      <c r="AQ42" s="27" t="n"/>
      <c r="AR42" s="27" t="n"/>
      <c r="AS42" s="27" t="n"/>
      <c r="AT42" s="27" t="n">
        <v>16.5</v>
      </c>
      <c r="AU42" s="27" t="n"/>
      <c r="AV42" s="27" t="n"/>
      <c r="AW42" s="27" t="n"/>
      <c r="AX42" s="27" t="n"/>
      <c r="AY42" s="27" t="n"/>
      <c r="AZ42" s="27" t="n">
        <v>25.3</v>
      </c>
      <c r="BA42" s="27" t="n">
        <v>42.9</v>
      </c>
      <c r="BB42" s="27" t="n"/>
      <c r="BC42" s="27" t="n">
        <v>8</v>
      </c>
      <c r="BD42" s="27" t="n">
        <v>11.8</v>
      </c>
      <c r="BE42" s="27" t="n"/>
      <c r="BF42" s="27" t="n"/>
      <c r="BG42" s="27" t="n"/>
      <c r="BH42" s="27" t="n"/>
      <c r="BI42" s="27" t="n"/>
      <c r="BJ42" s="27" t="n"/>
      <c r="BK42" s="23" t="inlineStr">
        <is>
          <t>Taiwan Semiconductor Manufacturing Company Limited | Unimicron Technology Corporation | Samsung Electronics Company Limited | Alibaba Group Holding Limited - W | SK Hynix Incorporated</t>
        </is>
      </c>
      <c r="BL42" s="27" t="n">
        <v>16.1</v>
      </c>
      <c r="BM42" s="26" t="inlineStr">
        <is>
          <t>Very High</t>
        </is>
      </c>
      <c r="BN42" s="23" t="inlineStr">
        <is>
          <t>Equity Asia Pacific Asia</t>
        </is>
      </c>
      <c r="BO42" s="23" t="n"/>
      <c r="BP42" s="29" t="n">
        <v>0.4764</v>
      </c>
      <c r="BQ42" s="26" t="inlineStr">
        <is>
          <t>2021-02-17</t>
        </is>
      </c>
      <c r="BR42" s="29" t="n">
        <v>0.3823</v>
      </c>
      <c r="BS42" s="28" t="n">
        <v>-19.75</v>
      </c>
      <c r="BT42" s="24" t="n">
        <v>1874</v>
      </c>
    </row>
    <row r="43" ht="16" customHeight="1">
      <c r="A43" s="34" t="inlineStr">
        <is>
          <t>PB ISLAMIC SMALLCAP FUND</t>
        </is>
      </c>
      <c r="B43" s="34" t="inlineStr">
        <is>
          <t>PBISCF</t>
        </is>
      </c>
      <c r="C43" s="34" t="inlineStr">
        <is>
          <t>Conventional</t>
        </is>
      </c>
      <c r="D43" s="34" t="inlineStr">
        <is>
          <t>Equity</t>
        </is>
      </c>
      <c r="E43" s="34" t="inlineStr">
        <is>
          <t>Malaysia</t>
        </is>
      </c>
      <c r="F43" s="31" t="inlineStr">
        <is>
          <t>Capital Growth</t>
        </is>
      </c>
      <c r="G43" s="32" t="n">
        <v>5</v>
      </c>
      <c r="H43" s="31" t="inlineStr">
        <is>
          <t>Incidental</t>
        </is>
      </c>
      <c r="I43" s="33" t="n">
        <v>112.66</v>
      </c>
      <c r="J43" s="34" t="inlineStr">
        <is>
          <t>28.03.2017</t>
        </is>
      </c>
      <c r="K43" s="34" t="inlineStr">
        <is>
          <t>Qualified</t>
        </is>
      </c>
      <c r="L43" s="35" t="n">
        <v>75</v>
      </c>
      <c r="M43" s="34" t="inlineStr">
        <is>
          <t>3/4</t>
        </is>
      </c>
      <c r="N43" s="36" t="n">
        <v>-2.78</v>
      </c>
      <c r="O43" s="36" t="n">
        <v>-1.51</v>
      </c>
      <c r="P43" s="36" t="n">
        <v>-1.27</v>
      </c>
      <c r="Q43" s="36" t="n">
        <v>0.71</v>
      </c>
      <c r="R43" s="36" t="n">
        <v>-0.19</v>
      </c>
      <c r="S43" s="36" t="n">
        <v>0.9</v>
      </c>
      <c r="T43" s="36" t="n">
        <v>2.77</v>
      </c>
      <c r="U43" s="36" t="n">
        <v>1.3</v>
      </c>
      <c r="V43" s="36" t="n">
        <v>1.47</v>
      </c>
      <c r="W43" s="36" t="n">
        <v>0.95</v>
      </c>
      <c r="X43" s="36" t="n">
        <v>-1</v>
      </c>
      <c r="Y43" s="36" t="n">
        <v>1.95</v>
      </c>
      <c r="Z43" s="36" t="n"/>
      <c r="AA43" s="36" t="n"/>
      <c r="AB43" s="36" t="n"/>
      <c r="AC43" s="36">
        <f>IF(OR(P43="",BL43="",BL43=0),"",P43/BL43)</f>
        <v/>
      </c>
      <c r="AD43" s="36">
        <f>IF(OR(S43="",BL43="",BL43=0),"",S43/BL43)</f>
        <v/>
      </c>
      <c r="AE43" s="36">
        <f>IF(OR(V43="",BL43="",BL43=0),"",V43/BL43)</f>
        <v/>
      </c>
      <c r="AF43" s="36">
        <f>IF(OR(Y43="",BL43="",BL43=0),"",Y43/BL43)</f>
        <v/>
      </c>
      <c r="AG43" s="36">
        <f>IF(OR(AB43="",BL43="",BL43=0),"",AB43/BL43)</f>
        <v/>
      </c>
      <c r="AH43" s="35" t="n">
        <v>18</v>
      </c>
      <c r="AI43" s="35" t="n">
        <v>75.90000000000001</v>
      </c>
      <c r="AJ43" s="35" t="n"/>
      <c r="AK43" s="35" t="n">
        <v>6.1</v>
      </c>
      <c r="AL43" s="35" t="n"/>
      <c r="AM43" s="35" t="n"/>
      <c r="AN43" s="35" t="n">
        <v>4</v>
      </c>
      <c r="AO43" s="35" t="n">
        <v>5.7</v>
      </c>
      <c r="AP43" s="35" t="n">
        <v>5.4</v>
      </c>
      <c r="AQ43" s="35" t="n">
        <v>2.9</v>
      </c>
      <c r="AR43" s="35" t="n"/>
      <c r="AS43" s="35" t="n"/>
      <c r="AT43" s="35" t="n"/>
      <c r="AU43" s="35" t="n"/>
      <c r="AV43" s="35" t="n"/>
      <c r="AW43" s="35" t="n"/>
      <c r="AX43" s="35" t="n"/>
      <c r="AY43" s="35" t="n"/>
      <c r="AZ43" s="35" t="n">
        <v>54.1</v>
      </c>
      <c r="BA43" s="35" t="n">
        <v>7.5</v>
      </c>
      <c r="BB43" s="35" t="n">
        <v>6.3</v>
      </c>
      <c r="BC43" s="35" t="n"/>
      <c r="BD43" s="35" t="n"/>
      <c r="BE43" s="35" t="n">
        <v>13</v>
      </c>
      <c r="BF43" s="35" t="n"/>
      <c r="BG43" s="35" t="n"/>
      <c r="BH43" s="35" t="n"/>
      <c r="BI43" s="35" t="n"/>
      <c r="BJ43" s="35" t="n">
        <v>3.4</v>
      </c>
      <c r="BK43" s="31" t="inlineStr">
        <is>
          <t>Kelington Group Berhad | Spritzer Berhad | Frontken Corporation Berhad | AME Elite Consortium Berhad | Taiwan Semiconductor Manufacturing Company Limited</t>
        </is>
      </c>
      <c r="BL43" s="35" t="n">
        <v>11.4</v>
      </c>
      <c r="BM43" s="34" t="inlineStr">
        <is>
          <t>High</t>
        </is>
      </c>
      <c r="BN43" s="31" t="inlineStr">
        <is>
          <t>Equity Malaysia Small &amp;</t>
        </is>
      </c>
      <c r="BO43" s="31" t="inlineStr">
        <is>
          <t>Index data are sourced from Lipper.</t>
        </is>
      </c>
      <c r="BP43" s="37" t="n">
        <v>0.4582</v>
      </c>
      <c r="BQ43" s="34" t="inlineStr">
        <is>
          <t>2022-01-04</t>
        </is>
      </c>
      <c r="BR43" s="37" t="n">
        <v>0.3241</v>
      </c>
      <c r="BS43" s="36" t="n">
        <v>-29.27</v>
      </c>
      <c r="BT43" s="32" t="n">
        <v>1553</v>
      </c>
    </row>
    <row r="44" ht="16" customHeight="1">
      <c r="A44" s="26" t="inlineStr">
        <is>
          <t>PB ASIA-30 EQUITY FUND</t>
        </is>
      </c>
      <c r="B44" s="26" t="inlineStr">
        <is>
          <t>PBA30EF</t>
        </is>
      </c>
      <c r="C44" s="26" t="inlineStr">
        <is>
          <t>Conventional</t>
        </is>
      </c>
      <c r="D44" s="26" t="inlineStr">
        <is>
          <t>Equity</t>
        </is>
      </c>
      <c r="E44" s="26" t="inlineStr">
        <is>
          <t>Asia</t>
        </is>
      </c>
      <c r="F44" s="23" t="inlineStr">
        <is>
          <t>Capital Growth</t>
        </is>
      </c>
      <c r="G44" s="24" t="n">
        <v>5</v>
      </c>
      <c r="H44" s="23" t="inlineStr">
        <is>
          <t>Incidental</t>
        </is>
      </c>
      <c r="I44" s="25" t="n">
        <v>341.17</v>
      </c>
      <c r="J44" s="26" t="inlineStr">
        <is>
          <t>26.07.2018</t>
        </is>
      </c>
      <c r="K44" s="26" t="inlineStr">
        <is>
          <t>Qualified</t>
        </is>
      </c>
      <c r="L44" s="27" t="n">
        <v>75</v>
      </c>
      <c r="M44" s="26" t="inlineStr">
        <is>
          <t>3/4</t>
        </is>
      </c>
      <c r="N44" s="28" t="n">
        <v>21.3</v>
      </c>
      <c r="O44" s="28" t="n">
        <v>9.35</v>
      </c>
      <c r="P44" s="28" t="n">
        <v>11.95</v>
      </c>
      <c r="Q44" s="28" t="n">
        <v>34.66</v>
      </c>
      <c r="R44" s="28" t="n">
        <v>24.76</v>
      </c>
      <c r="S44" s="28" t="n">
        <v>9.9</v>
      </c>
      <c r="T44" s="28" t="n">
        <v>17.11</v>
      </c>
      <c r="U44" s="28" t="n">
        <v>16.43</v>
      </c>
      <c r="V44" s="28" t="n">
        <v>0.68</v>
      </c>
      <c r="W44" s="28" t="n">
        <v>0.85</v>
      </c>
      <c r="X44" s="28" t="n">
        <v>2.86</v>
      </c>
      <c r="Y44" s="28" t="n">
        <v>-2.01</v>
      </c>
      <c r="Z44" s="28" t="n"/>
      <c r="AA44" s="28" t="n"/>
      <c r="AB44" s="28" t="n"/>
      <c r="AC44" s="28">
        <f>IF(OR(P44="",BL44="",BL44=0),"",P44/BL44)</f>
        <v/>
      </c>
      <c r="AD44" s="28">
        <f>IF(OR(S44="",BL44="",BL44=0),"",S44/BL44)</f>
        <v/>
      </c>
      <c r="AE44" s="28">
        <f>IF(OR(V44="",BL44="",BL44=0),"",V44/BL44)</f>
        <v/>
      </c>
      <c r="AF44" s="28">
        <f>IF(OR(Y44="",BL44="",BL44=0),"",Y44/BL44)</f>
        <v/>
      </c>
      <c r="AG44" s="28">
        <f>IF(OR(AB44="",BL44="",BL44=0),"",AB44/BL44)</f>
        <v/>
      </c>
      <c r="AH44" s="27" t="n"/>
      <c r="AI44" s="27" t="n">
        <v>90.09999999999999</v>
      </c>
      <c r="AJ44" s="27" t="n"/>
      <c r="AK44" s="27" t="n">
        <v>9.9</v>
      </c>
      <c r="AL44" s="27" t="n"/>
      <c r="AM44" s="27" t="n"/>
      <c r="AN44" s="27" t="n"/>
      <c r="AO44" s="27" t="n">
        <v>32.9</v>
      </c>
      <c r="AP44" s="27" t="n">
        <v>29.1</v>
      </c>
      <c r="AQ44" s="27" t="n">
        <v>8.1</v>
      </c>
      <c r="AR44" s="27" t="n"/>
      <c r="AS44" s="27" t="n"/>
      <c r="AT44" s="27" t="n">
        <v>20</v>
      </c>
      <c r="AU44" s="27" t="n"/>
      <c r="AV44" s="27" t="n"/>
      <c r="AW44" s="27" t="n"/>
      <c r="AX44" s="27" t="n"/>
      <c r="AY44" s="27" t="n"/>
      <c r="AZ44" s="27" t="n">
        <v>26.7</v>
      </c>
      <c r="BA44" s="27" t="n">
        <v>47.2</v>
      </c>
      <c r="BB44" s="27" t="n">
        <v>3.1</v>
      </c>
      <c r="BC44" s="27" t="n">
        <v>13.1</v>
      </c>
      <c r="BD44" s="27" t="n"/>
      <c r="BE44" s="27" t="n"/>
      <c r="BF44" s="27" t="n"/>
      <c r="BG44" s="27" t="n"/>
      <c r="BH44" s="27" t="n"/>
      <c r="BI44" s="27" t="n"/>
      <c r="BJ44" s="27" t="n"/>
      <c r="BK44" s="23" t="inlineStr">
        <is>
          <t>SK Hynix Incorporated | Taiwan Semiconductor Manufacturing Company Limited | Samsung Electronics Company Limited | Alibaba Group Holding Limited - W | HD Hyundai Electric Company Limited</t>
        </is>
      </c>
      <c r="BL44" s="27" t="n">
        <v>18.6</v>
      </c>
      <c r="BM44" s="26" t="inlineStr">
        <is>
          <t>Very High</t>
        </is>
      </c>
      <c r="BN44" s="23" t="inlineStr">
        <is>
          <t>Equity Asia Pacific Asia</t>
        </is>
      </c>
      <c r="BO44" s="23"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P44" s="29" t="n">
        <v>0.3996</v>
      </c>
      <c r="BQ44" s="26" t="inlineStr">
        <is>
          <t>2021-02-17</t>
        </is>
      </c>
      <c r="BR44" s="29" t="n">
        <v>0.3257</v>
      </c>
      <c r="BS44" s="28" t="n">
        <v>-18.49</v>
      </c>
      <c r="BT44" s="24" t="n">
        <v>1874</v>
      </c>
    </row>
    <row r="45" ht="16" customHeight="1">
      <c r="A45" s="30" t="inlineStr">
        <is>
          <t>PUBLIC ISLAMIC U.S. SUSTAINABLE EQUITY FUND</t>
        </is>
      </c>
      <c r="B45" s="30" t="inlineStr">
        <is>
          <t>PIUSSEQF</t>
        </is>
      </c>
      <c r="C45" s="30" t="inlineStr">
        <is>
          <t>Shariah</t>
        </is>
      </c>
      <c r="D45" s="30" t="inlineStr">
        <is>
          <t>Equity</t>
        </is>
      </c>
      <c r="E45" s="30" t="inlineStr">
        <is>
          <t>United States</t>
        </is>
      </c>
      <c r="F45" s="31" t="inlineStr">
        <is>
          <t>Capital Growth</t>
        </is>
      </c>
      <c r="G45" s="32" t="n">
        <v>5</v>
      </c>
      <c r="H45" s="31" t="inlineStr">
        <is>
          <t>Incidental</t>
        </is>
      </c>
      <c r="I45" s="33" t="n">
        <v>489.16</v>
      </c>
      <c r="J45" s="34" t="inlineStr">
        <is>
          <t>10.04.2019</t>
        </is>
      </c>
      <c r="K45" s="34" t="inlineStr">
        <is>
          <t>Qualified</t>
        </is>
      </c>
      <c r="L45" s="35" t="n">
        <v>75</v>
      </c>
      <c r="M45" s="34" t="inlineStr">
        <is>
          <t>3/4</t>
        </is>
      </c>
      <c r="N45" s="36" t="n">
        <v>-7.18</v>
      </c>
      <c r="O45" s="36" t="n">
        <v>-3.49</v>
      </c>
      <c r="P45" s="36" t="n">
        <v>-3.69</v>
      </c>
      <c r="Q45" s="36" t="n">
        <v>4.32</v>
      </c>
      <c r="R45" s="36" t="n">
        <v>1.95</v>
      </c>
      <c r="S45" s="36" t="n">
        <v>2.37</v>
      </c>
      <c r="T45" s="36" t="n">
        <v>16.83</v>
      </c>
      <c r="U45" s="36" t="n">
        <v>16.67</v>
      </c>
      <c r="V45" s="36" t="n">
        <v>0.16</v>
      </c>
      <c r="W45" s="36" t="n">
        <v>12.26</v>
      </c>
      <c r="X45" s="36" t="n">
        <v>12.21</v>
      </c>
      <c r="Y45" s="36" t="n">
        <v>0.05</v>
      </c>
      <c r="Z45" s="36" t="n"/>
      <c r="AA45" s="36" t="n"/>
      <c r="AB45" s="36" t="n"/>
      <c r="AC45" s="36">
        <f>IF(OR(P45="",BL45="",BL45=0),"",P45/BL45)</f>
        <v/>
      </c>
      <c r="AD45" s="36">
        <f>IF(OR(S45="",BL45="",BL45=0),"",S45/BL45)</f>
        <v/>
      </c>
      <c r="AE45" s="36">
        <f>IF(OR(V45="",BL45="",BL45=0),"",V45/BL45)</f>
        <v/>
      </c>
      <c r="AF45" s="36">
        <f>IF(OR(Y45="",BL45="",BL45=0),"",Y45/BL45)</f>
        <v/>
      </c>
      <c r="AG45" s="36">
        <f>IF(OR(AB45="",BL45="",BL45=0),"",AB45/BL45)</f>
        <v/>
      </c>
      <c r="AH45" s="35" t="n"/>
      <c r="AI45" s="35" t="n">
        <v>93.09999999999999</v>
      </c>
      <c r="AJ45" s="35" t="n"/>
      <c r="AK45" s="35" t="n">
        <v>6.9</v>
      </c>
      <c r="AL45" s="35" t="n"/>
      <c r="AM45" s="35" t="n"/>
      <c r="AN45" s="35" t="n">
        <v>75.40000000000001</v>
      </c>
      <c r="AO45" s="35" t="n"/>
      <c r="AP45" s="35" t="n"/>
      <c r="AQ45" s="35" t="n">
        <v>2.4</v>
      </c>
      <c r="AR45" s="35" t="n">
        <v>2</v>
      </c>
      <c r="AS45" s="35" t="n"/>
      <c r="AT45" s="35" t="n">
        <v>5.4</v>
      </c>
      <c r="AU45" s="35" t="n"/>
      <c r="AV45" s="35" t="n">
        <v>7.3</v>
      </c>
      <c r="AW45" s="35" t="n"/>
      <c r="AX45" s="35" t="n"/>
      <c r="AY45" s="35" t="n"/>
      <c r="AZ45" s="35" t="n"/>
      <c r="BA45" s="35" t="n">
        <v>42.4</v>
      </c>
      <c r="BB45" s="35" t="n">
        <v>5</v>
      </c>
      <c r="BC45" s="35" t="n">
        <v>29.4</v>
      </c>
      <c r="BD45" s="35" t="n">
        <v>6.9</v>
      </c>
      <c r="BE45" s="35" t="n">
        <v>7.1</v>
      </c>
      <c r="BF45" s="35" t="n"/>
      <c r="BG45" s="35" t="n"/>
      <c r="BH45" s="35" t="n"/>
      <c r="BI45" s="35" t="n"/>
      <c r="BJ45" s="35" t="n"/>
      <c r="BK45" s="31" t="inlineStr">
        <is>
          <t>Meta Platforms Incorporated | Microsoft Corporation | Alphabet Incorporated - Class A | Apple Incorporated | ASML Holding N.V. - NYS</t>
        </is>
      </c>
      <c r="BL45" s="35" t="n">
        <v>13.7</v>
      </c>
      <c r="BM45" s="34" t="inlineStr">
        <is>
          <t>Very High</t>
        </is>
      </c>
      <c r="BN45" s="31" t="inlineStr">
        <is>
          <t>Equity U.S. Global</t>
        </is>
      </c>
      <c r="BO45" s="31"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P45" s="37" t="n">
        <v>0.6840000000000001</v>
      </c>
      <c r="BQ45" s="34" t="inlineStr">
        <is>
          <t>2025-10-29</t>
        </is>
      </c>
      <c r="BR45" s="37" t="n">
        <v>0.582</v>
      </c>
      <c r="BS45" s="36" t="n">
        <v>-14.91</v>
      </c>
      <c r="BT45" s="32" t="n">
        <v>159</v>
      </c>
    </row>
    <row r="46" ht="16" customHeight="1">
      <c r="A46" s="22" t="inlineStr">
        <is>
          <t>PUBLIC e-ISLAMIC GROWTH FUND</t>
        </is>
      </c>
      <c r="B46" s="22" t="inlineStr">
        <is>
          <t>PeIGRF</t>
        </is>
      </c>
      <c r="C46" s="22" t="inlineStr">
        <is>
          <t>Shariah</t>
        </is>
      </c>
      <c r="D46" s="22" t="inlineStr">
        <is>
          <t>Equity</t>
        </is>
      </c>
      <c r="E46" s="22" t="inlineStr">
        <is>
          <t>Malaysia</t>
        </is>
      </c>
      <c r="F46" s="23" t="inlineStr">
        <is>
          <t>Capital Growth</t>
        </is>
      </c>
      <c r="G46" s="24" t="n">
        <v>4</v>
      </c>
      <c r="H46" s="23" t="inlineStr">
        <is>
          <t>Incidental</t>
        </is>
      </c>
      <c r="I46" s="25" t="n">
        <v>70.95</v>
      </c>
      <c r="J46" s="26" t="inlineStr">
        <is>
          <t>10.12.2021</t>
        </is>
      </c>
      <c r="K46" s="26" t="inlineStr">
        <is>
          <t>Qualified</t>
        </is>
      </c>
      <c r="L46" s="27" t="n">
        <v>66.7</v>
      </c>
      <c r="M46" s="26" t="inlineStr">
        <is>
          <t>2/3</t>
        </is>
      </c>
      <c r="N46" s="28" t="n">
        <v>-2.6</v>
      </c>
      <c r="O46" s="28" t="n">
        <v>0.96</v>
      </c>
      <c r="P46" s="28" t="n">
        <v>-3.56</v>
      </c>
      <c r="Q46" s="28" t="n">
        <v>8.82</v>
      </c>
      <c r="R46" s="28" t="n">
        <v>6.76</v>
      </c>
      <c r="S46" s="28" t="n">
        <v>2.06</v>
      </c>
      <c r="T46" s="28" t="n">
        <v>6.19</v>
      </c>
      <c r="U46" s="28" t="n">
        <v>4.19</v>
      </c>
      <c r="V46" s="28" t="n">
        <v>2</v>
      </c>
      <c r="W46" s="28" t="n"/>
      <c r="X46" s="28" t="n"/>
      <c r="Y46" s="28" t="n"/>
      <c r="Z46" s="28" t="n"/>
      <c r="AA46" s="28" t="n"/>
      <c r="AB46" s="28" t="n"/>
      <c r="AC46" s="28">
        <f>IF(OR(P46="",BL46="",BL46=0),"",P46/BL46)</f>
        <v/>
      </c>
      <c r="AD46" s="28">
        <f>IF(OR(S46="",BL46="",BL46=0),"",S46/BL46)</f>
        <v/>
      </c>
      <c r="AE46" s="28">
        <f>IF(OR(V46="",BL46="",BL46=0),"",V46/BL46)</f>
        <v/>
      </c>
      <c r="AF46" s="28">
        <f>IF(OR(Y46="",BL46="",BL46=0),"",Y46/BL46)</f>
        <v/>
      </c>
      <c r="AG46" s="28">
        <f>IF(OR(AB46="",BL46="",BL46=0),"",AB46/BL46)</f>
        <v/>
      </c>
      <c r="AH46" s="27" t="n">
        <v>16.8</v>
      </c>
      <c r="AI46" s="27" t="n">
        <v>75.40000000000001</v>
      </c>
      <c r="AJ46" s="27" t="n"/>
      <c r="AK46" s="27" t="n">
        <v>7.8</v>
      </c>
      <c r="AL46" s="27" t="n"/>
      <c r="AM46" s="27" t="n"/>
      <c r="AN46" s="27" t="n">
        <v>13.8</v>
      </c>
      <c r="AO46" s="27" t="n">
        <v>3</v>
      </c>
      <c r="AP46" s="27" t="n"/>
      <c r="AQ46" s="27" t="n"/>
      <c r="AR46" s="27" t="n"/>
      <c r="AS46" s="27" t="n"/>
      <c r="AT46" s="27" t="n"/>
      <c r="AU46" s="27" t="n"/>
      <c r="AV46" s="27" t="n"/>
      <c r="AW46" s="27" t="n"/>
      <c r="AX46" s="27" t="n"/>
      <c r="AY46" s="27" t="n"/>
      <c r="AZ46" s="27" t="n">
        <v>16</v>
      </c>
      <c r="BA46" s="27" t="n">
        <v>8.4</v>
      </c>
      <c r="BB46" s="27" t="n"/>
      <c r="BC46" s="27" t="n">
        <v>22.4</v>
      </c>
      <c r="BD46" s="27" t="n"/>
      <c r="BE46" s="27" t="n">
        <v>15.4</v>
      </c>
      <c r="BF46" s="27" t="n">
        <v>9.6</v>
      </c>
      <c r="BG46" s="27" t="n"/>
      <c r="BH46" s="27" t="n"/>
      <c r="BI46" s="27" t="n"/>
      <c r="BJ46" s="27" t="n"/>
      <c r="BK46" s="23" t="inlineStr">
        <is>
          <t>Tenaga Nasional Berhad | Press Metal Aluminium Holdings Berhad | Telekom Malaysia Berhad | TIME dotCom Berhad | IHH Healthcare Berhad</t>
        </is>
      </c>
      <c r="BL46" s="27" t="n">
        <v>9.1</v>
      </c>
      <c r="BM46" s="26" t="inlineStr">
        <is>
          <t>Moderate</t>
        </is>
      </c>
      <c r="BN46" s="23" t="inlineStr">
        <is>
          <t>Equity Malaysia</t>
        </is>
      </c>
      <c r="BO46" s="23" t="inlineStr">
        <is>
          <t>Thebenchmark for PeIGRFis acomposite of90% FTSE Bursa MalaysiaEMAS Shariah Index and 10% 3-Month Islamic Interbank Money Market (IIMM) rate. Underlying index data are sourced from Lipper and Bank Negara Malaysia.</t>
        </is>
      </c>
      <c r="BP46" s="29" t="n">
        <v>0.2913</v>
      </c>
      <c r="BQ46" s="26" t="inlineStr">
        <is>
          <t>2026-01-27</t>
        </is>
      </c>
      <c r="BR46" s="29" t="n">
        <v>0.2743</v>
      </c>
      <c r="BS46" s="28" t="n">
        <v>-5.84</v>
      </c>
      <c r="BT46" s="24" t="n">
        <v>69</v>
      </c>
    </row>
    <row r="47" ht="16" customHeight="1">
      <c r="A47" s="34" t="inlineStr">
        <is>
          <t>PUBLIC e-CARBON EFFICIENT FUND</t>
        </is>
      </c>
      <c r="B47" s="34" t="inlineStr">
        <is>
          <t>PeCEF</t>
        </is>
      </c>
      <c r="C47" s="34" t="inlineStr">
        <is>
          <t>Conventional</t>
        </is>
      </c>
      <c r="D47" s="34" t="inlineStr">
        <is>
          <t>Equity</t>
        </is>
      </c>
      <c r="E47" s="34" t="inlineStr">
        <is>
          <t>Malaysia</t>
        </is>
      </c>
      <c r="F47" s="31" t="inlineStr">
        <is>
          <t>Capital Growth</t>
        </is>
      </c>
      <c r="G47" s="32" t="n">
        <v>5</v>
      </c>
      <c r="H47" s="31" t="inlineStr">
        <is>
          <t>Incidental</t>
        </is>
      </c>
      <c r="I47" s="33" t="n">
        <v>390.87</v>
      </c>
      <c r="J47" s="34" t="inlineStr">
        <is>
          <t>09.02.2021</t>
        </is>
      </c>
      <c r="K47" s="34" t="inlineStr">
        <is>
          <t>Qualified</t>
        </is>
      </c>
      <c r="L47" s="35" t="n">
        <v>66.7</v>
      </c>
      <c r="M47" s="34" t="inlineStr">
        <is>
          <t>2/3</t>
        </is>
      </c>
      <c r="N47" s="36" t="n">
        <v>-0.71</v>
      </c>
      <c r="O47" s="36" t="n">
        <v>-0.31</v>
      </c>
      <c r="P47" s="36" t="n">
        <v>-0.4</v>
      </c>
      <c r="Q47" s="36" t="n">
        <v>10.23</v>
      </c>
      <c r="R47" s="36" t="n">
        <v>8.220000000000001</v>
      </c>
      <c r="S47" s="36" t="n">
        <v>2.01</v>
      </c>
      <c r="T47" s="36" t="n">
        <v>17.01</v>
      </c>
      <c r="U47" s="36" t="n">
        <v>15.26</v>
      </c>
      <c r="V47" s="36" t="n">
        <v>1.75</v>
      </c>
      <c r="W47" s="36" t="n"/>
      <c r="X47" s="36" t="n"/>
      <c r="Y47" s="36" t="n"/>
      <c r="Z47" s="36" t="n"/>
      <c r="AA47" s="36" t="n"/>
      <c r="AB47" s="36" t="n"/>
      <c r="AC47" s="36">
        <f>IF(OR(P47="",BL47="",BL47=0),"",P47/BL47)</f>
        <v/>
      </c>
      <c r="AD47" s="36">
        <f>IF(OR(S47="",BL47="",BL47=0),"",S47/BL47)</f>
        <v/>
      </c>
      <c r="AE47" s="36">
        <f>IF(OR(V47="",BL47="",BL47=0),"",V47/BL47)</f>
        <v/>
      </c>
      <c r="AF47" s="36">
        <f>IF(OR(Y47="",BL47="",BL47=0),"",Y47/BL47)</f>
        <v/>
      </c>
      <c r="AG47" s="36">
        <f>IF(OR(AB47="",BL47="",BL47=0),"",AB47/BL47)</f>
        <v/>
      </c>
      <c r="AH47" s="35" t="n"/>
      <c r="AI47" s="35" t="n">
        <v>86.8</v>
      </c>
      <c r="AJ47" s="35" t="n"/>
      <c r="AK47" s="35" t="n">
        <v>13.2</v>
      </c>
      <c r="AL47" s="35" t="n"/>
      <c r="AM47" s="35" t="n"/>
      <c r="AN47" s="35" t="n">
        <v>51.6</v>
      </c>
      <c r="AO47" s="35" t="n">
        <v>9.800000000000001</v>
      </c>
      <c r="AP47" s="35" t="n"/>
      <c r="AQ47" s="35" t="n">
        <v>9</v>
      </c>
      <c r="AR47" s="35" t="n"/>
      <c r="AS47" s="35" t="n"/>
      <c r="AT47" s="35" t="n">
        <v>8.800000000000001</v>
      </c>
      <c r="AU47" s="35" t="n"/>
      <c r="AV47" s="35" t="n">
        <v>6.6</v>
      </c>
      <c r="AW47" s="35" t="n"/>
      <c r="AX47" s="35" t="n"/>
      <c r="AY47" s="35" t="n"/>
      <c r="AZ47" s="35" t="n">
        <v>5.7</v>
      </c>
      <c r="BA47" s="35" t="n">
        <v>35.2</v>
      </c>
      <c r="BB47" s="35" t="n">
        <v>5.9</v>
      </c>
      <c r="BC47" s="35" t="n">
        <v>27.2</v>
      </c>
      <c r="BD47" s="35" t="n">
        <v>12.8</v>
      </c>
      <c r="BE47" s="35" t="n"/>
      <c r="BF47" s="35" t="n"/>
      <c r="BG47" s="35" t="n"/>
      <c r="BH47" s="35" t="n"/>
      <c r="BI47" s="35" t="n"/>
      <c r="BJ47" s="35" t="n"/>
      <c r="BK47" s="31" t="inlineStr">
        <is>
          <t>Taiwan Semiconductor Manufacturing Company Limited | Meta Platforms Incorporated | Alphabet Incorporated - Class A | Alibaba Group Holding Limited - W | Costco Wholesale Corporation</t>
        </is>
      </c>
      <c r="BL47" s="35" t="n">
        <v>13.8</v>
      </c>
      <c r="BM47" s="34" t="inlineStr">
        <is>
          <t>Very High</t>
        </is>
      </c>
      <c r="BN47" s="31" t="inlineStr">
        <is>
          <t>Equity Global Global</t>
        </is>
      </c>
      <c r="BO47" s="31"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P47" s="37" t="n">
        <v>0.404</v>
      </c>
      <c r="BQ47" s="34" t="inlineStr">
        <is>
          <t>2025-10-30</t>
        </is>
      </c>
      <c r="BR47" s="37" t="n">
        <v>0.3616</v>
      </c>
      <c r="BS47" s="36" t="n">
        <v>-10.5</v>
      </c>
      <c r="BT47" s="32" t="n">
        <v>158</v>
      </c>
    </row>
    <row r="48" ht="16" customHeight="1">
      <c r="A48" s="22" t="inlineStr">
        <is>
          <t>PUBLIC e-ISLAMIC ASIA THEMATIC GROWTH FUND</t>
        </is>
      </c>
      <c r="B48" s="22" t="inlineStr">
        <is>
          <t>PeIATGF</t>
        </is>
      </c>
      <c r="C48" s="22" t="inlineStr">
        <is>
          <t>Shariah</t>
        </is>
      </c>
      <c r="D48" s="22" t="inlineStr">
        <is>
          <t>Equity</t>
        </is>
      </c>
      <c r="E48" s="22" t="inlineStr">
        <is>
          <t>Asia</t>
        </is>
      </c>
      <c r="F48" s="23" t="inlineStr">
        <is>
          <t>Capital Growth</t>
        </is>
      </c>
      <c r="G48" s="24" t="n">
        <v>5</v>
      </c>
      <c r="H48" s="23" t="inlineStr">
        <is>
          <t>Incidental</t>
        </is>
      </c>
      <c r="I48" s="25" t="n">
        <v>484.57</v>
      </c>
      <c r="J48" s="26" t="inlineStr">
        <is>
          <t>30.11.2021</t>
        </is>
      </c>
      <c r="K48" s="26" t="inlineStr">
        <is>
          <t>Qualified</t>
        </is>
      </c>
      <c r="L48" s="27" t="n">
        <v>66.7</v>
      </c>
      <c r="M48" s="26" t="inlineStr">
        <is>
          <t>2/3</t>
        </is>
      </c>
      <c r="N48" s="28" t="n">
        <v>21.96</v>
      </c>
      <c r="O48" s="28" t="n">
        <v>21.16</v>
      </c>
      <c r="P48" s="28" t="n">
        <v>0.8</v>
      </c>
      <c r="Q48" s="28" t="n">
        <v>36.1</v>
      </c>
      <c r="R48" s="28" t="n">
        <v>41.58</v>
      </c>
      <c r="S48" s="28" t="n">
        <v>-5.48</v>
      </c>
      <c r="T48" s="28" t="n">
        <v>19.72</v>
      </c>
      <c r="U48" s="28" t="n">
        <v>18.29</v>
      </c>
      <c r="V48" s="28" t="n">
        <v>1.43</v>
      </c>
      <c r="W48" s="28" t="n"/>
      <c r="X48" s="28" t="n"/>
      <c r="Y48" s="28" t="n"/>
      <c r="Z48" s="28" t="n"/>
      <c r="AA48" s="28" t="n"/>
      <c r="AB48" s="28" t="n"/>
      <c r="AC48" s="28">
        <f>IF(OR(P48="",BL48="",BL48=0),"",P48/BL48)</f>
        <v/>
      </c>
      <c r="AD48" s="28">
        <f>IF(OR(S48="",BL48="",BL48=0),"",S48/BL48)</f>
        <v/>
      </c>
      <c r="AE48" s="28">
        <f>IF(OR(V48="",BL48="",BL48=0),"",V48/BL48)</f>
        <v/>
      </c>
      <c r="AF48" s="28">
        <f>IF(OR(Y48="",BL48="",BL48=0),"",Y48/BL48)</f>
        <v/>
      </c>
      <c r="AG48" s="28">
        <f>IF(OR(AB48="",BL48="",BL48=0),"",AB48/BL48)</f>
        <v/>
      </c>
      <c r="AH48" s="27" t="n"/>
      <c r="AI48" s="27" t="n">
        <v>80.3</v>
      </c>
      <c r="AJ48" s="27" t="n"/>
      <c r="AK48" s="27" t="n">
        <v>19.7</v>
      </c>
      <c r="AL48" s="27" t="n"/>
      <c r="AM48" s="27" t="n"/>
      <c r="AN48" s="27" t="n">
        <v>2.7</v>
      </c>
      <c r="AO48" s="27" t="n">
        <v>38.7</v>
      </c>
      <c r="AP48" s="27" t="n">
        <v>28.7</v>
      </c>
      <c r="AQ48" s="27" t="n"/>
      <c r="AR48" s="27" t="n"/>
      <c r="AS48" s="27" t="n"/>
      <c r="AT48" s="27" t="n">
        <v>10.2</v>
      </c>
      <c r="AU48" s="27" t="n"/>
      <c r="AV48" s="27" t="n"/>
      <c r="AW48" s="27" t="n"/>
      <c r="AX48" s="27" t="n"/>
      <c r="AY48" s="27" t="n"/>
      <c r="AZ48" s="27" t="n">
        <v>31.6</v>
      </c>
      <c r="BA48" s="27" t="n">
        <v>37.2</v>
      </c>
      <c r="BB48" s="27" t="n"/>
      <c r="BC48" s="27" t="n">
        <v>10.2</v>
      </c>
      <c r="BD48" s="27" t="n">
        <v>1.3</v>
      </c>
      <c r="BE48" s="27" t="n"/>
      <c r="BF48" s="27" t="n"/>
      <c r="BG48" s="27" t="n"/>
      <c r="BH48" s="27" t="n"/>
      <c r="BI48" s="27" t="n"/>
      <c r="BJ48" s="27" t="n"/>
      <c r="BK48" s="23" t="inlineStr">
        <is>
          <t>Taiwan Semiconductor Manufacturing Company Limited | Samsung Electronics Company Limited | SK Hynix Incorporated | Alibaba Group Holding Limited - W | HD Hyundai Electric Company Limited</t>
        </is>
      </c>
      <c r="BL48" s="27" t="n">
        <v>17.9</v>
      </c>
      <c r="BM48" s="26" t="inlineStr">
        <is>
          <t>Very High</t>
        </is>
      </c>
      <c r="BN48" s="23" t="inlineStr">
        <is>
          <t>Equity Asia Pacific ex- Asia</t>
        </is>
      </c>
      <c r="BO48" s="23"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P48" s="29" t="n">
        <v>0.3416</v>
      </c>
      <c r="BQ48" s="26" t="inlineStr">
        <is>
          <t>2026-02-26</t>
        </is>
      </c>
      <c r="BR48" s="29" t="n">
        <v>0.3145</v>
      </c>
      <c r="BS48" s="28" t="n">
        <v>-7.93</v>
      </c>
      <c r="BT48" s="24" t="n">
        <v>39</v>
      </c>
    </row>
    <row r="49" ht="16" customHeight="1">
      <c r="A49" s="34" t="inlineStr">
        <is>
          <t>PUBLIC ASIA PACIFIC ALPHA-40 FUND</t>
        </is>
      </c>
      <c r="B49" s="34" t="inlineStr">
        <is>
          <t>PAPA40F</t>
        </is>
      </c>
      <c r="C49" s="34" t="inlineStr">
        <is>
          <t>Conventional</t>
        </is>
      </c>
      <c r="D49" s="34" t="inlineStr">
        <is>
          <t>Equity</t>
        </is>
      </c>
      <c r="E49" s="34" t="inlineStr">
        <is>
          <t>Asia Pacific</t>
        </is>
      </c>
      <c r="F49" s="31" t="inlineStr">
        <is>
          <t>Capital Growth</t>
        </is>
      </c>
      <c r="G49" s="32" t="n">
        <v>5</v>
      </c>
      <c r="H49" s="31" t="inlineStr">
        <is>
          <t>Incidental</t>
        </is>
      </c>
      <c r="I49" s="33" t="n">
        <v>50.57</v>
      </c>
      <c r="J49" s="34" t="inlineStr">
        <is>
          <t>10.12.2021</t>
        </is>
      </c>
      <c r="K49" s="34" t="inlineStr">
        <is>
          <t>Qualified</t>
        </is>
      </c>
      <c r="L49" s="35" t="n">
        <v>66.7</v>
      </c>
      <c r="M49" s="34" t="inlineStr">
        <is>
          <t>2/3</t>
        </is>
      </c>
      <c r="N49" s="36" t="n">
        <v>10.69</v>
      </c>
      <c r="O49" s="36" t="n">
        <v>9.35</v>
      </c>
      <c r="P49" s="36" t="n">
        <v>1.34</v>
      </c>
      <c r="Q49" s="36" t="n">
        <v>26</v>
      </c>
      <c r="R49" s="36" t="n">
        <v>24.76</v>
      </c>
      <c r="S49" s="36" t="n">
        <v>1.24</v>
      </c>
      <c r="T49" s="36" t="n">
        <v>15.62</v>
      </c>
      <c r="U49" s="36" t="n">
        <v>16.43</v>
      </c>
      <c r="V49" s="36" t="n">
        <v>-0.8100000000000001</v>
      </c>
      <c r="W49" s="36" t="n"/>
      <c r="X49" s="36" t="n"/>
      <c r="Y49" s="36" t="n"/>
      <c r="Z49" s="36" t="n"/>
      <c r="AA49" s="36" t="n"/>
      <c r="AB49" s="36" t="n"/>
      <c r="AC49" s="36">
        <f>IF(OR(P49="",BL49="",BL49=0),"",P49/BL49)</f>
        <v/>
      </c>
      <c r="AD49" s="36">
        <f>IF(OR(S49="",BL49="",BL49=0),"",S49/BL49)</f>
        <v/>
      </c>
      <c r="AE49" s="36">
        <f>IF(OR(V49="",BL49="",BL49=0),"",V49/BL49)</f>
        <v/>
      </c>
      <c r="AF49" s="36">
        <f>IF(OR(Y49="",BL49="",BL49=0),"",Y49/BL49)</f>
        <v/>
      </c>
      <c r="AG49" s="36">
        <f>IF(OR(AB49="",BL49="",BL49=0),"",AB49/BL49)</f>
        <v/>
      </c>
      <c r="AH49" s="35" t="n">
        <v>1</v>
      </c>
      <c r="AI49" s="35" t="n">
        <v>87.40000000000001</v>
      </c>
      <c r="AJ49" s="35" t="n"/>
      <c r="AK49" s="35" t="n">
        <v>11.6</v>
      </c>
      <c r="AL49" s="35" t="n"/>
      <c r="AM49" s="35" t="n"/>
      <c r="AN49" s="35" t="n">
        <v>8.9</v>
      </c>
      <c r="AO49" s="35" t="n">
        <v>15.3</v>
      </c>
      <c r="AP49" s="35" t="n">
        <v>27.3</v>
      </c>
      <c r="AQ49" s="35" t="n">
        <v>4.1</v>
      </c>
      <c r="AR49" s="35" t="n"/>
      <c r="AS49" s="35" t="n"/>
      <c r="AT49" s="35" t="n">
        <v>24.2</v>
      </c>
      <c r="AU49" s="35" t="n"/>
      <c r="AV49" s="35" t="n"/>
      <c r="AW49" s="35" t="n"/>
      <c r="AX49" s="35" t="n"/>
      <c r="AY49" s="35" t="n"/>
      <c r="AZ49" s="35" t="n">
        <v>13.4</v>
      </c>
      <c r="BA49" s="35" t="n">
        <v>38.5</v>
      </c>
      <c r="BB49" s="35" t="n">
        <v>9.199999999999999</v>
      </c>
      <c r="BC49" s="35" t="n">
        <v>20.7</v>
      </c>
      <c r="BD49" s="35" t="n">
        <v>6.6</v>
      </c>
      <c r="BE49" s="35" t="n"/>
      <c r="BF49" s="35" t="n"/>
      <c r="BG49" s="35" t="n"/>
      <c r="BH49" s="35" t="n"/>
      <c r="BI49" s="35" t="n"/>
      <c r="BJ49" s="35" t="n"/>
      <c r="BK49" s="31" t="inlineStr">
        <is>
          <t>SK Hynix Incorporated | Taiwan Semiconductor Manufacturing Company Limited | Samsung Electronics Company Limited | Alibaba Group Holding Limited - W | Tencent Holdings Limited</t>
        </is>
      </c>
      <c r="BL49" s="35" t="n">
        <v>16.1</v>
      </c>
      <c r="BM49" s="34" t="inlineStr">
        <is>
          <t>Very High</t>
        </is>
      </c>
      <c r="BN49" s="31" t="inlineStr">
        <is>
          <t>Equity Asia Pacific Asia</t>
        </is>
      </c>
      <c r="BO49" s="31"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P49" s="37" t="n">
        <v>0.347</v>
      </c>
      <c r="BQ49" s="34" t="inlineStr">
        <is>
          <t>2026-02-26</t>
        </is>
      </c>
      <c r="BR49" s="37" t="n">
        <v>0.3162</v>
      </c>
      <c r="BS49" s="36" t="n">
        <v>-8.880000000000001</v>
      </c>
      <c r="BT49" s="32" t="n">
        <v>39</v>
      </c>
    </row>
    <row r="50" ht="16" customHeight="1">
      <c r="A50" s="22" t="inlineStr">
        <is>
          <t>PUBLIC ITTIKAL SEQUEL FUND</t>
        </is>
      </c>
      <c r="B50" s="22" t="inlineStr">
        <is>
          <t>PITSEQ</t>
        </is>
      </c>
      <c r="C50" s="22" t="inlineStr">
        <is>
          <t>Shariah</t>
        </is>
      </c>
      <c r="D50" s="22" t="inlineStr">
        <is>
          <t>Equity</t>
        </is>
      </c>
      <c r="E50" s="22" t="inlineStr">
        <is>
          <t>Malaysia</t>
        </is>
      </c>
      <c r="F50" s="23" t="inlineStr">
        <is>
          <t>Capital Growth</t>
        </is>
      </c>
      <c r="G50" s="24" t="n">
        <v>4</v>
      </c>
      <c r="H50" s="23" t="inlineStr">
        <is>
          <t>Incidental</t>
        </is>
      </c>
      <c r="I50" s="25" t="n">
        <v>4272.24</v>
      </c>
      <c r="J50" s="26" t="inlineStr">
        <is>
          <t>11.10.2011</t>
        </is>
      </c>
      <c r="K50" s="26" t="inlineStr">
        <is>
          <t>Qualified</t>
        </is>
      </c>
      <c r="L50" s="27" t="n">
        <v>60</v>
      </c>
      <c r="M50" s="26" t="inlineStr">
        <is>
          <t>3/5</t>
        </is>
      </c>
      <c r="N50" s="28" t="n">
        <v>-1.77</v>
      </c>
      <c r="O50" s="28" t="n">
        <v>1</v>
      </c>
      <c r="P50" s="28" t="n">
        <v>-2.77</v>
      </c>
      <c r="Q50" s="28" t="n">
        <v>6.82</v>
      </c>
      <c r="R50" s="28" t="n">
        <v>7.06</v>
      </c>
      <c r="S50" s="28" t="n">
        <v>-0.24</v>
      </c>
      <c r="T50" s="28" t="n">
        <v>11.77</v>
      </c>
      <c r="U50" s="28" t="n">
        <v>4.2</v>
      </c>
      <c r="V50" s="28" t="n">
        <v>7.57</v>
      </c>
      <c r="W50" s="28" t="n">
        <v>5.59</v>
      </c>
      <c r="X50" s="28" t="n">
        <v>-1.2</v>
      </c>
      <c r="Y50" s="28" t="n">
        <v>6.79</v>
      </c>
      <c r="Z50" s="28" t="n">
        <v>5.34</v>
      </c>
      <c r="AA50" s="28" t="n">
        <v>-0.03</v>
      </c>
      <c r="AB50" s="28" t="n">
        <v>5.37</v>
      </c>
      <c r="AC50" s="28">
        <f>IF(OR(P50="",BL50="",BL50=0),"",P50/BL50)</f>
        <v/>
      </c>
      <c r="AD50" s="28">
        <f>IF(OR(S50="",BL50="",BL50=0),"",S50/BL50)</f>
        <v/>
      </c>
      <c r="AE50" s="28">
        <f>IF(OR(V50="",BL50="",BL50=0),"",V50/BL50)</f>
        <v/>
      </c>
      <c r="AF50" s="28">
        <f>IF(OR(Y50="",BL50="",BL50=0),"",Y50/BL50)</f>
        <v/>
      </c>
      <c r="AG50" s="28">
        <f>IF(OR(AB50="",BL50="",BL50=0),"",AB50/BL50)</f>
        <v/>
      </c>
      <c r="AH50" s="27" t="n">
        <v>77</v>
      </c>
      <c r="AI50" s="27" t="n">
        <v>19.2</v>
      </c>
      <c r="AJ50" s="27" t="n"/>
      <c r="AK50" s="27" t="n">
        <v>3.8</v>
      </c>
      <c r="AL50" s="27" t="n"/>
      <c r="AM50" s="27" t="n"/>
      <c r="AN50" s="27" t="n">
        <v>14.7</v>
      </c>
      <c r="AO50" s="27" t="n">
        <v>4.5</v>
      </c>
      <c r="AP50" s="27" t="n"/>
      <c r="AQ50" s="27" t="n"/>
      <c r="AR50" s="27" t="n"/>
      <c r="AS50" s="27" t="n"/>
      <c r="AT50" s="27" t="n"/>
      <c r="AU50" s="27" t="n"/>
      <c r="AV50" s="27" t="n"/>
      <c r="AW50" s="27" t="n"/>
      <c r="AX50" s="27" t="n"/>
      <c r="AY50" s="27" t="n"/>
      <c r="AZ50" s="27" t="n"/>
      <c r="BA50" s="27" t="n">
        <v>10.1</v>
      </c>
      <c r="BB50" s="27" t="n">
        <v>17.1</v>
      </c>
      <c r="BC50" s="27" t="n">
        <v>21</v>
      </c>
      <c r="BD50" s="27" t="n"/>
      <c r="BE50" s="27" t="n">
        <v>16.7</v>
      </c>
      <c r="BF50" s="27" t="n">
        <v>9.6</v>
      </c>
      <c r="BG50" s="27" t="n"/>
      <c r="BH50" s="27" t="n"/>
      <c r="BI50" s="27" t="n"/>
      <c r="BJ50" s="27" t="n"/>
      <c r="BK50" s="23" t="inlineStr">
        <is>
          <t>Sunway Berhad | Tenaga Nasional Berhad | Telekom Malaysia Berhad | Gamuda Berhad | QL Resources Berhad</t>
        </is>
      </c>
      <c r="BL50" s="27" t="n">
        <v>6.9</v>
      </c>
      <c r="BM50" s="26" t="inlineStr">
        <is>
          <t>Low</t>
        </is>
      </c>
      <c r="BN50" s="23" t="inlineStr">
        <is>
          <t>Equity Malaysia Domestic</t>
        </is>
      </c>
      <c r="BO50" s="23" t="n"/>
      <c r="BP50" s="29" t="n">
        <v>0.4356</v>
      </c>
      <c r="BQ50" s="26" t="inlineStr">
        <is>
          <t>2026-01-27</t>
        </is>
      </c>
      <c r="BR50" s="29" t="n">
        <v>0.4113</v>
      </c>
      <c r="BS50" s="28" t="n">
        <v>-5.58</v>
      </c>
      <c r="BT50" s="24" t="n">
        <v>69</v>
      </c>
    </row>
    <row r="51" ht="16" customHeight="1">
      <c r="A51" s="34" t="inlineStr">
        <is>
          <t>PB GROWTH FUND</t>
        </is>
      </c>
      <c r="B51" s="34" t="inlineStr">
        <is>
          <t>PBGF</t>
        </is>
      </c>
      <c r="C51" s="34" t="inlineStr">
        <is>
          <t>Conventional</t>
        </is>
      </c>
      <c r="D51" s="34" t="inlineStr">
        <is>
          <t>Equity</t>
        </is>
      </c>
      <c r="E51" s="34" t="inlineStr">
        <is>
          <t>Malaysia</t>
        </is>
      </c>
      <c r="F51" s="31" t="inlineStr">
        <is>
          <t>Capital Growth</t>
        </is>
      </c>
      <c r="G51" s="32" t="n">
        <v>4</v>
      </c>
      <c r="H51" s="31" t="inlineStr">
        <is>
          <t>Incidental</t>
        </is>
      </c>
      <c r="I51" s="33" t="n">
        <v>597.8200000000001</v>
      </c>
      <c r="J51" s="34" t="inlineStr">
        <is>
          <t>03.10.2002</t>
        </is>
      </c>
      <c r="K51" s="34" t="inlineStr">
        <is>
          <t>Qualified</t>
        </is>
      </c>
      <c r="L51" s="35" t="n">
        <v>60</v>
      </c>
      <c r="M51" s="34" t="inlineStr">
        <is>
          <t>3/5</t>
        </is>
      </c>
      <c r="N51" s="36" t="n">
        <v>-0.91</v>
      </c>
      <c r="O51" s="36" t="n">
        <v>2.17</v>
      </c>
      <c r="P51" s="36" t="n">
        <v>-3.08</v>
      </c>
      <c r="Q51" s="36" t="n">
        <v>0.84</v>
      </c>
      <c r="R51" s="36" t="n">
        <v>9.01</v>
      </c>
      <c r="S51" s="36" t="n">
        <v>-8.17</v>
      </c>
      <c r="T51" s="36" t="n">
        <v>11.05</v>
      </c>
      <c r="U51" s="36" t="n">
        <v>5.69</v>
      </c>
      <c r="V51" s="36" t="n">
        <v>5.36</v>
      </c>
      <c r="W51" s="36" t="n">
        <v>2.45</v>
      </c>
      <c r="X51" s="36" t="n">
        <v>1.7</v>
      </c>
      <c r="Y51" s="36" t="n">
        <v>0.75</v>
      </c>
      <c r="Z51" s="36" t="n">
        <v>4.43</v>
      </c>
      <c r="AA51" s="36" t="n">
        <v>0.37</v>
      </c>
      <c r="AB51" s="36" t="n">
        <v>4.06</v>
      </c>
      <c r="AC51" s="36">
        <f>IF(OR(P51="",BL51="",BL51=0),"",P51/BL51)</f>
        <v/>
      </c>
      <c r="AD51" s="36">
        <f>IF(OR(S51="",BL51="",BL51=0),"",S51/BL51)</f>
        <v/>
      </c>
      <c r="AE51" s="36">
        <f>IF(OR(V51="",BL51="",BL51=0),"",V51/BL51)</f>
        <v/>
      </c>
      <c r="AF51" s="36">
        <f>IF(OR(Y51="",BL51="",BL51=0),"",Y51/BL51)</f>
        <v/>
      </c>
      <c r="AG51" s="36">
        <f>IF(OR(AB51="",BL51="",BL51=0),"",AB51/BL51)</f>
        <v/>
      </c>
      <c r="AH51" s="35" t="n">
        <v>78.8</v>
      </c>
      <c r="AI51" s="35" t="n">
        <v>7.9</v>
      </c>
      <c r="AJ51" s="35" t="n"/>
      <c r="AK51" s="35" t="n">
        <v>13.3</v>
      </c>
      <c r="AL51" s="35" t="n"/>
      <c r="AM51" s="35" t="n"/>
      <c r="AN51" s="35" t="n">
        <v>4.5</v>
      </c>
      <c r="AO51" s="35" t="n"/>
      <c r="AP51" s="35" t="n"/>
      <c r="AQ51" s="35" t="n"/>
      <c r="AR51" s="35" t="n"/>
      <c r="AS51" s="35" t="n"/>
      <c r="AT51" s="35" t="n">
        <v>3.4</v>
      </c>
      <c r="AU51" s="35" t="n"/>
      <c r="AV51" s="35" t="n"/>
      <c r="AW51" s="35" t="n"/>
      <c r="AX51" s="35" t="n"/>
      <c r="AY51" s="35" t="n"/>
      <c r="AZ51" s="35" t="n"/>
      <c r="BA51" s="35" t="n"/>
      <c r="BB51" s="35" t="n">
        <v>30.6</v>
      </c>
      <c r="BC51" s="35" t="n">
        <v>20.8</v>
      </c>
      <c r="BD51" s="35" t="n"/>
      <c r="BE51" s="35" t="n">
        <v>12.4</v>
      </c>
      <c r="BF51" s="35" t="n">
        <v>7.6</v>
      </c>
      <c r="BG51" s="35" t="n"/>
      <c r="BH51" s="35" t="n">
        <v>7.2</v>
      </c>
      <c r="BI51" s="35" t="n"/>
      <c r="BJ51" s="35" t="n"/>
      <c r="BK51" s="31" t="inlineStr">
        <is>
          <t>Malayan Banking Berhad | Public Bank Berhad | Sunway Berhad | Tenaga Nasional Berhad | TIME dotCom Berhad</t>
        </is>
      </c>
      <c r="BL51" s="35" t="n">
        <v>9.199999999999999</v>
      </c>
      <c r="BM51" s="34" t="inlineStr">
        <is>
          <t>Moderate</t>
        </is>
      </c>
      <c r="BN51" s="31" t="inlineStr">
        <is>
          <t>Equity Malaysia</t>
        </is>
      </c>
      <c r="BO51" s="31" t="n"/>
      <c r="BP51" s="37" t="n">
        <v>1.1461</v>
      </c>
      <c r="BQ51" s="34" t="inlineStr">
        <is>
          <t>2007-12-31</t>
        </is>
      </c>
      <c r="BR51" s="37" t="n">
        <v>0.9162</v>
      </c>
      <c r="BS51" s="36" t="n">
        <v>-20.06</v>
      </c>
      <c r="BT51" s="32" t="n">
        <v>6671</v>
      </c>
    </row>
    <row r="52" ht="16" customHeight="1">
      <c r="A52" s="22" t="inlineStr">
        <is>
          <t>PUBLIC INDUSTRY GROWTH FUND</t>
        </is>
      </c>
      <c r="B52" s="22" t="inlineStr">
        <is>
          <t>PINDGF</t>
        </is>
      </c>
      <c r="C52" s="22" t="inlineStr">
        <is>
          <t>Shariah</t>
        </is>
      </c>
      <c r="D52" s="22" t="inlineStr">
        <is>
          <t>Equity</t>
        </is>
      </c>
      <c r="E52" s="22" t="inlineStr">
        <is>
          <t>Malaysia</t>
        </is>
      </c>
      <c r="F52" s="23" t="inlineStr">
        <is>
          <t>Capital Growth</t>
        </is>
      </c>
      <c r="G52" s="24" t="n">
        <v>4</v>
      </c>
      <c r="H52" s="23" t="inlineStr">
        <is>
          <t>Incidental</t>
        </is>
      </c>
      <c r="I52" s="25" t="n">
        <v>239.53</v>
      </c>
      <c r="J52" s="26" t="inlineStr">
        <is>
          <t>18.11.1993</t>
        </is>
      </c>
      <c r="K52" s="26" t="inlineStr">
        <is>
          <t>Qualified</t>
        </is>
      </c>
      <c r="L52" s="27" t="n">
        <v>60</v>
      </c>
      <c r="M52" s="26" t="inlineStr">
        <is>
          <t>3/5</t>
        </is>
      </c>
      <c r="N52" s="28" t="n">
        <v>-0.19</v>
      </c>
      <c r="O52" s="28" t="n">
        <v>2.17</v>
      </c>
      <c r="P52" s="28" t="n">
        <v>-2.36</v>
      </c>
      <c r="Q52" s="28" t="n">
        <v>8.84</v>
      </c>
      <c r="R52" s="28" t="n">
        <v>9.01</v>
      </c>
      <c r="S52" s="28" t="n">
        <v>-0.17</v>
      </c>
      <c r="T52" s="28" t="n">
        <v>9.619999999999999</v>
      </c>
      <c r="U52" s="28" t="n">
        <v>5.69</v>
      </c>
      <c r="V52" s="28" t="n">
        <v>3.93</v>
      </c>
      <c r="W52" s="28" t="n">
        <v>2.06</v>
      </c>
      <c r="X52" s="28" t="n">
        <v>1.7</v>
      </c>
      <c r="Y52" s="28" t="n">
        <v>0.36</v>
      </c>
      <c r="Z52" s="28" t="n">
        <v>4.9</v>
      </c>
      <c r="AA52" s="28" t="n">
        <v>0.37</v>
      </c>
      <c r="AB52" s="28" t="n">
        <v>4.53</v>
      </c>
      <c r="AC52" s="28">
        <f>IF(OR(P52="",BL52="",BL52=0),"",P52/BL52)</f>
        <v/>
      </c>
      <c r="AD52" s="28">
        <f>IF(OR(S52="",BL52="",BL52=0),"",S52/BL52)</f>
        <v/>
      </c>
      <c r="AE52" s="28">
        <f>IF(OR(V52="",BL52="",BL52=0),"",V52/BL52)</f>
        <v/>
      </c>
      <c r="AF52" s="28">
        <f>IF(OR(Y52="",BL52="",BL52=0),"",Y52/BL52)</f>
        <v/>
      </c>
      <c r="AG52" s="28">
        <f>IF(OR(AB52="",BL52="",BL52=0),"",AB52/BL52)</f>
        <v/>
      </c>
      <c r="AH52" s="27" t="n">
        <v>75.7</v>
      </c>
      <c r="AI52" s="27" t="n">
        <v>12.3</v>
      </c>
      <c r="AJ52" s="27" t="n"/>
      <c r="AK52" s="27" t="n">
        <v>12</v>
      </c>
      <c r="AL52" s="27" t="n"/>
      <c r="AM52" s="27" t="n"/>
      <c r="AN52" s="27" t="n">
        <v>9.800000000000001</v>
      </c>
      <c r="AO52" s="27" t="n"/>
      <c r="AP52" s="27" t="n"/>
      <c r="AQ52" s="27" t="n"/>
      <c r="AR52" s="27" t="n">
        <v>2.5</v>
      </c>
      <c r="AS52" s="27" t="n"/>
      <c r="AT52" s="27" t="n"/>
      <c r="AU52" s="27" t="n"/>
      <c r="AV52" s="27" t="n"/>
      <c r="AW52" s="27" t="n"/>
      <c r="AX52" s="27" t="n"/>
      <c r="AY52" s="27" t="n"/>
      <c r="AZ52" s="27" t="n">
        <v>8.9</v>
      </c>
      <c r="BA52" s="27" t="n"/>
      <c r="BB52" s="27" t="n">
        <v>24.2</v>
      </c>
      <c r="BC52" s="27" t="n">
        <v>16</v>
      </c>
      <c r="BD52" s="27" t="n">
        <v>6.9</v>
      </c>
      <c r="BE52" s="27" t="n"/>
      <c r="BF52" s="27" t="n">
        <v>11.4</v>
      </c>
      <c r="BG52" s="27" t="n"/>
      <c r="BH52" s="27" t="n"/>
      <c r="BI52" s="27" t="n"/>
      <c r="BJ52" s="27" t="n"/>
      <c r="BK52" s="23" t="inlineStr">
        <is>
          <t>Public Bank Berhad | Tenaga Nasional Berhad | Malayan Banking Berhad | Telekom Malaysia Berhad | TIME dotCom Berhad</t>
        </is>
      </c>
      <c r="BL52" s="27" t="n">
        <v>6.6</v>
      </c>
      <c r="BM52" s="26" t="inlineStr">
        <is>
          <t>Low</t>
        </is>
      </c>
      <c r="BN52" s="23" t="inlineStr">
        <is>
          <t>Equity Malaysia Domestic 30% of the fund’s NAV</t>
        </is>
      </c>
      <c r="BO52" s="23" t="n"/>
      <c r="BP52" s="29" t="n">
        <v>0.9072</v>
      </c>
      <c r="BQ52" s="26" t="inlineStr">
        <is>
          <t>2007-10-31</t>
        </is>
      </c>
      <c r="BR52" s="29" t="n">
        <v>0.6314</v>
      </c>
      <c r="BS52" s="28" t="n">
        <v>-30.4</v>
      </c>
      <c r="BT52" s="24" t="n">
        <v>6732</v>
      </c>
    </row>
    <row r="53" ht="16" customHeight="1">
      <c r="A53" s="34" t="inlineStr">
        <is>
          <t>PUBLIC REGULARSAVINGS FUND</t>
        </is>
      </c>
      <c r="B53" s="34" t="inlineStr">
        <is>
          <t>PRSF</t>
        </is>
      </c>
      <c r="C53" s="34" t="inlineStr">
        <is>
          <t>Conventional</t>
        </is>
      </c>
      <c r="D53" s="34" t="inlineStr">
        <is>
          <t>Equity</t>
        </is>
      </c>
      <c r="E53" s="34" t="inlineStr">
        <is>
          <t>Malaysia</t>
        </is>
      </c>
      <c r="F53" s="31" t="inlineStr">
        <is>
          <t>Capital Growth + Income</t>
        </is>
      </c>
      <c r="G53" s="32" t="n">
        <v>4</v>
      </c>
      <c r="H53" s="31" t="inlineStr">
        <is>
          <t>Annual</t>
        </is>
      </c>
      <c r="I53" s="33" t="n">
        <v>3633.1</v>
      </c>
      <c r="J53" s="34" t="inlineStr">
        <is>
          <t>25.04.1994</t>
        </is>
      </c>
      <c r="K53" s="34" t="inlineStr">
        <is>
          <t>Qualified</t>
        </is>
      </c>
      <c r="L53" s="35" t="n">
        <v>60</v>
      </c>
      <c r="M53" s="34" t="inlineStr">
        <is>
          <t>3/5</t>
        </is>
      </c>
      <c r="N53" s="36" t="n">
        <v>1.8</v>
      </c>
      <c r="O53" s="36" t="n">
        <v>2.48</v>
      </c>
      <c r="P53" s="36" t="n">
        <v>-0.68</v>
      </c>
      <c r="Q53" s="36" t="n">
        <v>7.67</v>
      </c>
      <c r="R53" s="36" t="n">
        <v>7.73</v>
      </c>
      <c r="S53" s="36" t="n">
        <v>-0.06</v>
      </c>
      <c r="T53" s="36" t="n">
        <v>9.970000000000001</v>
      </c>
      <c r="U53" s="36" t="n">
        <v>6.31</v>
      </c>
      <c r="V53" s="36" t="n">
        <v>3.66</v>
      </c>
      <c r="W53" s="36" t="n">
        <v>5.21</v>
      </c>
      <c r="X53" s="36" t="n">
        <v>2.09</v>
      </c>
      <c r="Y53" s="36" t="n">
        <v>3.12</v>
      </c>
      <c r="Z53" s="36" t="n">
        <v>4.67</v>
      </c>
      <c r="AA53" s="36" t="n">
        <v>1.31</v>
      </c>
      <c r="AB53" s="36" t="n">
        <v>3.36</v>
      </c>
      <c r="AC53" s="36">
        <f>IF(OR(P53="",BL53="",BL53=0),"",P53/BL53)</f>
        <v/>
      </c>
      <c r="AD53" s="36">
        <f>IF(OR(S53="",BL53="",BL53=0),"",S53/BL53)</f>
        <v/>
      </c>
      <c r="AE53" s="36">
        <f>IF(OR(V53="",BL53="",BL53=0),"",V53/BL53)</f>
        <v/>
      </c>
      <c r="AF53" s="36">
        <f>IF(OR(Y53="",BL53="",BL53=0),"",Y53/BL53)</f>
        <v/>
      </c>
      <c r="AG53" s="36">
        <f>IF(OR(AB53="",BL53="",BL53=0),"",AB53/BL53)</f>
        <v/>
      </c>
      <c r="AH53" s="35" t="n">
        <v>75.59999999999999</v>
      </c>
      <c r="AI53" s="35" t="n">
        <v>15.9</v>
      </c>
      <c r="AJ53" s="35" t="n"/>
      <c r="AK53" s="35" t="n">
        <v>8.5</v>
      </c>
      <c r="AL53" s="35" t="n"/>
      <c r="AM53" s="35" t="n"/>
      <c r="AN53" s="35" t="n">
        <v>10.1</v>
      </c>
      <c r="AO53" s="35" t="n"/>
      <c r="AP53" s="35" t="n"/>
      <c r="AQ53" s="35" t="n"/>
      <c r="AR53" s="35" t="n">
        <v>5.8</v>
      </c>
      <c r="AS53" s="35" t="n"/>
      <c r="AT53" s="35" t="n"/>
      <c r="AU53" s="35" t="n"/>
      <c r="AV53" s="35" t="n"/>
      <c r="AW53" s="35" t="n"/>
      <c r="AX53" s="35" t="n"/>
      <c r="AY53" s="35" t="n"/>
      <c r="AZ53" s="35" t="n"/>
      <c r="BA53" s="35" t="n"/>
      <c r="BB53" s="35" t="n">
        <v>41.9</v>
      </c>
      <c r="BC53" s="35" t="n">
        <v>10.1</v>
      </c>
      <c r="BD53" s="35" t="n">
        <v>11.2</v>
      </c>
      <c r="BE53" s="35" t="n">
        <v>7.6</v>
      </c>
      <c r="BF53" s="35" t="n">
        <v>9.699999999999999</v>
      </c>
      <c r="BG53" s="35" t="n"/>
      <c r="BH53" s="35" t="n"/>
      <c r="BI53" s="35" t="n"/>
      <c r="BJ53" s="35" t="n"/>
      <c r="BK53" s="31" t="inlineStr">
        <is>
          <t>Public Bank Berhad | Malayan Banking Berhad | Tenaga Nasional Berhad | CIMB Group Holdings Berhad | Gamuda Berhad</t>
        </is>
      </c>
      <c r="BL53" s="35" t="n">
        <v>5.7</v>
      </c>
      <c r="BM53" s="34" t="inlineStr">
        <is>
          <t>Low</t>
        </is>
      </c>
      <c r="BN53" s="31" t="inlineStr">
        <is>
          <t>Equity Malaysia Domestic 25% of the fund’s NAV</t>
        </is>
      </c>
      <c r="BO53" s="31" t="inlineStr">
        <is>
          <t>Kuala Lumpur Composite Index (prior to 6 July 2009). FTSE BursaMalaysiaTop100Index(6July2009to29April2015),90%FTSE BursaMalaysiaTop100Indexand10%3-MonthKualaLumpurInterbankOffered Rate (KLIBOR) (w.e.f. 30 April 2015). Underlying index data are sourced from Lipper and Bank Negara Malaysia.</t>
        </is>
      </c>
      <c r="BP53" s="37" t="n">
        <v>1.09</v>
      </c>
      <c r="BQ53" s="34" t="inlineStr">
        <is>
          <t>2000-02-17</t>
        </is>
      </c>
      <c r="BR53" s="37" t="n">
        <v>0.6374</v>
      </c>
      <c r="BS53" s="36" t="n">
        <v>-41.52</v>
      </c>
      <c r="BT53" s="32" t="n">
        <v>9545</v>
      </c>
    </row>
    <row r="54" ht="16" customHeight="1">
      <c r="A54" s="26" t="inlineStr">
        <is>
          <t>PUBLIC EQUITY FUND</t>
        </is>
      </c>
      <c r="B54" s="26" t="inlineStr">
        <is>
          <t>PEF</t>
        </is>
      </c>
      <c r="C54" s="26" t="inlineStr">
        <is>
          <t>Conventional</t>
        </is>
      </c>
      <c r="D54" s="26" t="inlineStr">
        <is>
          <t>Equity</t>
        </is>
      </c>
      <c r="E54" s="26" t="inlineStr">
        <is>
          <t>Malaysia</t>
        </is>
      </c>
      <c r="F54" s="23" t="inlineStr">
        <is>
          <t>Capital Growth</t>
        </is>
      </c>
      <c r="G54" s="24" t="n">
        <v>4</v>
      </c>
      <c r="H54" s="23" t="inlineStr">
        <is>
          <t>Incidental</t>
        </is>
      </c>
      <c r="I54" s="25" t="n">
        <v>462.09</v>
      </c>
      <c r="J54" s="26" t="inlineStr">
        <is>
          <t>15.08.2001</t>
        </is>
      </c>
      <c r="K54" s="26" t="inlineStr">
        <is>
          <t>Qualified</t>
        </is>
      </c>
      <c r="L54" s="27" t="n">
        <v>60</v>
      </c>
      <c r="M54" s="26" t="inlineStr">
        <is>
          <t>3/5</t>
        </is>
      </c>
      <c r="N54" s="28" t="n">
        <v>0.04</v>
      </c>
      <c r="O54" s="28" t="n">
        <v>2.17</v>
      </c>
      <c r="P54" s="28" t="n">
        <v>-2.13</v>
      </c>
      <c r="Q54" s="28" t="n">
        <v>7.26</v>
      </c>
      <c r="R54" s="28" t="n">
        <v>9.01</v>
      </c>
      <c r="S54" s="28" t="n">
        <v>-1.75</v>
      </c>
      <c r="T54" s="28" t="n">
        <v>8.74</v>
      </c>
      <c r="U54" s="28" t="n">
        <v>5.69</v>
      </c>
      <c r="V54" s="28" t="n">
        <v>3.05</v>
      </c>
      <c r="W54" s="28" t="n">
        <v>3.07</v>
      </c>
      <c r="X54" s="28" t="n">
        <v>1.7</v>
      </c>
      <c r="Y54" s="28" t="n">
        <v>1.37</v>
      </c>
      <c r="Z54" s="28" t="n">
        <v>2.52</v>
      </c>
      <c r="AA54" s="28" t="n">
        <v>0.37</v>
      </c>
      <c r="AB54" s="28" t="n">
        <v>2.15</v>
      </c>
      <c r="AC54" s="28">
        <f>IF(OR(P54="",BL54="",BL54=0),"",P54/BL54)</f>
        <v/>
      </c>
      <c r="AD54" s="28">
        <f>IF(OR(S54="",BL54="",BL54=0),"",S54/BL54)</f>
        <v/>
      </c>
      <c r="AE54" s="28">
        <f>IF(OR(V54="",BL54="",BL54=0),"",V54/BL54)</f>
        <v/>
      </c>
      <c r="AF54" s="28">
        <f>IF(OR(Y54="",BL54="",BL54=0),"",Y54/BL54)</f>
        <v/>
      </c>
      <c r="AG54" s="28">
        <f>IF(OR(AB54="",BL54="",BL54=0),"",AB54/BL54)</f>
        <v/>
      </c>
      <c r="AH54" s="27" t="n">
        <v>72.40000000000001</v>
      </c>
      <c r="AI54" s="27" t="n">
        <v>25.4</v>
      </c>
      <c r="AJ54" s="27" t="n"/>
      <c r="AK54" s="27" t="n">
        <v>2.2</v>
      </c>
      <c r="AL54" s="27" t="n"/>
      <c r="AM54" s="27" t="n"/>
      <c r="AN54" s="27" t="n">
        <v>19.2</v>
      </c>
      <c r="AO54" s="27" t="n"/>
      <c r="AP54" s="27" t="n"/>
      <c r="AQ54" s="27" t="n"/>
      <c r="AR54" s="27" t="n">
        <v>2.5</v>
      </c>
      <c r="AS54" s="27" t="n"/>
      <c r="AT54" s="27" t="n">
        <v>3.7</v>
      </c>
      <c r="AU54" s="27" t="n"/>
      <c r="AV54" s="27" t="n"/>
      <c r="AW54" s="27" t="n"/>
      <c r="AX54" s="27" t="n"/>
      <c r="AY54" s="27" t="n"/>
      <c r="AZ54" s="27" t="n"/>
      <c r="BA54" s="27" t="n">
        <v>7.2</v>
      </c>
      <c r="BB54" s="27" t="n">
        <v>37.7</v>
      </c>
      <c r="BC54" s="27" t="n">
        <v>24.9</v>
      </c>
      <c r="BD54" s="27" t="n"/>
      <c r="BE54" s="27" t="n"/>
      <c r="BF54" s="27" t="n">
        <v>9.9</v>
      </c>
      <c r="BG54" s="27" t="n"/>
      <c r="BH54" s="27" t="n">
        <v>6.5</v>
      </c>
      <c r="BI54" s="27" t="n"/>
      <c r="BJ54" s="27" t="n"/>
      <c r="BK54" s="23" t="inlineStr">
        <is>
          <t>Malayan Banking Berhad | Tenaga Nasional Berhad | Public Bank Berhad | LPI Capital Berhad | Meta Platforms Incorporated</t>
        </is>
      </c>
      <c r="BL54" s="27" t="n">
        <v>6.1</v>
      </c>
      <c r="BM54" s="26" t="inlineStr">
        <is>
          <t>Low</t>
        </is>
      </c>
      <c r="BN54" s="23" t="inlineStr">
        <is>
          <t>Equity Malaysia Domestic 30% of the fund’s NAV</t>
        </is>
      </c>
      <c r="BO54" s="23" t="inlineStr">
        <is>
          <t>Note: Distribution yield simply measures the level of distributions and is Kuala Lumpur Composite Index (prior to 6 July 2009). not a measure of fund performance. FTSE Bursa Malaysia KLCI (w.e.f. 6 July 2009).</t>
        </is>
      </c>
      <c r="BP54" s="29" t="n">
        <v>0.4767</v>
      </c>
      <c r="BQ54" s="26" t="inlineStr">
        <is>
          <t>2007-10-31</t>
        </is>
      </c>
      <c r="BR54" s="29" t="n">
        <v>0.2505</v>
      </c>
      <c r="BS54" s="28" t="n">
        <v>-47.45</v>
      </c>
      <c r="BT54" s="24" t="n">
        <v>6732</v>
      </c>
    </row>
    <row r="55" ht="16" customHeight="1">
      <c r="A55" s="34" t="inlineStr">
        <is>
          <t>PB EURO PACIFIC EQUITY FUND</t>
        </is>
      </c>
      <c r="B55" s="34" t="inlineStr">
        <is>
          <t>PBEPEF</t>
        </is>
      </c>
      <c r="C55" s="34" t="inlineStr">
        <is>
          <t>Conventional</t>
        </is>
      </c>
      <c r="D55" s="34" t="inlineStr">
        <is>
          <t>Equity</t>
        </is>
      </c>
      <c r="E55" s="34" t="inlineStr">
        <is>
          <t>Malaysia</t>
        </is>
      </c>
      <c r="F55" s="31" t="inlineStr">
        <is>
          <t>Capital Growth</t>
        </is>
      </c>
      <c r="G55" s="32" t="n">
        <v>5</v>
      </c>
      <c r="H55" s="31" t="inlineStr">
        <is>
          <t>Incidental</t>
        </is>
      </c>
      <c r="I55" s="33" t="n">
        <v>67.87</v>
      </c>
      <c r="J55" s="34" t="inlineStr">
        <is>
          <t>08.06.2007</t>
        </is>
      </c>
      <c r="K55" s="34" t="inlineStr">
        <is>
          <t>Qualified</t>
        </is>
      </c>
      <c r="L55" s="35" t="n">
        <v>60</v>
      </c>
      <c r="M55" s="34" t="inlineStr">
        <is>
          <t>3/5</t>
        </is>
      </c>
      <c r="N55" s="36" t="n">
        <v>7.36</v>
      </c>
      <c r="O55" s="36" t="n">
        <v>8.27</v>
      </c>
      <c r="P55" s="36" t="n">
        <v>-0.91</v>
      </c>
      <c r="Q55" s="36" t="n">
        <v>19.3</v>
      </c>
      <c r="R55" s="36" t="n">
        <v>20.54</v>
      </c>
      <c r="S55" s="36" t="n">
        <v>-1.24</v>
      </c>
      <c r="T55" s="36" t="n">
        <v>16.17</v>
      </c>
      <c r="U55" s="36" t="n">
        <v>13.17</v>
      </c>
      <c r="V55" s="36" t="n">
        <v>3</v>
      </c>
      <c r="W55" s="36" t="n">
        <v>7.53</v>
      </c>
      <c r="X55" s="36" t="n">
        <v>6.08</v>
      </c>
      <c r="Y55" s="36" t="n">
        <v>1.45</v>
      </c>
      <c r="Z55" s="36" t="n">
        <v>8.460000000000001</v>
      </c>
      <c r="AA55" s="36" t="n">
        <v>7.75</v>
      </c>
      <c r="AB55" s="36" t="n">
        <v>0.71</v>
      </c>
      <c r="AC55" s="36">
        <f>IF(OR(P55="",BL55="",BL55=0),"",P55/BL55)</f>
        <v/>
      </c>
      <c r="AD55" s="36">
        <f>IF(OR(S55="",BL55="",BL55=0),"",S55/BL55)</f>
        <v/>
      </c>
      <c r="AE55" s="36">
        <f>IF(OR(V55="",BL55="",BL55=0),"",V55/BL55)</f>
        <v/>
      </c>
      <c r="AF55" s="36">
        <f>IF(OR(Y55="",BL55="",BL55=0),"",Y55/BL55)</f>
        <v/>
      </c>
      <c r="AG55" s="36">
        <f>IF(OR(AB55="",BL55="",BL55=0),"",AB55/BL55)</f>
        <v/>
      </c>
      <c r="AH55" s="35" t="n">
        <v>1</v>
      </c>
      <c r="AI55" s="35" t="n">
        <v>92.2</v>
      </c>
      <c r="AJ55" s="35" t="n"/>
      <c r="AK55" s="35" t="n">
        <v>6.8</v>
      </c>
      <c r="AL55" s="35" t="n"/>
      <c r="AM55" s="35" t="n"/>
      <c r="AN55" s="35" t="n">
        <v>9.199999999999999</v>
      </c>
      <c r="AO55" s="35" t="n">
        <v>17</v>
      </c>
      <c r="AP55" s="35" t="n">
        <v>24.1</v>
      </c>
      <c r="AQ55" s="35" t="n"/>
      <c r="AR55" s="35" t="n">
        <v>8.699999999999999</v>
      </c>
      <c r="AS55" s="35" t="n"/>
      <c r="AT55" s="35" t="n">
        <v>18.4</v>
      </c>
      <c r="AU55" s="35" t="n"/>
      <c r="AV55" s="35" t="n"/>
      <c r="AW55" s="35" t="n"/>
      <c r="AX55" s="35" t="n"/>
      <c r="AY55" s="35" t="n"/>
      <c r="AZ55" s="35" t="n">
        <v>16.4</v>
      </c>
      <c r="BA55" s="35" t="n">
        <v>36.9</v>
      </c>
      <c r="BB55" s="35" t="n">
        <v>1.1</v>
      </c>
      <c r="BC55" s="35" t="n">
        <v>26.6</v>
      </c>
      <c r="BD55" s="35" t="n">
        <v>12.2</v>
      </c>
      <c r="BE55" s="35" t="n"/>
      <c r="BF55" s="35" t="n"/>
      <c r="BG55" s="35" t="n"/>
      <c r="BH55" s="35" t="n"/>
      <c r="BI55" s="35" t="n"/>
      <c r="BJ55" s="35" t="n"/>
      <c r="BK55" s="31" t="inlineStr">
        <is>
          <t>Taiwan Semiconductor Manufacturing Company Limited | Samsung Electronics Company Limited | Alibaba Group Holding Limited - W | Tencent Holdings Limited | HD Hyundai Electric Company Limited</t>
        </is>
      </c>
      <c r="BL55" s="35" t="n">
        <v>15.1</v>
      </c>
      <c r="BM55" s="34" t="inlineStr">
        <is>
          <t>Very High</t>
        </is>
      </c>
      <c r="BN55" s="31" t="inlineStr">
        <is>
          <t>Equity Global Asia</t>
        </is>
      </c>
      <c r="BO55" s="31" t="n"/>
      <c r="BP55" s="37" t="n">
        <v>0.4336</v>
      </c>
      <c r="BQ55" s="34" t="inlineStr">
        <is>
          <t>2025-10-02</t>
        </is>
      </c>
      <c r="BR55" s="37" t="n">
        <v>0.3877</v>
      </c>
      <c r="BS55" s="36" t="n">
        <v>-10.59</v>
      </c>
      <c r="BT55" s="32" t="n">
        <v>186</v>
      </c>
    </row>
    <row r="56" ht="16" customHeight="1">
      <c r="A56" s="26" t="inlineStr">
        <is>
          <t>PUBLIC REGULAR SAVINGS SEQUEL FUND</t>
        </is>
      </c>
      <c r="B56" s="26" t="inlineStr">
        <is>
          <t>PRSSQF</t>
        </is>
      </c>
      <c r="C56" s="26" t="inlineStr">
        <is>
          <t>Conventional</t>
        </is>
      </c>
      <c r="D56" s="26" t="inlineStr">
        <is>
          <t>Equity</t>
        </is>
      </c>
      <c r="E56" s="26" t="inlineStr">
        <is>
          <t>Malaysia</t>
        </is>
      </c>
      <c r="F56" s="23" t="inlineStr">
        <is>
          <t>Capital Growth + Income</t>
        </is>
      </c>
      <c r="G56" s="24" t="n">
        <v>4</v>
      </c>
      <c r="H56" s="23" t="inlineStr">
        <is>
          <t>Annual</t>
        </is>
      </c>
      <c r="I56" s="25" t="n">
        <v>43.29</v>
      </c>
      <c r="J56" s="26" t="inlineStr">
        <is>
          <t>15.01.2016</t>
        </is>
      </c>
      <c r="K56" s="26" t="inlineStr">
        <is>
          <t>Qualified</t>
        </is>
      </c>
      <c r="L56" s="27" t="n">
        <v>60</v>
      </c>
      <c r="M56" s="26" t="inlineStr">
        <is>
          <t>3/5</t>
        </is>
      </c>
      <c r="N56" s="28" t="n">
        <v>-0.36</v>
      </c>
      <c r="O56" s="28" t="n">
        <v>2.48</v>
      </c>
      <c r="P56" s="28" t="n">
        <v>-2.84</v>
      </c>
      <c r="Q56" s="28" t="n">
        <v>3.99</v>
      </c>
      <c r="R56" s="28" t="n">
        <v>7.73</v>
      </c>
      <c r="S56" s="28" t="n">
        <v>-3.74</v>
      </c>
      <c r="T56" s="28" t="n">
        <v>8.27</v>
      </c>
      <c r="U56" s="28" t="n">
        <v>6.31</v>
      </c>
      <c r="V56" s="28" t="n">
        <v>1.96</v>
      </c>
      <c r="W56" s="28" t="n">
        <v>4.07</v>
      </c>
      <c r="X56" s="28" t="n">
        <v>2.09</v>
      </c>
      <c r="Y56" s="28" t="n">
        <v>1.98</v>
      </c>
      <c r="Z56" s="28" t="n">
        <v>3.45</v>
      </c>
      <c r="AA56" s="28" t="n">
        <v>1.31</v>
      </c>
      <c r="AB56" s="28" t="n">
        <v>2.14</v>
      </c>
      <c r="AC56" s="28">
        <f>IF(OR(P56="",BL56="",BL56=0),"",P56/BL56)</f>
        <v/>
      </c>
      <c r="AD56" s="28">
        <f>IF(OR(S56="",BL56="",BL56=0),"",S56/BL56)</f>
        <v/>
      </c>
      <c r="AE56" s="28">
        <f>IF(OR(V56="",BL56="",BL56=0),"",V56/BL56)</f>
        <v/>
      </c>
      <c r="AF56" s="28">
        <f>IF(OR(Y56="",BL56="",BL56=0),"",Y56/BL56)</f>
        <v/>
      </c>
      <c r="AG56" s="28">
        <f>IF(OR(AB56="",BL56="",BL56=0),"",AB56/BL56)</f>
        <v/>
      </c>
      <c r="AH56" s="27" t="n">
        <v>74.5</v>
      </c>
      <c r="AI56" s="27" t="n">
        <v>16.8</v>
      </c>
      <c r="AJ56" s="27" t="n"/>
      <c r="AK56" s="27" t="n">
        <v>8.699999999999999</v>
      </c>
      <c r="AL56" s="27" t="n"/>
      <c r="AM56" s="27" t="n"/>
      <c r="AN56" s="27" t="n">
        <v>12</v>
      </c>
      <c r="AO56" s="27" t="n"/>
      <c r="AP56" s="27" t="n"/>
      <c r="AQ56" s="27" t="n"/>
      <c r="AR56" s="27" t="n">
        <v>4.8</v>
      </c>
      <c r="AS56" s="27" t="n"/>
      <c r="AT56" s="27" t="n"/>
      <c r="AU56" s="27" t="n"/>
      <c r="AV56" s="27" t="n"/>
      <c r="AW56" s="27" t="n"/>
      <c r="AX56" s="27" t="n"/>
      <c r="AY56" s="27" t="n"/>
      <c r="AZ56" s="27" t="n">
        <v>11.5</v>
      </c>
      <c r="BA56" s="27" t="n"/>
      <c r="BB56" s="27" t="n">
        <v>24.2</v>
      </c>
      <c r="BC56" s="27" t="n">
        <v>15.6</v>
      </c>
      <c r="BD56" s="27" t="n">
        <v>12.9</v>
      </c>
      <c r="BE56" s="27" t="n">
        <v>11.7</v>
      </c>
      <c r="BF56" s="27" t="n"/>
      <c r="BG56" s="27" t="n"/>
      <c r="BH56" s="27" t="n"/>
      <c r="BI56" s="27" t="n"/>
      <c r="BJ56" s="27" t="n"/>
      <c r="BK56" s="23" t="inlineStr">
        <is>
          <t>Public Bank Berhad | Tenaga Nasional Berhad | Telekom Malaysia Berhad | Tesla Incorporated | Malayan Cement Berhad</t>
        </is>
      </c>
      <c r="BL56" s="27" t="n">
        <v>7.8</v>
      </c>
      <c r="BM56" s="26" t="inlineStr">
        <is>
          <t>Moderate</t>
        </is>
      </c>
      <c r="BN56" s="23" t="inlineStr">
        <is>
          <t>Equity Malaysia Domestic 25% of the fund’s NAV</t>
        </is>
      </c>
      <c r="BO56"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P56" s="29" t="n">
        <v>0.3154</v>
      </c>
      <c r="BQ56" s="26" t="inlineStr">
        <is>
          <t>2024-12-17</t>
        </is>
      </c>
      <c r="BR56" s="29" t="n">
        <v>0.2881</v>
      </c>
      <c r="BS56" s="28" t="n">
        <v>-8.66</v>
      </c>
      <c r="BT56" s="24" t="n">
        <v>475</v>
      </c>
    </row>
    <row r="57" ht="16" customHeight="1">
      <c r="A57" s="34" t="inlineStr">
        <is>
          <t>PUBLIC OPTIMAL GROWTH FUND</t>
        </is>
      </c>
      <c r="B57" s="34" t="inlineStr">
        <is>
          <t>POGF</t>
        </is>
      </c>
      <c r="C57" s="34" t="inlineStr">
        <is>
          <t>Conventional</t>
        </is>
      </c>
      <c r="D57" s="34" t="inlineStr">
        <is>
          <t>Equity</t>
        </is>
      </c>
      <c r="E57" s="34" t="inlineStr">
        <is>
          <t>Malaysia</t>
        </is>
      </c>
      <c r="F57" s="31" t="inlineStr">
        <is>
          <t>Capital Growth + Income</t>
        </is>
      </c>
      <c r="G57" s="32" t="n">
        <v>4</v>
      </c>
      <c r="H57" s="31" t="inlineStr">
        <is>
          <t>Annual</t>
        </is>
      </c>
      <c r="I57" s="33" t="n">
        <v>215.06</v>
      </c>
      <c r="J57" s="34" t="inlineStr">
        <is>
          <t>08.06.2010</t>
        </is>
      </c>
      <c r="K57" s="34" t="inlineStr">
        <is>
          <t>Qualified</t>
        </is>
      </c>
      <c r="L57" s="35" t="n">
        <v>60</v>
      </c>
      <c r="M57" s="34" t="inlineStr">
        <is>
          <t>3/5</t>
        </is>
      </c>
      <c r="N57" s="36" t="n">
        <v>0.9399999999999999</v>
      </c>
      <c r="O57" s="36" t="n">
        <v>2.7</v>
      </c>
      <c r="P57" s="36" t="n">
        <v>-1.76</v>
      </c>
      <c r="Q57" s="36" t="n">
        <v>5.49</v>
      </c>
      <c r="R57" s="36" t="n">
        <v>8.15</v>
      </c>
      <c r="S57" s="36" t="n">
        <v>-2.66</v>
      </c>
      <c r="T57" s="36" t="n">
        <v>8.42</v>
      </c>
      <c r="U57" s="36" t="n">
        <v>6.58</v>
      </c>
      <c r="V57" s="36" t="n">
        <v>1.84</v>
      </c>
      <c r="W57" s="36" t="n">
        <v>4.25</v>
      </c>
      <c r="X57" s="36" t="n">
        <v>1.93</v>
      </c>
      <c r="Y57" s="36" t="n">
        <v>2.32</v>
      </c>
      <c r="Z57" s="36" t="n">
        <v>4.13</v>
      </c>
      <c r="AA57" s="36" t="n">
        <v>1.04</v>
      </c>
      <c r="AB57" s="36" t="n">
        <v>3.09</v>
      </c>
      <c r="AC57" s="36">
        <f>IF(OR(P57="",BL57="",BL57=0),"",P57/BL57)</f>
        <v/>
      </c>
      <c r="AD57" s="36">
        <f>IF(OR(S57="",BL57="",BL57=0),"",S57/BL57)</f>
        <v/>
      </c>
      <c r="AE57" s="36">
        <f>IF(OR(V57="",BL57="",BL57=0),"",V57/BL57)</f>
        <v/>
      </c>
      <c r="AF57" s="36">
        <f>IF(OR(Y57="",BL57="",BL57=0),"",Y57/BL57)</f>
        <v/>
      </c>
      <c r="AG57" s="36">
        <f>IF(OR(AB57="",BL57="",BL57=0),"",AB57/BL57)</f>
        <v/>
      </c>
      <c r="AH57" s="35" t="n">
        <v>77.40000000000001</v>
      </c>
      <c r="AI57" s="35" t="n">
        <v>17</v>
      </c>
      <c r="AJ57" s="35" t="n"/>
      <c r="AK57" s="35" t="n">
        <v>5.6</v>
      </c>
      <c r="AL57" s="35" t="n"/>
      <c r="AM57" s="35" t="n"/>
      <c r="AN57" s="35" t="n">
        <v>6.2</v>
      </c>
      <c r="AO57" s="35" t="n">
        <v>3.2</v>
      </c>
      <c r="AP57" s="35" t="n"/>
      <c r="AQ57" s="35" t="n"/>
      <c r="AR57" s="35" t="n"/>
      <c r="AS57" s="35" t="n">
        <v>5.1</v>
      </c>
      <c r="AT57" s="35" t="n">
        <v>2.5</v>
      </c>
      <c r="AU57" s="35" t="n"/>
      <c r="AV57" s="35" t="n"/>
      <c r="AW57" s="35" t="n"/>
      <c r="AX57" s="35" t="n"/>
      <c r="AY57" s="35" t="n"/>
      <c r="AZ57" s="35" t="n">
        <v>14.3</v>
      </c>
      <c r="BA57" s="35" t="n"/>
      <c r="BB57" s="35" t="n">
        <v>41.2</v>
      </c>
      <c r="BC57" s="35" t="n">
        <v>16.7</v>
      </c>
      <c r="BD57" s="35" t="n"/>
      <c r="BE57" s="35" t="n">
        <v>8.300000000000001</v>
      </c>
      <c r="BF57" s="35" t="n">
        <v>7.3</v>
      </c>
      <c r="BG57" s="35" t="n"/>
      <c r="BH57" s="35" t="n"/>
      <c r="BI57" s="35" t="n"/>
      <c r="BJ57" s="35" t="n"/>
      <c r="BK57" s="31" t="inlineStr">
        <is>
          <t>Malayan Banking Berhad | Public Bank Berhad | Tenaga Nasional Berhad | Sunway Berhad | IGB Real Estate Investment Trust</t>
        </is>
      </c>
      <c r="BL57" s="35" t="n">
        <v>8.9</v>
      </c>
      <c r="BM57" s="34" t="inlineStr">
        <is>
          <t>Moderate</t>
        </is>
      </c>
      <c r="BN57" s="31" t="inlineStr">
        <is>
          <t>Equity Malaysia Income Domestic 25% of the fund’s NAV</t>
        </is>
      </c>
      <c r="BO57" s="31" t="n"/>
      <c r="BP57" s="37" t="n">
        <v>0.3813</v>
      </c>
      <c r="BQ57" s="34" t="inlineStr">
        <is>
          <t>2024-07-11</t>
        </is>
      </c>
      <c r="BR57" s="37" t="n">
        <v>0.343</v>
      </c>
      <c r="BS57" s="36" t="n">
        <v>-10.04</v>
      </c>
      <c r="BT57" s="32" t="n">
        <v>634</v>
      </c>
    </row>
    <row r="58" ht="16" customHeight="1">
      <c r="A58" s="22" t="inlineStr">
        <is>
          <t>PUBLIC ISLAMIC DIVIDEND FUND</t>
        </is>
      </c>
      <c r="B58" s="22" t="inlineStr">
        <is>
          <t>PIDF</t>
        </is>
      </c>
      <c r="C58" s="22" t="inlineStr">
        <is>
          <t>Shariah</t>
        </is>
      </c>
      <c r="D58" s="22" t="inlineStr">
        <is>
          <t>Equity</t>
        </is>
      </c>
      <c r="E58" s="22" t="inlineStr">
        <is>
          <t>Malaysia</t>
        </is>
      </c>
      <c r="F58" s="23" t="inlineStr">
        <is>
          <t>Income</t>
        </is>
      </c>
      <c r="G58" s="24" t="n">
        <v>4</v>
      </c>
      <c r="H58" s="23" t="inlineStr">
        <is>
          <t>Semi-Annual</t>
        </is>
      </c>
      <c r="I58" s="25" t="n">
        <v>3347.73</v>
      </c>
      <c r="J58" s="26" t="inlineStr">
        <is>
          <t>14.02.2006</t>
        </is>
      </c>
      <c r="K58" s="26" t="inlineStr">
        <is>
          <t>Qualified</t>
        </is>
      </c>
      <c r="L58" s="27" t="n">
        <v>60</v>
      </c>
      <c r="M58" s="26" t="inlineStr">
        <is>
          <t>3/5</t>
        </is>
      </c>
      <c r="N58" s="28" t="n">
        <v>-0.22</v>
      </c>
      <c r="O58" s="28" t="n">
        <v>0.96</v>
      </c>
      <c r="P58" s="28" t="n">
        <v>-1.18</v>
      </c>
      <c r="Q58" s="28" t="n">
        <v>2.34</v>
      </c>
      <c r="R58" s="28" t="n">
        <v>6.76</v>
      </c>
      <c r="S58" s="28" t="n">
        <v>-4.42</v>
      </c>
      <c r="T58" s="28" t="n">
        <v>5.89</v>
      </c>
      <c r="U58" s="28" t="n">
        <v>4.19</v>
      </c>
      <c r="V58" s="28" t="n">
        <v>1.7</v>
      </c>
      <c r="W58" s="28" t="n">
        <v>1.36</v>
      </c>
      <c r="X58" s="28" t="n">
        <v>-0.72</v>
      </c>
      <c r="Y58" s="28" t="n">
        <v>2.08</v>
      </c>
      <c r="Z58" s="28" t="n">
        <v>3.36</v>
      </c>
      <c r="AA58" s="28" t="n">
        <v>0.35</v>
      </c>
      <c r="AB58" s="28" t="n">
        <v>3.01</v>
      </c>
      <c r="AC58" s="28">
        <f>IF(OR(P58="",BL58="",BL58=0),"",P58/BL58)</f>
        <v/>
      </c>
      <c r="AD58" s="28">
        <f>IF(OR(S58="",BL58="",BL58=0),"",S58/BL58)</f>
        <v/>
      </c>
      <c r="AE58" s="28">
        <f>IF(OR(V58="",BL58="",BL58=0),"",V58/BL58)</f>
        <v/>
      </c>
      <c r="AF58" s="28">
        <f>IF(OR(Y58="",BL58="",BL58=0),"",Y58/BL58)</f>
        <v/>
      </c>
      <c r="AG58" s="28">
        <f>IF(OR(AB58="",BL58="",BL58=0),"",AB58/BL58)</f>
        <v/>
      </c>
      <c r="AH58" s="27" t="n">
        <v>71.2</v>
      </c>
      <c r="AI58" s="27" t="n">
        <v>23.6</v>
      </c>
      <c r="AJ58" s="27" t="n"/>
      <c r="AK58" s="27" t="n">
        <v>5.2</v>
      </c>
      <c r="AL58" s="27" t="n"/>
      <c r="AM58" s="27" t="n"/>
      <c r="AN58" s="27" t="n">
        <v>9.300000000000001</v>
      </c>
      <c r="AO58" s="27" t="n">
        <v>7.9</v>
      </c>
      <c r="AP58" s="27" t="n"/>
      <c r="AQ58" s="27" t="n"/>
      <c r="AR58" s="27" t="n">
        <v>4.5</v>
      </c>
      <c r="AS58" s="27" t="n"/>
      <c r="AT58" s="27" t="n">
        <v>1.9</v>
      </c>
      <c r="AU58" s="27" t="n"/>
      <c r="AV58" s="27" t="n"/>
      <c r="AW58" s="27" t="n"/>
      <c r="AX58" s="27" t="n"/>
      <c r="AY58" s="27" t="n"/>
      <c r="AZ58" s="27" t="n"/>
      <c r="BA58" s="27" t="n">
        <v>9</v>
      </c>
      <c r="BB58" s="27" t="n">
        <v>11.6</v>
      </c>
      <c r="BC58" s="27" t="n">
        <v>20.9</v>
      </c>
      <c r="BD58" s="27" t="n"/>
      <c r="BE58" s="27" t="n">
        <v>18.5</v>
      </c>
      <c r="BF58" s="27" t="n">
        <v>9.699999999999999</v>
      </c>
      <c r="BG58" s="27" t="n"/>
      <c r="BH58" s="27" t="n"/>
      <c r="BI58" s="27" t="n"/>
      <c r="BJ58" s="27" t="n"/>
      <c r="BK58" s="23" t="inlineStr">
        <is>
          <t>Tenaga Nasional Berhad | Telekom Malaysia Berhad | Taiwan Semiconductor Manufacturing Company Limited | Gamuda Berhad | IHH Healthcare Berhad</t>
        </is>
      </c>
      <c r="BL58" s="27" t="n">
        <v>7.5</v>
      </c>
      <c r="BM58" s="26" t="inlineStr">
        <is>
          <t>Low</t>
        </is>
      </c>
      <c r="BN58" s="23" t="inlineStr">
        <is>
          <t>Equity Malaysia</t>
        </is>
      </c>
      <c r="BO58" s="23" t="n"/>
      <c r="BP58" s="29" t="n">
        <v>0.4312</v>
      </c>
      <c r="BQ58" s="26" t="inlineStr">
        <is>
          <t>2020-08-06</t>
        </is>
      </c>
      <c r="BR58" s="29" t="n">
        <v>0.36</v>
      </c>
      <c r="BS58" s="28" t="n">
        <v>-16.51</v>
      </c>
      <c r="BT58" s="24" t="n">
        <v>2069</v>
      </c>
    </row>
    <row r="59" ht="16" customHeight="1">
      <c r="A59" s="34" t="inlineStr">
        <is>
          <t>PUBLIC SAVINGS FUND</t>
        </is>
      </c>
      <c r="B59" s="34" t="inlineStr">
        <is>
          <t>PSF</t>
        </is>
      </c>
      <c r="C59" s="34" t="inlineStr">
        <is>
          <t>Conventional</t>
        </is>
      </c>
      <c r="D59" s="34" t="inlineStr">
        <is>
          <t>Equity</t>
        </is>
      </c>
      <c r="E59" s="34" t="inlineStr">
        <is>
          <t>Malaysia</t>
        </is>
      </c>
      <c r="F59" s="31" t="inlineStr">
        <is>
          <t>Capital Growth + Income</t>
        </is>
      </c>
      <c r="G59" s="32" t="n">
        <v>4</v>
      </c>
      <c r="H59" s="31" t="inlineStr">
        <is>
          <t>Annual</t>
        </is>
      </c>
      <c r="I59" s="33" t="n">
        <v>762.4299999999999</v>
      </c>
      <c r="J59" s="34" t="inlineStr">
        <is>
          <t>29.03.1981</t>
        </is>
      </c>
      <c r="K59" s="34" t="inlineStr">
        <is>
          <t>Qualified</t>
        </is>
      </c>
      <c r="L59" s="35" t="n">
        <v>60</v>
      </c>
      <c r="M59" s="34" t="inlineStr">
        <is>
          <t>3/5</t>
        </is>
      </c>
      <c r="N59" s="36" t="n">
        <v>1.36</v>
      </c>
      <c r="O59" s="36" t="n">
        <v>2.17</v>
      </c>
      <c r="P59" s="36" t="n">
        <v>-0.8100000000000001</v>
      </c>
      <c r="Q59" s="36" t="n">
        <v>2.16</v>
      </c>
      <c r="R59" s="36" t="n">
        <v>9.01</v>
      </c>
      <c r="S59" s="36" t="n">
        <v>-6.85</v>
      </c>
      <c r="T59" s="36" t="n">
        <v>7.3</v>
      </c>
      <c r="U59" s="36" t="n">
        <v>5.69</v>
      </c>
      <c r="V59" s="36" t="n">
        <v>1.61</v>
      </c>
      <c r="W59" s="36" t="n">
        <v>2.72</v>
      </c>
      <c r="X59" s="36" t="n">
        <v>1.7</v>
      </c>
      <c r="Y59" s="36" t="n">
        <v>1.02</v>
      </c>
      <c r="Z59" s="36" t="n">
        <v>2.68</v>
      </c>
      <c r="AA59" s="36" t="n">
        <v>0.37</v>
      </c>
      <c r="AB59" s="36" t="n">
        <v>2.31</v>
      </c>
      <c r="AC59" s="36">
        <f>IF(OR(P59="",BL59="",BL59=0),"",P59/BL59)</f>
        <v/>
      </c>
      <c r="AD59" s="36">
        <f>IF(OR(S59="",BL59="",BL59=0),"",S59/BL59)</f>
        <v/>
      </c>
      <c r="AE59" s="36">
        <f>IF(OR(V59="",BL59="",BL59=0),"",V59/BL59)</f>
        <v/>
      </c>
      <c r="AF59" s="36">
        <f>IF(OR(Y59="",BL59="",BL59=0),"",Y59/BL59)</f>
        <v/>
      </c>
      <c r="AG59" s="36">
        <f>IF(OR(AB59="",BL59="",BL59=0),"",AB59/BL59)</f>
        <v/>
      </c>
      <c r="AH59" s="35" t="n">
        <v>76.40000000000001</v>
      </c>
      <c r="AI59" s="35" t="n">
        <v>17.3</v>
      </c>
      <c r="AJ59" s="35" t="n"/>
      <c r="AK59" s="35" t="n">
        <v>6.3</v>
      </c>
      <c r="AL59" s="35" t="n"/>
      <c r="AM59" s="35" t="n"/>
      <c r="AN59" s="35" t="n">
        <v>12.5</v>
      </c>
      <c r="AO59" s="35" t="n"/>
      <c r="AP59" s="35" t="n"/>
      <c r="AQ59" s="35" t="n"/>
      <c r="AR59" s="35" t="n">
        <v>4.8</v>
      </c>
      <c r="AS59" s="35" t="n"/>
      <c r="AT59" s="35" t="n"/>
      <c r="AU59" s="35" t="n"/>
      <c r="AV59" s="35" t="n"/>
      <c r="AW59" s="35" t="n"/>
      <c r="AX59" s="35" t="n"/>
      <c r="AY59" s="35" t="n"/>
      <c r="AZ59" s="35" t="n"/>
      <c r="BA59" s="35" t="n"/>
      <c r="BB59" s="35" t="n">
        <v>36.2</v>
      </c>
      <c r="BC59" s="35" t="n">
        <v>13.5</v>
      </c>
      <c r="BD59" s="35" t="n">
        <v>12.3</v>
      </c>
      <c r="BE59" s="35" t="n">
        <v>11.4</v>
      </c>
      <c r="BF59" s="35" t="n">
        <v>9.300000000000001</v>
      </c>
      <c r="BG59" s="35" t="n"/>
      <c r="BH59" s="35" t="n"/>
      <c r="BI59" s="35" t="n"/>
      <c r="BJ59" s="35" t="n"/>
      <c r="BK59" s="31" t="inlineStr">
        <is>
          <t>LPI Capital Berhad | Malayan Banking Berhad | Public Bank Berhad | Tenaga Nasional Berhad | Costco Wholesale Corporation</t>
        </is>
      </c>
      <c r="BL59" s="35" t="n">
        <v>6.8</v>
      </c>
      <c r="BM59" s="34" t="inlineStr">
        <is>
          <t>Low</t>
        </is>
      </c>
      <c r="BN59" s="31" t="inlineStr">
        <is>
          <t>Equity Malaysia Domestic 30% of the fund’s NAV</t>
        </is>
      </c>
      <c r="BO59" s="31" t="inlineStr">
        <is>
          <t>Note: Distribution yield simply measures the level of distributions and is Kuala Lumpur Composite Index (prior to 6 July 2009). not a measure of fund performance. FTSE Bursa Malaysia KLCI (w.e.f. 6 July 2009).</t>
        </is>
      </c>
      <c r="BP59" s="37" t="n">
        <v>1.07</v>
      </c>
      <c r="BQ59" s="34" t="inlineStr">
        <is>
          <t>2000-02-18</t>
        </is>
      </c>
      <c r="BR59" s="37" t="n">
        <v>0.5124</v>
      </c>
      <c r="BS59" s="36" t="n">
        <v>-52.11</v>
      </c>
      <c r="BT59" s="32" t="n">
        <v>9544</v>
      </c>
    </row>
    <row r="60" ht="16" customHeight="1">
      <c r="A60" s="26" t="inlineStr">
        <is>
          <t>PUBLIC CHINA ACCESS EQUITY FUND</t>
        </is>
      </c>
      <c r="B60" s="26" t="inlineStr">
        <is>
          <t>PCASEF</t>
        </is>
      </c>
      <c r="C60" s="26" t="inlineStr">
        <is>
          <t>Conventional</t>
        </is>
      </c>
      <c r="D60" s="26" t="inlineStr">
        <is>
          <t>Equity</t>
        </is>
      </c>
      <c r="E60" s="26" t="inlineStr">
        <is>
          <t>Greater China</t>
        </is>
      </c>
      <c r="F60" s="23" t="inlineStr">
        <is>
          <t>Capital Growth</t>
        </is>
      </c>
      <c r="G60" s="24" t="n">
        <v>5</v>
      </c>
      <c r="H60" s="23" t="inlineStr">
        <is>
          <t>Incidental</t>
        </is>
      </c>
      <c r="I60" s="25" t="n">
        <v>980.3099999999999</v>
      </c>
      <c r="J60" s="26" t="inlineStr">
        <is>
          <t>18.04.2013</t>
        </is>
      </c>
      <c r="K60" s="26" t="inlineStr">
        <is>
          <t>Qualified</t>
        </is>
      </c>
      <c r="L60" s="27" t="n">
        <v>60</v>
      </c>
      <c r="M60" s="26" t="inlineStr">
        <is>
          <t>3/5</t>
        </is>
      </c>
      <c r="N60" s="28" t="n">
        <v>-7.78</v>
      </c>
      <c r="O60" s="28" t="n">
        <v>-5.86</v>
      </c>
      <c r="P60" s="28" t="n">
        <v>-1.92</v>
      </c>
      <c r="Q60" s="28" t="n">
        <v>10.98</v>
      </c>
      <c r="R60" s="28" t="n">
        <v>1.41</v>
      </c>
      <c r="S60" s="28" t="n">
        <v>9.57</v>
      </c>
      <c r="T60" s="28" t="n">
        <v>0.47</v>
      </c>
      <c r="U60" s="28" t="n">
        <v>-0.7</v>
      </c>
      <c r="V60" s="28" t="n">
        <v>1.17</v>
      </c>
      <c r="W60" s="28" t="n">
        <v>-4.98</v>
      </c>
      <c r="X60" s="28" t="n">
        <v>-5</v>
      </c>
      <c r="Y60" s="28" t="n">
        <v>0.02</v>
      </c>
      <c r="Z60" s="28" t="n">
        <v>4.77</v>
      </c>
      <c r="AA60" s="28" t="n">
        <v>5.01</v>
      </c>
      <c r="AB60" s="28" t="n">
        <v>-0.24</v>
      </c>
      <c r="AC60" s="28">
        <f>IF(OR(P60="",BL60="",BL60=0),"",P60/BL60)</f>
        <v/>
      </c>
      <c r="AD60" s="28">
        <f>IF(OR(S60="",BL60="",BL60=0),"",S60/BL60)</f>
        <v/>
      </c>
      <c r="AE60" s="28">
        <f>IF(OR(V60="",BL60="",BL60=0),"",V60/BL60)</f>
        <v/>
      </c>
      <c r="AF60" s="28">
        <f>IF(OR(Y60="",BL60="",BL60=0),"",Y60/BL60)</f>
        <v/>
      </c>
      <c r="AG60" s="28">
        <f>IF(OR(AB60="",BL60="",BL60=0),"",AB60/BL60)</f>
        <v/>
      </c>
      <c r="AH60" s="27" t="n"/>
      <c r="AI60" s="27" t="n">
        <v>91.2</v>
      </c>
      <c r="AJ60" s="27" t="n"/>
      <c r="AK60" s="27" t="n">
        <v>8.800000000000001</v>
      </c>
      <c r="AL60" s="27" t="n"/>
      <c r="AM60" s="27" t="n"/>
      <c r="AN60" s="27" t="n"/>
      <c r="AO60" s="27" t="n"/>
      <c r="AP60" s="27" t="n"/>
      <c r="AQ60" s="27" t="n"/>
      <c r="AR60" s="27" t="n"/>
      <c r="AS60" s="27" t="n"/>
      <c r="AT60" s="27" t="n">
        <v>91.2</v>
      </c>
      <c r="AU60" s="27" t="n"/>
      <c r="AV60" s="27" t="n"/>
      <c r="AW60" s="27" t="n"/>
      <c r="AX60" s="27" t="n"/>
      <c r="AY60" s="27" t="n"/>
      <c r="AZ60" s="27" t="n"/>
      <c r="BA60" s="27" t="n">
        <v>12.4</v>
      </c>
      <c r="BB60" s="27" t="n">
        <v>24.9</v>
      </c>
      <c r="BC60" s="27" t="n">
        <v>13.8</v>
      </c>
      <c r="BD60" s="27" t="n">
        <v>14.9</v>
      </c>
      <c r="BE60" s="27" t="n"/>
      <c r="BF60" s="27" t="n"/>
      <c r="BG60" s="27" t="n"/>
      <c r="BH60" s="27" t="n">
        <v>11.2</v>
      </c>
      <c r="BI60" s="27" t="n"/>
      <c r="BJ60" s="27" t="n"/>
      <c r="BK60" s="23" t="inlineStr">
        <is>
          <t>Ping An Insurance (Group) Company of China Limited - A Shares | Contemporary Amperex Technology Company Limited - A Shares | Zhongji Innolight Company Limited - A Shares | Zijin Mining Group Company Limited - A Shares | Hygon Information Technology Company Limited - A Shares</t>
        </is>
      </c>
      <c r="BL60" s="27" t="n">
        <v>14.7</v>
      </c>
      <c r="BM60" s="26" t="inlineStr">
        <is>
          <t>Very High</t>
        </is>
      </c>
      <c r="BN60" s="23" t="inlineStr">
        <is>
          <t>Equity China Greater China</t>
        </is>
      </c>
      <c r="BO60" s="23" t="inlineStr">
        <is>
          <t>Thebenchmark forPCASEF isacompositeof90% S&amp;P ChinaA 50Indexand 10% 3-Month Kuala Lumpur Interbank Offered Rate (KLIBOR). Underlying index data are sourced from Lipper and Bank Negara Malaysia and expressed in Ringgit terms.</t>
        </is>
      </c>
      <c r="BP60" s="29" t="n">
        <v>2.2029</v>
      </c>
      <c r="BQ60" s="26" t="inlineStr">
        <is>
          <t>2015-06-08</t>
        </is>
      </c>
      <c r="BR60" s="29" t="n">
        <v>1.1405</v>
      </c>
      <c r="BS60" s="28" t="n">
        <v>-48.23</v>
      </c>
      <c r="BT60" s="24" t="n">
        <v>3955</v>
      </c>
    </row>
    <row r="61" ht="16" customHeight="1">
      <c r="A61" s="34" t="inlineStr">
        <is>
          <t>PUBLIC AGGRESSIVE GROWTH FUND</t>
        </is>
      </c>
      <c r="B61" s="34" t="inlineStr">
        <is>
          <t>PAGF</t>
        </is>
      </c>
      <c r="C61" s="34" t="inlineStr">
        <is>
          <t>Conventional</t>
        </is>
      </c>
      <c r="D61" s="34" t="inlineStr">
        <is>
          <t>Equity</t>
        </is>
      </c>
      <c r="E61" s="34" t="inlineStr">
        <is>
          <t>Malaysia</t>
        </is>
      </c>
      <c r="F61" s="31" t="inlineStr">
        <is>
          <t>Capital Growth</t>
        </is>
      </c>
      <c r="G61" s="32" t="n">
        <v>5</v>
      </c>
      <c r="H61" s="31" t="inlineStr">
        <is>
          <t>Incidental</t>
        </is>
      </c>
      <c r="I61" s="33" t="n">
        <v>251.31</v>
      </c>
      <c r="J61" s="34" t="inlineStr">
        <is>
          <t>25.04.1994</t>
        </is>
      </c>
      <c r="K61" s="34" t="inlineStr">
        <is>
          <t>Qualified</t>
        </is>
      </c>
      <c r="L61" s="35" t="n">
        <v>60</v>
      </c>
      <c r="M61" s="34" t="inlineStr">
        <is>
          <t>3/5</t>
        </is>
      </c>
      <c r="N61" s="36" t="n">
        <v>0.26</v>
      </c>
      <c r="O61" s="36" t="n">
        <v>2.17</v>
      </c>
      <c r="P61" s="36" t="n">
        <v>-1.91</v>
      </c>
      <c r="Q61" s="36" t="n">
        <v>5.01</v>
      </c>
      <c r="R61" s="36" t="n">
        <v>9.01</v>
      </c>
      <c r="S61" s="36" t="n">
        <v>-4</v>
      </c>
      <c r="T61" s="36" t="n">
        <v>6.84</v>
      </c>
      <c r="U61" s="36" t="n">
        <v>5.69</v>
      </c>
      <c r="V61" s="36" t="n">
        <v>1.15</v>
      </c>
      <c r="W61" s="36" t="n">
        <v>3.65</v>
      </c>
      <c r="X61" s="36" t="n">
        <v>1.7</v>
      </c>
      <c r="Y61" s="36" t="n">
        <v>1.95</v>
      </c>
      <c r="Z61" s="36" t="n">
        <v>4.06</v>
      </c>
      <c r="AA61" s="36" t="n">
        <v>0.37</v>
      </c>
      <c r="AB61" s="36" t="n">
        <v>3.69</v>
      </c>
      <c r="AC61" s="36">
        <f>IF(OR(P61="",BL61="",BL61=0),"",P61/BL61)</f>
        <v/>
      </c>
      <c r="AD61" s="36">
        <f>IF(OR(S61="",BL61="",BL61=0),"",S61/BL61)</f>
        <v/>
      </c>
      <c r="AE61" s="36">
        <f>IF(OR(V61="",BL61="",BL61=0),"",V61/BL61)</f>
        <v/>
      </c>
      <c r="AF61" s="36">
        <f>IF(OR(Y61="",BL61="",BL61=0),"",Y61/BL61)</f>
        <v/>
      </c>
      <c r="AG61" s="36">
        <f>IF(OR(AB61="",BL61="",BL61=0),"",AB61/BL61)</f>
        <v/>
      </c>
      <c r="AH61" s="35" t="n">
        <v>76.40000000000001</v>
      </c>
      <c r="AI61" s="35" t="n">
        <v>19</v>
      </c>
      <c r="AJ61" s="35" t="n"/>
      <c r="AK61" s="35" t="n">
        <v>4.6</v>
      </c>
      <c r="AL61" s="35" t="n"/>
      <c r="AM61" s="35" t="n"/>
      <c r="AN61" s="35" t="n">
        <v>12.9</v>
      </c>
      <c r="AO61" s="35" t="n"/>
      <c r="AP61" s="35" t="n"/>
      <c r="AQ61" s="35" t="n"/>
      <c r="AR61" s="35" t="n">
        <v>2.4</v>
      </c>
      <c r="AS61" s="35" t="n"/>
      <c r="AT61" s="35" t="n">
        <v>3.7</v>
      </c>
      <c r="AU61" s="35" t="n"/>
      <c r="AV61" s="35" t="n"/>
      <c r="AW61" s="35" t="n"/>
      <c r="AX61" s="35" t="n"/>
      <c r="AY61" s="35" t="n"/>
      <c r="AZ61" s="35" t="n"/>
      <c r="BA61" s="35" t="n">
        <v>6.2</v>
      </c>
      <c r="BB61" s="35" t="n">
        <v>34.5</v>
      </c>
      <c r="BC61" s="35" t="n">
        <v>20.6</v>
      </c>
      <c r="BD61" s="35" t="n"/>
      <c r="BE61" s="35" t="n">
        <v>11.8</v>
      </c>
      <c r="BF61" s="35" t="n">
        <v>8.9</v>
      </c>
      <c r="BG61" s="35" t="n"/>
      <c r="BH61" s="35" t="n"/>
      <c r="BI61" s="35" t="n"/>
      <c r="BJ61" s="35" t="n"/>
      <c r="BK61" s="31" t="inlineStr">
        <is>
          <t>Malayan Banking Berhad | Public Bank Berhad | Tenaga Nasional Berhad | Meta Platforms Incorporated | NVIDIA Corporation</t>
        </is>
      </c>
      <c r="BL61" s="35" t="n">
        <v>7.5</v>
      </c>
      <c r="BM61" s="34" t="inlineStr">
        <is>
          <t>Low</t>
        </is>
      </c>
      <c r="BN61" s="31" t="inlineStr">
        <is>
          <t>Equity Malaysia Domestic 30% of the fund’s NAV</t>
        </is>
      </c>
      <c r="BO61" s="31" t="inlineStr">
        <is>
          <t>Kuala Lumpur Composite Index (prior to 6 July 2009). FTSE Bursa Malaysia KLCI (w.e.f. 6 July 2009).</t>
        </is>
      </c>
      <c r="BP61" s="37" t="n">
        <v>1.17</v>
      </c>
      <c r="BQ61" s="34" t="inlineStr">
        <is>
          <t>2000-02-24</t>
        </is>
      </c>
      <c r="BR61" s="37" t="n">
        <v>0.6844</v>
      </c>
      <c r="BS61" s="36" t="n">
        <v>-41.5</v>
      </c>
      <c r="BT61" s="32" t="n">
        <v>9538</v>
      </c>
    </row>
    <row r="62" ht="16" customHeight="1">
      <c r="A62" s="22" t="inlineStr">
        <is>
          <t>PUBLIC ISLAMIC ALPHA-40 GROWTH FUND</t>
        </is>
      </c>
      <c r="B62" s="22" t="inlineStr">
        <is>
          <t>PIA40GF</t>
        </is>
      </c>
      <c r="C62" s="22" t="inlineStr">
        <is>
          <t>Shariah</t>
        </is>
      </c>
      <c r="D62" s="22" t="inlineStr">
        <is>
          <t>Equity</t>
        </is>
      </c>
      <c r="E62" s="22" t="inlineStr">
        <is>
          <t>Malaysia</t>
        </is>
      </c>
      <c r="F62" s="23" t="inlineStr">
        <is>
          <t>Capital Growth</t>
        </is>
      </c>
      <c r="G62" s="24" t="n">
        <v>4</v>
      </c>
      <c r="H62" s="23" t="inlineStr">
        <is>
          <t>Incidental</t>
        </is>
      </c>
      <c r="I62" s="25" t="n">
        <v>389.46</v>
      </c>
      <c r="J62" s="26" t="inlineStr">
        <is>
          <t>16.11.2010</t>
        </is>
      </c>
      <c r="K62" s="26" t="inlineStr">
        <is>
          <t>Qualified</t>
        </is>
      </c>
      <c r="L62" s="27" t="n">
        <v>60</v>
      </c>
      <c r="M62" s="26" t="inlineStr">
        <is>
          <t>3/5</t>
        </is>
      </c>
      <c r="N62" s="28" t="n">
        <v>0.08</v>
      </c>
      <c r="O62" s="28" t="n">
        <v>3.7</v>
      </c>
      <c r="P62" s="28" t="n">
        <v>-3.62</v>
      </c>
      <c r="Q62" s="28" t="n">
        <v>7.83</v>
      </c>
      <c r="R62" s="28" t="n">
        <v>12.03</v>
      </c>
      <c r="S62" s="28" t="n">
        <v>-4.2</v>
      </c>
      <c r="T62" s="28" t="n">
        <v>7.44</v>
      </c>
      <c r="U62" s="28" t="n">
        <v>6.4</v>
      </c>
      <c r="V62" s="28" t="n">
        <v>1.04</v>
      </c>
      <c r="W62" s="28" t="n">
        <v>1.32</v>
      </c>
      <c r="X62" s="28" t="n">
        <v>0.07000000000000001</v>
      </c>
      <c r="Y62" s="28" t="n">
        <v>1.25</v>
      </c>
      <c r="Z62" s="28" t="n">
        <v>4.32</v>
      </c>
      <c r="AA62" s="28" t="n">
        <v>1.92</v>
      </c>
      <c r="AB62" s="28" t="n">
        <v>2.4</v>
      </c>
      <c r="AC62" s="28">
        <f>IF(OR(P62="",BL62="",BL62=0),"",P62/BL62)</f>
        <v/>
      </c>
      <c r="AD62" s="28">
        <f>IF(OR(S62="",BL62="",BL62=0),"",S62/BL62)</f>
        <v/>
      </c>
      <c r="AE62" s="28">
        <f>IF(OR(V62="",BL62="",BL62=0),"",V62/BL62)</f>
        <v/>
      </c>
      <c r="AF62" s="28">
        <f>IF(OR(Y62="",BL62="",BL62=0),"",Y62/BL62)</f>
        <v/>
      </c>
      <c r="AG62" s="28">
        <f>IF(OR(AB62="",BL62="",BL62=0),"",AB62/BL62)</f>
        <v/>
      </c>
      <c r="AH62" s="27" t="n">
        <v>75.40000000000001</v>
      </c>
      <c r="AI62" s="27" t="n">
        <v>17.1</v>
      </c>
      <c r="AJ62" s="27" t="n"/>
      <c r="AK62" s="27" t="n">
        <v>7.5</v>
      </c>
      <c r="AL62" s="27" t="n"/>
      <c r="AM62" s="27" t="n"/>
      <c r="AN62" s="27" t="n">
        <v>13.1</v>
      </c>
      <c r="AO62" s="27" t="n">
        <v>4</v>
      </c>
      <c r="AP62" s="27" t="n"/>
      <c r="AQ62" s="27" t="n"/>
      <c r="AR62" s="27" t="n"/>
      <c r="AS62" s="27" t="n"/>
      <c r="AT62" s="27" t="n"/>
      <c r="AU62" s="27" t="n"/>
      <c r="AV62" s="27" t="n"/>
      <c r="AW62" s="27" t="n"/>
      <c r="AX62" s="27" t="n"/>
      <c r="AY62" s="27" t="n"/>
      <c r="AZ62" s="27" t="n">
        <v>11.7</v>
      </c>
      <c r="BA62" s="27" t="n"/>
      <c r="BB62" s="27" t="n">
        <v>11.1</v>
      </c>
      <c r="BC62" s="27" t="n">
        <v>24.3</v>
      </c>
      <c r="BD62" s="27" t="n"/>
      <c r="BE62" s="27" t="n">
        <v>21.1</v>
      </c>
      <c r="BF62" s="27" t="n">
        <v>10.3</v>
      </c>
      <c r="BG62" s="27" t="n"/>
      <c r="BH62" s="27" t="n"/>
      <c r="BI62" s="27" t="n"/>
      <c r="BJ62" s="27" t="n"/>
      <c r="BK62" s="23" t="inlineStr">
        <is>
          <t>Tenaga Nasional Berhad | Telekom Malaysia Berhad | QL Resources Berhad | Press Metal Aluminium Holdings Berhad | Malayan Cement Berhad</t>
        </is>
      </c>
      <c r="BL62" s="27" t="n">
        <v>8.1</v>
      </c>
      <c r="BM62" s="26" t="inlineStr">
        <is>
          <t>Moderate</t>
        </is>
      </c>
      <c r="BN62" s="23" t="inlineStr">
        <is>
          <t>Equity Malaysia Domestic</t>
        </is>
      </c>
      <c r="BO62" s="23" t="n"/>
      <c r="BP62" s="29" t="n">
        <v>0.3848</v>
      </c>
      <c r="BQ62" s="26" t="inlineStr">
        <is>
          <t>2024-07-11</t>
        </is>
      </c>
      <c r="BR62" s="29" t="n">
        <v>0.3584</v>
      </c>
      <c r="BS62" s="28" t="n">
        <v>-6.86</v>
      </c>
      <c r="BT62" s="24" t="n">
        <v>634</v>
      </c>
    </row>
    <row r="63" ht="16" customHeight="1">
      <c r="A63" s="30" t="inlineStr">
        <is>
          <t>PUBLIC ISLAMIC ENTERPRISES EQUITY FUND</t>
        </is>
      </c>
      <c r="B63" s="30" t="inlineStr">
        <is>
          <t>PIENTEF</t>
        </is>
      </c>
      <c r="C63" s="30" t="inlineStr">
        <is>
          <t>Shariah</t>
        </is>
      </c>
      <c r="D63" s="30" t="inlineStr">
        <is>
          <t>Equity</t>
        </is>
      </c>
      <c r="E63" s="30" t="inlineStr">
        <is>
          <t>Malaysia</t>
        </is>
      </c>
      <c r="F63" s="31" t="inlineStr">
        <is>
          <t>Capital Growth</t>
        </is>
      </c>
      <c r="G63" s="32" t="n">
        <v>4</v>
      </c>
      <c r="H63" s="31" t="inlineStr">
        <is>
          <t>Incidental</t>
        </is>
      </c>
      <c r="I63" s="33" t="n">
        <v>264.61</v>
      </c>
      <c r="J63" s="34" t="inlineStr">
        <is>
          <t>18.03.2015</t>
        </is>
      </c>
      <c r="K63" s="34" t="inlineStr">
        <is>
          <t>Qualified</t>
        </is>
      </c>
      <c r="L63" s="35" t="n">
        <v>60</v>
      </c>
      <c r="M63" s="34" t="inlineStr">
        <is>
          <t>3/5</t>
        </is>
      </c>
      <c r="N63" s="36" t="n">
        <v>-1.1</v>
      </c>
      <c r="O63" s="36" t="n">
        <v>2.9</v>
      </c>
      <c r="P63" s="36" t="n">
        <v>-4</v>
      </c>
      <c r="Q63" s="36" t="n">
        <v>6</v>
      </c>
      <c r="R63" s="36" t="n">
        <v>12.5</v>
      </c>
      <c r="S63" s="36" t="n">
        <v>-6.5</v>
      </c>
      <c r="T63" s="36" t="n">
        <v>7.85</v>
      </c>
      <c r="U63" s="36" t="n">
        <v>6.88</v>
      </c>
      <c r="V63" s="36" t="n">
        <v>0.97</v>
      </c>
      <c r="W63" s="36" t="n">
        <v>2.28</v>
      </c>
      <c r="X63" s="36" t="n">
        <v>0.64</v>
      </c>
      <c r="Y63" s="36" t="n">
        <v>1.64</v>
      </c>
      <c r="Z63" s="36" t="n">
        <v>2.98</v>
      </c>
      <c r="AA63" s="36" t="n">
        <v>1.73</v>
      </c>
      <c r="AB63" s="36" t="n">
        <v>1.25</v>
      </c>
      <c r="AC63" s="36">
        <f>IF(OR(P63="",BL63="",BL63=0),"",P63/BL63)</f>
        <v/>
      </c>
      <c r="AD63" s="36">
        <f>IF(OR(S63="",BL63="",BL63=0),"",S63/BL63)</f>
        <v/>
      </c>
      <c r="AE63" s="36">
        <f>IF(OR(V63="",BL63="",BL63=0),"",V63/BL63)</f>
        <v/>
      </c>
      <c r="AF63" s="36">
        <f>IF(OR(Y63="",BL63="",BL63=0),"",Y63/BL63)</f>
        <v/>
      </c>
      <c r="AG63" s="36">
        <f>IF(OR(AB63="",BL63="",BL63=0),"",AB63/BL63)</f>
        <v/>
      </c>
      <c r="AH63" s="35" t="n">
        <v>76.09999999999999</v>
      </c>
      <c r="AI63" s="35" t="n">
        <v>18.9</v>
      </c>
      <c r="AJ63" s="35" t="n"/>
      <c r="AK63" s="35" t="n">
        <v>5</v>
      </c>
      <c r="AL63" s="35" t="n"/>
      <c r="AM63" s="35" t="n"/>
      <c r="AN63" s="35" t="n">
        <v>12.9</v>
      </c>
      <c r="AO63" s="35" t="n"/>
      <c r="AP63" s="35" t="n"/>
      <c r="AQ63" s="35" t="n"/>
      <c r="AR63" s="35" t="n">
        <v>2.7</v>
      </c>
      <c r="AS63" s="35" t="n"/>
      <c r="AT63" s="35" t="n">
        <v>3.3</v>
      </c>
      <c r="AU63" s="35" t="n"/>
      <c r="AV63" s="35" t="n"/>
      <c r="AW63" s="35" t="n"/>
      <c r="AX63" s="35" t="n"/>
      <c r="AY63" s="35" t="n"/>
      <c r="AZ63" s="35" t="n"/>
      <c r="BA63" s="35" t="n"/>
      <c r="BB63" s="35" t="n">
        <v>11.1</v>
      </c>
      <c r="BC63" s="35" t="n">
        <v>17.9</v>
      </c>
      <c r="BD63" s="35" t="n">
        <v>9</v>
      </c>
      <c r="BE63" s="35" t="n">
        <v>25</v>
      </c>
      <c r="BF63" s="35" t="n">
        <v>10.2</v>
      </c>
      <c r="BG63" s="35" t="n"/>
      <c r="BH63" s="35" t="n"/>
      <c r="BI63" s="35" t="n"/>
      <c r="BJ63" s="35" t="n"/>
      <c r="BK63" s="31" t="inlineStr">
        <is>
          <t>Tenaga Nasional Berhad | QL Resources Berhad | Telekom Malaysia Berhad | IHH Healthcare Berhad | NVIDIA Corporation</t>
        </is>
      </c>
      <c r="BL63" s="35" t="n">
        <v>8.6</v>
      </c>
      <c r="BM63" s="34" t="inlineStr">
        <is>
          <t>Moderate</t>
        </is>
      </c>
      <c r="BN63" s="31" t="inlineStr">
        <is>
          <t>Equity Malaysia Domestic</t>
        </is>
      </c>
      <c r="BO63" s="31"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P63" s="37" t="n">
        <v>0.3171</v>
      </c>
      <c r="BQ63" s="34" t="inlineStr">
        <is>
          <t>2024-07-15</t>
        </is>
      </c>
      <c r="BR63" s="37" t="n">
        <v>0.3037</v>
      </c>
      <c r="BS63" s="36" t="n">
        <v>-4.23</v>
      </c>
      <c r="BT63" s="32" t="n">
        <v>630</v>
      </c>
    </row>
    <row r="64" ht="16" customHeight="1">
      <c r="A64" s="22" t="inlineStr">
        <is>
          <t>PUBLIC ISLAMIC EQUITY FUND</t>
        </is>
      </c>
      <c r="B64" s="22" t="inlineStr">
        <is>
          <t>PIEF</t>
        </is>
      </c>
      <c r="C64" s="22" t="inlineStr">
        <is>
          <t>Shariah</t>
        </is>
      </c>
      <c r="D64" s="22" t="inlineStr">
        <is>
          <t>Equity</t>
        </is>
      </c>
      <c r="E64" s="22" t="inlineStr">
        <is>
          <t>Malaysia</t>
        </is>
      </c>
      <c r="F64" s="23" t="inlineStr">
        <is>
          <t>Capital Growth</t>
        </is>
      </c>
      <c r="G64" s="24" t="n">
        <v>4</v>
      </c>
      <c r="H64" s="23" t="inlineStr">
        <is>
          <t>Incidental</t>
        </is>
      </c>
      <c r="I64" s="25" t="n">
        <v>1420.11</v>
      </c>
      <c r="J64" s="26" t="inlineStr">
        <is>
          <t>28.05.2003</t>
        </is>
      </c>
      <c r="K64" s="26" t="inlineStr">
        <is>
          <t>Qualified</t>
        </is>
      </c>
      <c r="L64" s="27" t="n">
        <v>60</v>
      </c>
      <c r="M64" s="26" t="inlineStr">
        <is>
          <t>3/5</t>
        </is>
      </c>
      <c r="N64" s="28" t="n">
        <v>-2.23</v>
      </c>
      <c r="O64" s="28" t="n">
        <v>1</v>
      </c>
      <c r="P64" s="28" t="n">
        <v>-3.23</v>
      </c>
      <c r="Q64" s="28" t="n">
        <v>2.36</v>
      </c>
      <c r="R64" s="28" t="n">
        <v>7.06</v>
      </c>
      <c r="S64" s="28" t="n">
        <v>-4.7</v>
      </c>
      <c r="T64" s="28" t="n">
        <v>5.17</v>
      </c>
      <c r="U64" s="28" t="n">
        <v>4.2</v>
      </c>
      <c r="V64" s="28" t="n">
        <v>0.97</v>
      </c>
      <c r="W64" s="28" t="n">
        <v>1.14</v>
      </c>
      <c r="X64" s="28" t="n">
        <v>-1.2</v>
      </c>
      <c r="Y64" s="28" t="n">
        <v>2.34</v>
      </c>
      <c r="Z64" s="28" t="n">
        <v>2.93</v>
      </c>
      <c r="AA64" s="28" t="n">
        <v>-0.03</v>
      </c>
      <c r="AB64" s="28" t="n">
        <v>2.96</v>
      </c>
      <c r="AC64" s="28">
        <f>IF(OR(P64="",BL64="",BL64=0),"",P64/BL64)</f>
        <v/>
      </c>
      <c r="AD64" s="28">
        <f>IF(OR(S64="",BL64="",BL64=0),"",S64/BL64)</f>
        <v/>
      </c>
      <c r="AE64" s="28">
        <f>IF(OR(V64="",BL64="",BL64=0),"",V64/BL64)</f>
        <v/>
      </c>
      <c r="AF64" s="28">
        <f>IF(OR(Y64="",BL64="",BL64=0),"",Y64/BL64)</f>
        <v/>
      </c>
      <c r="AG64" s="28">
        <f>IF(OR(AB64="",BL64="",BL64=0),"",AB64/BL64)</f>
        <v/>
      </c>
      <c r="AH64" s="27" t="n">
        <v>70.7</v>
      </c>
      <c r="AI64" s="27" t="n">
        <v>15.5</v>
      </c>
      <c r="AJ64" s="27" t="n"/>
      <c r="AK64" s="27" t="n">
        <v>13.8</v>
      </c>
      <c r="AL64" s="27" t="n"/>
      <c r="AM64" s="27" t="n"/>
      <c r="AN64" s="27" t="n">
        <v>11</v>
      </c>
      <c r="AO64" s="27" t="n"/>
      <c r="AP64" s="27" t="n"/>
      <c r="AQ64" s="27" t="n"/>
      <c r="AR64" s="27" t="n"/>
      <c r="AS64" s="27" t="n"/>
      <c r="AT64" s="27" t="n">
        <v>4.5</v>
      </c>
      <c r="AU64" s="27" t="n"/>
      <c r="AV64" s="27" t="n"/>
      <c r="AW64" s="27" t="n"/>
      <c r="AX64" s="27" t="n"/>
      <c r="AY64" s="27" t="n"/>
      <c r="AZ64" s="27" t="n">
        <v>9.4</v>
      </c>
      <c r="BA64" s="27" t="n"/>
      <c r="BB64" s="27" t="n"/>
      <c r="BC64" s="27" t="n">
        <v>25.2</v>
      </c>
      <c r="BD64" s="27" t="n"/>
      <c r="BE64" s="27" t="n">
        <v>20.8</v>
      </c>
      <c r="BF64" s="27" t="n">
        <v>10.7</v>
      </c>
      <c r="BG64" s="27" t="n">
        <v>7</v>
      </c>
      <c r="BH64" s="27" t="n"/>
      <c r="BI64" s="27" t="n"/>
      <c r="BJ64" s="27" t="n"/>
      <c r="BK64" s="23" t="inlineStr">
        <is>
          <t>Tenaga Nasional Berhad | Telekom Malaysia Berhad | IHH Healthcare Berhad | QL Resources Berhad | Press Metal Aluminium Holdings Berhad</t>
        </is>
      </c>
      <c r="BL64" s="27" t="n">
        <v>7.4</v>
      </c>
      <c r="BM64" s="26" t="inlineStr">
        <is>
          <t>Low</t>
        </is>
      </c>
      <c r="BN64" s="23" t="inlineStr">
        <is>
          <t>Equity Malaysia Domestic</t>
        </is>
      </c>
      <c r="BO64" s="23" t="inlineStr">
        <is>
          <t>2023 1.00 31.5.23 3.2 Kuala Lumpur Syariah Index (prior to 1 November 2007). FTSE Bursa Malaysia EMAS Shariah Index (w.e.f. 1 November 2007). Note: Distribution yield simply measures the level of distributions and is not</t>
        </is>
      </c>
      <c r="BP64" s="29" t="n">
        <v>0.4248</v>
      </c>
      <c r="BQ64" s="26" t="inlineStr">
        <is>
          <t>2007-10-30</t>
        </is>
      </c>
      <c r="BR64" s="29" t="n">
        <v>0.3533</v>
      </c>
      <c r="BS64" s="28" t="n">
        <v>-16.83</v>
      </c>
      <c r="BT64" s="24" t="n">
        <v>6733</v>
      </c>
    </row>
    <row r="65" ht="16" customHeight="1">
      <c r="A65" s="34" t="inlineStr">
        <is>
          <t>PB ISLAMIC EQUITY FUND</t>
        </is>
      </c>
      <c r="B65" s="34" t="inlineStr">
        <is>
          <t>PBIEF</t>
        </is>
      </c>
      <c r="C65" s="34" t="inlineStr">
        <is>
          <t>Conventional</t>
        </is>
      </c>
      <c r="D65" s="34" t="inlineStr">
        <is>
          <t>Equity</t>
        </is>
      </c>
      <c r="E65" s="34" t="inlineStr">
        <is>
          <t>Malaysia</t>
        </is>
      </c>
      <c r="F65" s="31" t="inlineStr">
        <is>
          <t>Capital Growth</t>
        </is>
      </c>
      <c r="G65" s="32" t="n">
        <v>4</v>
      </c>
      <c r="H65" s="31" t="inlineStr">
        <is>
          <t>Incidental</t>
        </is>
      </c>
      <c r="I65" s="33" t="n">
        <v>210.02</v>
      </c>
      <c r="J65" s="34" t="inlineStr">
        <is>
          <t>05.09.2005</t>
        </is>
      </c>
      <c r="K65" s="34" t="inlineStr">
        <is>
          <t>Qualified</t>
        </is>
      </c>
      <c r="L65" s="35" t="n">
        <v>60</v>
      </c>
      <c r="M65" s="34" t="inlineStr">
        <is>
          <t>3/5</t>
        </is>
      </c>
      <c r="N65" s="36" t="n">
        <v>0.14</v>
      </c>
      <c r="O65" s="36" t="n">
        <v>1</v>
      </c>
      <c r="P65" s="36" t="n">
        <v>-0.86</v>
      </c>
      <c r="Q65" s="36" t="n">
        <v>3.35</v>
      </c>
      <c r="R65" s="36" t="n">
        <v>7.06</v>
      </c>
      <c r="S65" s="36" t="n">
        <v>-3.71</v>
      </c>
      <c r="T65" s="36" t="n">
        <v>5.14</v>
      </c>
      <c r="U65" s="36" t="n">
        <v>4.2</v>
      </c>
      <c r="V65" s="36" t="n">
        <v>0.9399999999999999</v>
      </c>
      <c r="W65" s="36" t="n">
        <v>1.09</v>
      </c>
      <c r="X65" s="36" t="n">
        <v>-1.2</v>
      </c>
      <c r="Y65" s="36" t="n">
        <v>2.29</v>
      </c>
      <c r="Z65" s="36" t="n">
        <v>2.61</v>
      </c>
      <c r="AA65" s="36" t="n">
        <v>-0.03</v>
      </c>
      <c r="AB65" s="36" t="n">
        <v>2.64</v>
      </c>
      <c r="AC65" s="36">
        <f>IF(OR(P65="",BL65="",BL65=0),"",P65/BL65)</f>
        <v/>
      </c>
      <c r="AD65" s="36">
        <f>IF(OR(S65="",BL65="",BL65=0),"",S65/BL65)</f>
        <v/>
      </c>
      <c r="AE65" s="36">
        <f>IF(OR(V65="",BL65="",BL65=0),"",V65/BL65)</f>
        <v/>
      </c>
      <c r="AF65" s="36">
        <f>IF(OR(Y65="",BL65="",BL65=0),"",Y65/BL65)</f>
        <v/>
      </c>
      <c r="AG65" s="36">
        <f>IF(OR(AB65="",BL65="",BL65=0),"",AB65/BL65)</f>
        <v/>
      </c>
      <c r="AH65" s="35" t="n">
        <v>13.9</v>
      </c>
      <c r="AI65" s="35" t="n">
        <v>68.7</v>
      </c>
      <c r="AJ65" s="35" t="n"/>
      <c r="AK65" s="35" t="n">
        <v>17.4</v>
      </c>
      <c r="AL65" s="35" t="n"/>
      <c r="AM65" s="35" t="n"/>
      <c r="AN65" s="35" t="n">
        <v>9.1</v>
      </c>
      <c r="AO65" s="35" t="n"/>
      <c r="AP65" s="35" t="n"/>
      <c r="AQ65" s="35" t="n"/>
      <c r="AR65" s="35" t="n"/>
      <c r="AS65" s="35" t="n"/>
      <c r="AT65" s="35" t="n">
        <v>4.8</v>
      </c>
      <c r="AU65" s="35" t="n"/>
      <c r="AV65" s="35" t="n"/>
      <c r="AW65" s="35" t="n"/>
      <c r="AX65" s="35" t="n"/>
      <c r="AY65" s="35" t="n"/>
      <c r="AZ65" s="35" t="n">
        <v>20.2</v>
      </c>
      <c r="BA65" s="35" t="n"/>
      <c r="BB65" s="35" t="n">
        <v>8.699999999999999</v>
      </c>
      <c r="BC65" s="35" t="n">
        <v>16</v>
      </c>
      <c r="BD65" s="35" t="n"/>
      <c r="BE65" s="35" t="n">
        <v>13.8</v>
      </c>
      <c r="BF65" s="35" t="n">
        <v>10.5</v>
      </c>
      <c r="BG65" s="35" t="n"/>
      <c r="BH65" s="35" t="n"/>
      <c r="BI65" s="35" t="n"/>
      <c r="BJ65" s="35" t="n"/>
      <c r="BK65" s="31" t="inlineStr">
        <is>
          <t>Tenaga Nasional Berhad | Press Metal Aluminium Holdings Berhad | HEICO Corporation | TIME dotCom Berhad | Sunway Construction Group Berhad</t>
        </is>
      </c>
      <c r="BL65" s="35" t="n">
        <v>8.300000000000001</v>
      </c>
      <c r="BM65" s="34" t="inlineStr">
        <is>
          <t>Moderate</t>
        </is>
      </c>
      <c r="BN65" s="31" t="inlineStr">
        <is>
          <t>Equity Malaysia</t>
        </is>
      </c>
      <c r="BO65" s="31" t="n"/>
      <c r="BP65" s="37" t="n">
        <v>0.393</v>
      </c>
      <c r="BQ65" s="34" t="inlineStr">
        <is>
          <t>2007-07-24</t>
        </is>
      </c>
      <c r="BR65" s="37" t="n">
        <v>0.2963</v>
      </c>
      <c r="BS65" s="36" t="n">
        <v>-24.61</v>
      </c>
      <c r="BT65" s="32" t="n">
        <v>6831</v>
      </c>
    </row>
    <row r="66" ht="16" customHeight="1">
      <c r="A66" s="26" t="inlineStr">
        <is>
          <t>PUBLIC GROWTH FUND</t>
        </is>
      </c>
      <c r="B66" s="26" t="inlineStr">
        <is>
          <t>PGF</t>
        </is>
      </c>
      <c r="C66" s="26" t="inlineStr">
        <is>
          <t>Conventional</t>
        </is>
      </c>
      <c r="D66" s="26" t="inlineStr">
        <is>
          <t>Equity</t>
        </is>
      </c>
      <c r="E66" s="26" t="inlineStr">
        <is>
          <t>Malaysia</t>
        </is>
      </c>
      <c r="F66" s="23" t="inlineStr">
        <is>
          <t>Capital Growth + Income</t>
        </is>
      </c>
      <c r="G66" s="24" t="n">
        <v>4</v>
      </c>
      <c r="H66" s="23" t="inlineStr">
        <is>
          <t>Incidental</t>
        </is>
      </c>
      <c r="I66" s="25" t="n">
        <v>786.13</v>
      </c>
      <c r="J66" s="26" t="inlineStr">
        <is>
          <t>11.12.1984</t>
        </is>
      </c>
      <c r="K66" s="26" t="inlineStr">
        <is>
          <t>Qualified</t>
        </is>
      </c>
      <c r="L66" s="27" t="n">
        <v>60</v>
      </c>
      <c r="M66" s="26" t="inlineStr">
        <is>
          <t>3/5</t>
        </is>
      </c>
      <c r="N66" s="28" t="n">
        <v>-1.1</v>
      </c>
      <c r="O66" s="28" t="n">
        <v>2.17</v>
      </c>
      <c r="P66" s="28" t="n">
        <v>-3.27</v>
      </c>
      <c r="Q66" s="28" t="n">
        <v>3.78</v>
      </c>
      <c r="R66" s="28" t="n">
        <v>9.01</v>
      </c>
      <c r="S66" s="28" t="n">
        <v>-5.23</v>
      </c>
      <c r="T66" s="28" t="n">
        <v>6.26</v>
      </c>
      <c r="U66" s="28" t="n">
        <v>5.69</v>
      </c>
      <c r="V66" s="28" t="n">
        <v>0.57</v>
      </c>
      <c r="W66" s="28" t="n">
        <v>4.16</v>
      </c>
      <c r="X66" s="28" t="n">
        <v>1.7</v>
      </c>
      <c r="Y66" s="28" t="n">
        <v>2.46</v>
      </c>
      <c r="Z66" s="28" t="n">
        <v>3.78</v>
      </c>
      <c r="AA66" s="28" t="n">
        <v>0.37</v>
      </c>
      <c r="AB66" s="28" t="n">
        <v>3.41</v>
      </c>
      <c r="AC66" s="28">
        <f>IF(OR(P66="",BL66="",BL66=0),"",P66/BL66)</f>
        <v/>
      </c>
      <c r="AD66" s="28">
        <f>IF(OR(S66="",BL66="",BL66=0),"",S66/BL66)</f>
        <v/>
      </c>
      <c r="AE66" s="28">
        <f>IF(OR(V66="",BL66="",BL66=0),"",V66/BL66)</f>
        <v/>
      </c>
      <c r="AF66" s="28">
        <f>IF(OR(Y66="",BL66="",BL66=0),"",Y66/BL66)</f>
        <v/>
      </c>
      <c r="AG66" s="28">
        <f>IF(OR(AB66="",BL66="",BL66=0),"",AB66/BL66)</f>
        <v/>
      </c>
      <c r="AH66" s="27" t="n">
        <v>75.2</v>
      </c>
      <c r="AI66" s="27" t="n">
        <v>22.4</v>
      </c>
      <c r="AJ66" s="27" t="n"/>
      <c r="AK66" s="27" t="n">
        <v>2.4</v>
      </c>
      <c r="AL66" s="27" t="n"/>
      <c r="AM66" s="27" t="n"/>
      <c r="AN66" s="27" t="n">
        <v>14.5</v>
      </c>
      <c r="AO66" s="27" t="n"/>
      <c r="AP66" s="27" t="n"/>
      <c r="AQ66" s="27" t="n"/>
      <c r="AR66" s="27" t="n">
        <v>2.6</v>
      </c>
      <c r="AS66" s="27" t="n"/>
      <c r="AT66" s="27" t="n">
        <v>5.3</v>
      </c>
      <c r="AU66" s="27" t="n"/>
      <c r="AV66" s="27" t="n"/>
      <c r="AW66" s="27" t="n"/>
      <c r="AX66" s="27" t="n"/>
      <c r="AY66" s="27" t="n"/>
      <c r="AZ66" s="27" t="n"/>
      <c r="BA66" s="27" t="n">
        <v>7</v>
      </c>
      <c r="BB66" s="27" t="n">
        <v>34.7</v>
      </c>
      <c r="BC66" s="27" t="n">
        <v>23.1</v>
      </c>
      <c r="BD66" s="27" t="n"/>
      <c r="BE66" s="27" t="n">
        <v>7.6</v>
      </c>
      <c r="BF66" s="27" t="n">
        <v>11.6</v>
      </c>
      <c r="BG66" s="27" t="n"/>
      <c r="BH66" s="27" t="n"/>
      <c r="BI66" s="27" t="n"/>
      <c r="BJ66" s="27" t="n"/>
      <c r="BK66" s="23" t="inlineStr">
        <is>
          <t>Malayan Banking Berhad | Public Bank Berhad | Tenaga Nasional Berhad | Telekom Malaysia Berhad | Meta Platforms Incorporated</t>
        </is>
      </c>
      <c r="BL66" s="27" t="n">
        <v>7</v>
      </c>
      <c r="BM66" s="26" t="inlineStr">
        <is>
          <t>Low</t>
        </is>
      </c>
      <c r="BN66" s="23" t="inlineStr">
        <is>
          <t>Equity Malaysia Domestic 30% of the fund’s NAV</t>
        </is>
      </c>
      <c r="BO66" s="23" t="n"/>
      <c r="BP66" s="29" t="n">
        <v>0.77</v>
      </c>
      <c r="BQ66" s="26" t="inlineStr">
        <is>
          <t>2000-02-16</t>
        </is>
      </c>
      <c r="BR66" s="29" t="n">
        <v>0.4792</v>
      </c>
      <c r="BS66" s="28" t="n">
        <v>-37.77</v>
      </c>
      <c r="BT66" s="24" t="n">
        <v>9546</v>
      </c>
    </row>
    <row r="67" ht="16" customHeight="1">
      <c r="A67" s="30" t="inlineStr">
        <is>
          <t>PUBLIC INDONESIA SELECT FUND</t>
        </is>
      </c>
      <c r="B67" s="30" t="inlineStr">
        <is>
          <t>PINDOSF</t>
        </is>
      </c>
      <c r="C67" s="30" t="inlineStr">
        <is>
          <t>Shariah</t>
        </is>
      </c>
      <c r="D67" s="30" t="inlineStr">
        <is>
          <t>Equity</t>
        </is>
      </c>
      <c r="E67" s="30" t="inlineStr">
        <is>
          <t>Indonesia</t>
        </is>
      </c>
      <c r="F67" s="31" t="inlineStr">
        <is>
          <t>Capital Growth</t>
        </is>
      </c>
      <c r="G67" s="32" t="n">
        <v>5</v>
      </c>
      <c r="H67" s="31" t="inlineStr">
        <is>
          <t>Incidental</t>
        </is>
      </c>
      <c r="I67" s="33" t="n">
        <v>521.54</v>
      </c>
      <c r="J67" s="34" t="inlineStr">
        <is>
          <t>01.09.2010</t>
        </is>
      </c>
      <c r="K67" s="34" t="inlineStr">
        <is>
          <t>Qualified</t>
        </is>
      </c>
      <c r="L67" s="35" t="n">
        <v>60</v>
      </c>
      <c r="M67" s="34" t="inlineStr">
        <is>
          <t>3/5</t>
        </is>
      </c>
      <c r="N67" s="36" t="n">
        <v>-4.04</v>
      </c>
      <c r="O67" s="36" t="n">
        <v>-8.890000000000001</v>
      </c>
      <c r="P67" s="36" t="n">
        <v>4.85</v>
      </c>
      <c r="Q67" s="36" t="n">
        <v>-5.92</v>
      </c>
      <c r="R67" s="36" t="n">
        <v>4.35</v>
      </c>
      <c r="S67" s="36" t="n">
        <v>-10.27</v>
      </c>
      <c r="T67" s="36" t="n">
        <v>-8.91</v>
      </c>
      <c r="U67" s="36" t="n">
        <v>-8.4</v>
      </c>
      <c r="V67" s="36" t="n">
        <v>-0.51</v>
      </c>
      <c r="W67" s="36" t="n">
        <v>-3.39</v>
      </c>
      <c r="X67" s="36" t="n">
        <v>-4.5</v>
      </c>
      <c r="Y67" s="36" t="n">
        <v>1.11</v>
      </c>
      <c r="Z67" s="36" t="n">
        <v>-1.2</v>
      </c>
      <c r="AA67" s="36" t="n">
        <v>-2.05</v>
      </c>
      <c r="AB67" s="36" t="n">
        <v>0.85</v>
      </c>
      <c r="AC67" s="36">
        <f>IF(OR(P67="",BL67="",BL67=0),"",P67/BL67)</f>
        <v/>
      </c>
      <c r="AD67" s="36">
        <f>IF(OR(S67="",BL67="",BL67=0),"",S67/BL67)</f>
        <v/>
      </c>
      <c r="AE67" s="36">
        <f>IF(OR(V67="",BL67="",BL67=0),"",V67/BL67)</f>
        <v/>
      </c>
      <c r="AF67" s="36">
        <f>IF(OR(Y67="",BL67="",BL67=0),"",Y67/BL67)</f>
        <v/>
      </c>
      <c r="AG67" s="36">
        <f>IF(OR(AB67="",BL67="",BL67=0),"",AB67/BL67)</f>
        <v/>
      </c>
      <c r="AH67" s="35" t="n">
        <v>0.4</v>
      </c>
      <c r="AI67" s="35" t="n">
        <v>86.09999999999999</v>
      </c>
      <c r="AJ67" s="35" t="n"/>
      <c r="AK67" s="35" t="n">
        <v>13.5</v>
      </c>
      <c r="AL67" s="35" t="n"/>
      <c r="AM67" s="35" t="n"/>
      <c r="AN67" s="35" t="n">
        <v>3.8</v>
      </c>
      <c r="AO67" s="35" t="n"/>
      <c r="AP67" s="35" t="n"/>
      <c r="AQ67" s="35" t="n"/>
      <c r="AR67" s="35" t="n"/>
      <c r="AS67" s="35" t="n"/>
      <c r="AT67" s="35" t="n">
        <v>4.5</v>
      </c>
      <c r="AU67" s="35" t="n">
        <v>1.6</v>
      </c>
      <c r="AV67" s="35" t="n"/>
      <c r="AW67" s="35" t="n">
        <v>76.2</v>
      </c>
      <c r="AX67" s="35" t="n"/>
      <c r="AY67" s="35" t="n"/>
      <c r="AZ67" s="35" t="n"/>
      <c r="BA67" s="35" t="n"/>
      <c r="BB67" s="35" t="n">
        <v>34.9</v>
      </c>
      <c r="BC67" s="35" t="n">
        <v>15.2</v>
      </c>
      <c r="BD67" s="35" t="n">
        <v>15.5</v>
      </c>
      <c r="BE67" s="35" t="n">
        <v>13.4</v>
      </c>
      <c r="BF67" s="35" t="n"/>
      <c r="BG67" s="35" t="n"/>
      <c r="BH67" s="35" t="n">
        <v>7</v>
      </c>
      <c r="BI67" s="35" t="n"/>
      <c r="BJ67" s="35" t="n"/>
      <c r="BK67" s="31" t="inlineStr">
        <is>
          <t>PT Bank Mandiri (Persero) Tbk | Bank Rakyat Indonesia (Persero) Tbk | Bank Central Asia Tbk | PT Merdeka Copper Gold Tbk | Mitra Adiperkasa Tbk</t>
        </is>
      </c>
      <c r="BL67" s="35" t="n">
        <v>13.2</v>
      </c>
      <c r="BM67" s="34" t="inlineStr">
        <is>
          <t>High</t>
        </is>
      </c>
      <c r="BN67" s="31" t="inlineStr">
        <is>
          <t>Equity Indonesia ASEAN</t>
        </is>
      </c>
      <c r="BO67" s="31" t="n"/>
      <c r="BP67" s="37" t="n">
        <v>0.3423</v>
      </c>
      <c r="BQ67" s="34" t="inlineStr">
        <is>
          <t>2013-05-31</t>
        </is>
      </c>
      <c r="BR67" s="37" t="n">
        <v>0.1872</v>
      </c>
      <c r="BS67" s="36" t="n">
        <v>-45.31</v>
      </c>
      <c r="BT67" s="32" t="n">
        <v>4693</v>
      </c>
    </row>
    <row r="68" ht="16" customHeight="1">
      <c r="A68" s="22" t="inlineStr">
        <is>
          <t>PUBLIC ISLAMIC OPTIMAL GROWTH FUND</t>
        </is>
      </c>
      <c r="B68" s="22" t="inlineStr">
        <is>
          <t>PIOGF</t>
        </is>
      </c>
      <c r="C68" s="22" t="inlineStr">
        <is>
          <t>Shariah</t>
        </is>
      </c>
      <c r="D68" s="22" t="inlineStr">
        <is>
          <t>Equity</t>
        </is>
      </c>
      <c r="E68" s="22" t="inlineStr">
        <is>
          <t>Malaysia</t>
        </is>
      </c>
      <c r="F68" s="23" t="inlineStr">
        <is>
          <t>Capital Growth + Income</t>
        </is>
      </c>
      <c r="G68" s="24" t="n">
        <v>4</v>
      </c>
      <c r="H68" s="23" t="inlineStr">
        <is>
          <t>Annual</t>
        </is>
      </c>
      <c r="I68" s="25" t="n">
        <v>121.11</v>
      </c>
      <c r="J68" s="26" t="inlineStr">
        <is>
          <t>08.04.2008</t>
        </is>
      </c>
      <c r="K68" s="26" t="inlineStr">
        <is>
          <t>Qualified</t>
        </is>
      </c>
      <c r="L68" s="27" t="n">
        <v>60</v>
      </c>
      <c r="M68" s="26" t="inlineStr">
        <is>
          <t>3/5</t>
        </is>
      </c>
      <c r="N68" s="28" t="n">
        <v>1.9</v>
      </c>
      <c r="O68" s="28" t="n">
        <v>1</v>
      </c>
      <c r="P68" s="28" t="n">
        <v>0.9</v>
      </c>
      <c r="Q68" s="28" t="n">
        <v>3.27</v>
      </c>
      <c r="R68" s="28" t="n">
        <v>7.06</v>
      </c>
      <c r="S68" s="28" t="n">
        <v>-3.79</v>
      </c>
      <c r="T68" s="28" t="n">
        <v>3.4</v>
      </c>
      <c r="U68" s="28" t="n">
        <v>4.2</v>
      </c>
      <c r="V68" s="28" t="n">
        <v>-0.8</v>
      </c>
      <c r="W68" s="28" t="n">
        <v>0.98</v>
      </c>
      <c r="X68" s="28" t="n">
        <v>-1.2</v>
      </c>
      <c r="Y68" s="28" t="n">
        <v>2.18</v>
      </c>
      <c r="Z68" s="28" t="n">
        <v>1.39</v>
      </c>
      <c r="AA68" s="28" t="n">
        <v>-0.03</v>
      </c>
      <c r="AB68" s="28" t="n">
        <v>1.42</v>
      </c>
      <c r="AC68" s="28">
        <f>IF(OR(P68="",BL68="",BL68=0),"",P68/BL68)</f>
        <v/>
      </c>
      <c r="AD68" s="28">
        <f>IF(OR(S68="",BL68="",BL68=0),"",S68/BL68)</f>
        <v/>
      </c>
      <c r="AE68" s="28">
        <f>IF(OR(V68="",BL68="",BL68=0),"",V68/BL68)</f>
        <v/>
      </c>
      <c r="AF68" s="28">
        <f>IF(OR(Y68="",BL68="",BL68=0),"",Y68/BL68)</f>
        <v/>
      </c>
      <c r="AG68" s="28">
        <f>IF(OR(AB68="",BL68="",BL68=0),"",AB68/BL68)</f>
        <v/>
      </c>
      <c r="AH68" s="27" t="n">
        <v>75.7</v>
      </c>
      <c r="AI68" s="27" t="n">
        <v>20.8</v>
      </c>
      <c r="AJ68" s="27" t="n"/>
      <c r="AK68" s="27" t="n">
        <v>3.5</v>
      </c>
      <c r="AL68" s="27" t="n"/>
      <c r="AM68" s="27" t="n"/>
      <c r="AN68" s="27" t="n">
        <v>8</v>
      </c>
      <c r="AO68" s="27" t="n">
        <v>8</v>
      </c>
      <c r="AP68" s="27" t="n"/>
      <c r="AQ68" s="27" t="n"/>
      <c r="AR68" s="27" t="n">
        <v>4.8</v>
      </c>
      <c r="AS68" s="27" t="n"/>
      <c r="AT68" s="27" t="n"/>
      <c r="AU68" s="27" t="n"/>
      <c r="AV68" s="27" t="n"/>
      <c r="AW68" s="27" t="n"/>
      <c r="AX68" s="27" t="n"/>
      <c r="AY68" s="27" t="n"/>
      <c r="AZ68" s="27" t="n">
        <v>11.3</v>
      </c>
      <c r="BA68" s="27" t="n"/>
      <c r="BB68" s="27" t="n">
        <v>16.3</v>
      </c>
      <c r="BC68" s="27" t="n">
        <v>16.6</v>
      </c>
      <c r="BD68" s="27" t="n"/>
      <c r="BE68" s="27" t="n">
        <v>12.3</v>
      </c>
      <c r="BF68" s="27" t="n"/>
      <c r="BG68" s="27" t="n">
        <v>10.1</v>
      </c>
      <c r="BH68" s="27" t="n"/>
      <c r="BI68" s="27" t="n"/>
      <c r="BJ68" s="27" t="n"/>
      <c r="BK68" s="23" t="inlineStr">
        <is>
          <t>Tenaga Nasional Berhad | Telekom Malaysia Berhad | Taiwan Semiconductor Manufacturing Company Limited | Press Metal Aluminium Holdings Berhad | IHH Healthcare Berhad</t>
        </is>
      </c>
      <c r="BL68" s="27" t="n">
        <v>7.5</v>
      </c>
      <c r="BM68" s="26" t="inlineStr">
        <is>
          <t>Low</t>
        </is>
      </c>
      <c r="BN68" s="23" t="inlineStr">
        <is>
          <t>Equity Malaysia Domestic</t>
        </is>
      </c>
      <c r="BO68" s="23" t="n"/>
      <c r="BP68" s="29" t="n">
        <v>0.3317</v>
      </c>
      <c r="BQ68" s="26" t="inlineStr">
        <is>
          <t>2013-12-30</t>
        </is>
      </c>
      <c r="BR68" s="29" t="n">
        <v>0.2592</v>
      </c>
      <c r="BS68" s="28" t="n">
        <v>-21.86</v>
      </c>
      <c r="BT68" s="24" t="n">
        <v>4480</v>
      </c>
    </row>
    <row r="69" ht="16" customHeight="1">
      <c r="A69" s="34" t="inlineStr">
        <is>
          <t>PUBLIC SINGAPORE EQUITY FUND</t>
        </is>
      </c>
      <c r="B69" s="34" t="inlineStr">
        <is>
          <t>PSGEF</t>
        </is>
      </c>
      <c r="C69" s="34" t="inlineStr">
        <is>
          <t>Conventional</t>
        </is>
      </c>
      <c r="D69" s="34" t="inlineStr">
        <is>
          <t>Equity</t>
        </is>
      </c>
      <c r="E69" s="34" t="inlineStr">
        <is>
          <t>Singapore</t>
        </is>
      </c>
      <c r="F69" s="31" t="inlineStr">
        <is>
          <t>Capital Growth</t>
        </is>
      </c>
      <c r="G69" s="32" t="n">
        <v>5</v>
      </c>
      <c r="H69" s="31" t="inlineStr">
        <is>
          <t>Incidental</t>
        </is>
      </c>
      <c r="I69" s="33" t="n">
        <v>601.49</v>
      </c>
      <c r="J69" s="34" t="inlineStr">
        <is>
          <t>07.06.2011</t>
        </is>
      </c>
      <c r="K69" s="34" t="inlineStr">
        <is>
          <t>Qualified</t>
        </is>
      </c>
      <c r="L69" s="35" t="n">
        <v>60</v>
      </c>
      <c r="M69" s="34" t="inlineStr">
        <is>
          <t>3/5</t>
        </is>
      </c>
      <c r="N69" s="36" t="n">
        <v>2.52</v>
      </c>
      <c r="O69" s="36" t="n">
        <v>1.74</v>
      </c>
      <c r="P69" s="36" t="n">
        <v>0.78</v>
      </c>
      <c r="Q69" s="36" t="n">
        <v>12.43</v>
      </c>
      <c r="R69" s="36" t="n">
        <v>11.54</v>
      </c>
      <c r="S69" s="36" t="n">
        <v>0.89</v>
      </c>
      <c r="T69" s="36" t="n">
        <v>11.9</v>
      </c>
      <c r="U69" s="36" t="n">
        <v>13.01</v>
      </c>
      <c r="V69" s="36" t="n">
        <v>-1.11</v>
      </c>
      <c r="W69" s="36" t="n">
        <v>7.67</v>
      </c>
      <c r="X69" s="36" t="n">
        <v>9.69</v>
      </c>
      <c r="Y69" s="36" t="n">
        <v>-2.02</v>
      </c>
      <c r="Z69" s="36" t="n">
        <v>7.59</v>
      </c>
      <c r="AA69" s="36" t="n">
        <v>6.18</v>
      </c>
      <c r="AB69" s="36" t="n">
        <v>1.41</v>
      </c>
      <c r="AC69" s="36">
        <f>IF(OR(P69="",BL69="",BL69=0),"",P69/BL69)</f>
        <v/>
      </c>
      <c r="AD69" s="36">
        <f>IF(OR(S69="",BL69="",BL69=0),"",S69/BL69)</f>
        <v/>
      </c>
      <c r="AE69" s="36">
        <f>IF(OR(V69="",BL69="",BL69=0),"",V69/BL69)</f>
        <v/>
      </c>
      <c r="AF69" s="36">
        <f>IF(OR(Y69="",BL69="",BL69=0),"",Y69/BL69)</f>
        <v/>
      </c>
      <c r="AG69" s="36">
        <f>IF(OR(AB69="",BL69="",BL69=0),"",AB69/BL69)</f>
        <v/>
      </c>
      <c r="AH69" s="35" t="n">
        <v>1</v>
      </c>
      <c r="AI69" s="35" t="n">
        <v>94</v>
      </c>
      <c r="AJ69" s="35" t="n"/>
      <c r="AK69" s="35" t="n">
        <v>5</v>
      </c>
      <c r="AL69" s="35" t="n"/>
      <c r="AM69" s="35" t="n"/>
      <c r="AN69" s="35" t="n">
        <v>11.3</v>
      </c>
      <c r="AO69" s="35" t="n">
        <v>8.1</v>
      </c>
      <c r="AP69" s="35" t="n"/>
      <c r="AQ69" s="35" t="n"/>
      <c r="AR69" s="35" t="n"/>
      <c r="AS69" s="35" t="n"/>
      <c r="AT69" s="35" t="n"/>
      <c r="AU69" s="35" t="n">
        <v>74.59999999999999</v>
      </c>
      <c r="AV69" s="35" t="n"/>
      <c r="AW69" s="35" t="n"/>
      <c r="AX69" s="35" t="n"/>
      <c r="AY69" s="35" t="n"/>
      <c r="AZ69" s="35" t="n">
        <v>22.8</v>
      </c>
      <c r="BA69" s="35" t="n">
        <v>15.3</v>
      </c>
      <c r="BB69" s="35" t="n">
        <v>35.1</v>
      </c>
      <c r="BC69" s="35" t="n">
        <v>18.4</v>
      </c>
      <c r="BD69" s="35" t="n">
        <v>3.4</v>
      </c>
      <c r="BE69" s="35" t="n"/>
      <c r="BF69" s="35" t="n"/>
      <c r="BG69" s="35" t="n"/>
      <c r="BH69" s="35" t="n"/>
      <c r="BI69" s="35" t="n"/>
      <c r="BJ69" s="35" t="n"/>
      <c r="BK69" s="31" t="inlineStr">
        <is>
          <t>DBS Group Holdings Limited | Taiwan Semiconductor Manufacturing Company Limited | Keppel Limited | CSE Global Limited | Oversea-Chinese Banking Corporation Limited</t>
        </is>
      </c>
      <c r="BL69" s="35" t="n">
        <v>9.1</v>
      </c>
      <c r="BM69" s="34" t="inlineStr">
        <is>
          <t>Moderate</t>
        </is>
      </c>
      <c r="BN69" s="31" t="inlineStr">
        <is>
          <t>Equity Singapore ASEAN</t>
        </is>
      </c>
      <c r="BO69" s="31" t="n"/>
      <c r="BP69" s="37" t="n">
        <v>0.4086</v>
      </c>
      <c r="BQ69" s="34" t="inlineStr">
        <is>
          <t>2025-10-08</t>
        </is>
      </c>
      <c r="BR69" s="37" t="n">
        <v>0.3812</v>
      </c>
      <c r="BS69" s="36" t="n">
        <v>-6.71</v>
      </c>
      <c r="BT69" s="32" t="n">
        <v>180</v>
      </c>
    </row>
    <row r="70" ht="16" customHeight="1">
      <c r="A70" s="22" t="inlineStr">
        <is>
          <t>PUBLIC ISLAMIC ASIA TACTICAL ALLOCATION FUND</t>
        </is>
      </c>
      <c r="B70" s="22" t="inlineStr">
        <is>
          <t>PIATAF</t>
        </is>
      </c>
      <c r="C70" s="22" t="inlineStr">
        <is>
          <t>Shariah</t>
        </is>
      </c>
      <c r="D70" s="22" t="inlineStr">
        <is>
          <t>Mixed Asset / Balanced</t>
        </is>
      </c>
      <c r="E70" s="22" t="inlineStr">
        <is>
          <t>Asia</t>
        </is>
      </c>
      <c r="F70" s="23" t="inlineStr">
        <is>
          <t>Capital Growth</t>
        </is>
      </c>
      <c r="G70" s="24" t="n">
        <v>5</v>
      </c>
      <c r="H70" s="23" t="inlineStr">
        <is>
          <t>Incidental</t>
        </is>
      </c>
      <c r="I70" s="25" t="n">
        <v>3164.64</v>
      </c>
      <c r="J70" s="26" t="inlineStr">
        <is>
          <t>21.08.2007</t>
        </is>
      </c>
      <c r="K70" s="26" t="inlineStr">
        <is>
          <t>Qualified</t>
        </is>
      </c>
      <c r="L70" s="27" t="n">
        <v>100</v>
      </c>
      <c r="M70" s="26" t="inlineStr">
        <is>
          <t>5/5</t>
        </is>
      </c>
      <c r="N70" s="28" t="n">
        <v>31.59</v>
      </c>
      <c r="O70" s="28" t="n">
        <v>14.91</v>
      </c>
      <c r="P70" s="28" t="n">
        <v>16.68</v>
      </c>
      <c r="Q70" s="28" t="n">
        <v>68.79000000000001</v>
      </c>
      <c r="R70" s="28" t="n">
        <v>29.51</v>
      </c>
      <c r="S70" s="28" t="n">
        <v>39.28</v>
      </c>
      <c r="T70" s="28" t="n">
        <v>30.11</v>
      </c>
      <c r="U70" s="28" t="n">
        <v>13.41</v>
      </c>
      <c r="V70" s="28" t="n">
        <v>16.7</v>
      </c>
      <c r="W70" s="28" t="n">
        <v>10.9</v>
      </c>
      <c r="X70" s="28" t="n">
        <v>3.57</v>
      </c>
      <c r="Y70" s="28" t="n">
        <v>7.33</v>
      </c>
      <c r="Z70" s="28" t="n">
        <v>12.94</v>
      </c>
      <c r="AA70" s="28" t="n">
        <v>7.69</v>
      </c>
      <c r="AB70" s="28" t="n">
        <v>5.25</v>
      </c>
      <c r="AC70" s="28">
        <f>IF(OR(P70="",BL70="",BL70=0),"",P70/BL70)</f>
        <v/>
      </c>
      <c r="AD70" s="28">
        <f>IF(OR(S70="",BL70="",BL70=0),"",S70/BL70)</f>
        <v/>
      </c>
      <c r="AE70" s="28">
        <f>IF(OR(V70="",BL70="",BL70=0),"",V70/BL70)</f>
        <v/>
      </c>
      <c r="AF70" s="28">
        <f>IF(OR(Y70="",BL70="",BL70=0),"",Y70/BL70)</f>
        <v/>
      </c>
      <c r="AG70" s="28">
        <f>IF(OR(AB70="",BL70="",BL70=0),"",AB70/BL70)</f>
        <v/>
      </c>
      <c r="AH70" s="27" t="n"/>
      <c r="AI70" s="27" t="n">
        <v>97.8</v>
      </c>
      <c r="AJ70" s="27" t="n"/>
      <c r="AK70" s="27" t="n">
        <v>2.2</v>
      </c>
      <c r="AL70" s="27" t="n"/>
      <c r="AM70" s="27" t="n"/>
      <c r="AN70" s="27" t="n"/>
      <c r="AO70" s="27" t="n">
        <v>54.7</v>
      </c>
      <c r="AP70" s="27" t="n">
        <v>34.9</v>
      </c>
      <c r="AQ70" s="27" t="n">
        <v>1.9</v>
      </c>
      <c r="AR70" s="27" t="n"/>
      <c r="AS70" s="27" t="n"/>
      <c r="AT70" s="27" t="n">
        <v>6.3</v>
      </c>
      <c r="AU70" s="27" t="n"/>
      <c r="AV70" s="27" t="n"/>
      <c r="AW70" s="27" t="n"/>
      <c r="AX70" s="27" t="n"/>
      <c r="AY70" s="27" t="n"/>
      <c r="AZ70" s="27" t="n">
        <v>40.4</v>
      </c>
      <c r="BA70" s="27" t="n">
        <v>49</v>
      </c>
      <c r="BB70" s="27" t="n"/>
      <c r="BC70" s="27" t="n">
        <v>8.4</v>
      </c>
      <c r="BD70" s="27" t="n"/>
      <c r="BE70" s="27" t="n"/>
      <c r="BF70" s="27" t="n"/>
      <c r="BG70" s="27" t="n"/>
      <c r="BH70" s="27" t="n"/>
      <c r="BI70" s="27" t="n"/>
      <c r="BJ70" s="27" t="n"/>
      <c r="BK70" s="23" t="inlineStr">
        <is>
          <t>Samsung Electronics Company Limited | SK Hynix Incorporated | Taiwan Semiconductor Manufacturing Company Limited | HD Hyundai Electric Company Limited | Unimicron Technology Corporation</t>
        </is>
      </c>
      <c r="BL70" s="27" t="n">
        <v>21.1</v>
      </c>
      <c r="BM70" s="26" t="inlineStr">
        <is>
          <t>Very High</t>
        </is>
      </c>
      <c r="BN70" s="23" t="inlineStr">
        <is>
          <t>Mixed Asset MYR Asia</t>
        </is>
      </c>
      <c r="BO70"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P70" s="29" t="n">
        <v>0.9506</v>
      </c>
      <c r="BQ70" s="26" t="inlineStr">
        <is>
          <t>2026-02-26</t>
        </is>
      </c>
      <c r="BR70" s="29" t="n">
        <v>0.884</v>
      </c>
      <c r="BS70" s="28" t="n">
        <v>-7.01</v>
      </c>
      <c r="BT70" s="24" t="n">
        <v>39</v>
      </c>
    </row>
    <row r="71" ht="16" customHeight="1">
      <c r="A71" s="34" t="inlineStr">
        <is>
          <t>PUBLIC e-FLEXI ALLOCATION FUND</t>
        </is>
      </c>
      <c r="B71" s="34" t="inlineStr">
        <is>
          <t>PeFAF</t>
        </is>
      </c>
      <c r="C71" s="34" t="inlineStr">
        <is>
          <t>Conventional</t>
        </is>
      </c>
      <c r="D71" s="34" t="inlineStr">
        <is>
          <t>Mixed Asset / Balanced</t>
        </is>
      </c>
      <c r="E71" s="34" t="inlineStr">
        <is>
          <t>Malaysia</t>
        </is>
      </c>
      <c r="F71" s="31" t="inlineStr">
        <is>
          <t>Capital Growth + Income</t>
        </is>
      </c>
      <c r="G71" s="32" t="n">
        <v>5</v>
      </c>
      <c r="H71" s="31" t="inlineStr">
        <is>
          <t>Incidental</t>
        </is>
      </c>
      <c r="I71" s="33" t="n">
        <v>142.64</v>
      </c>
      <c r="J71" s="34" t="inlineStr">
        <is>
          <t>14.07.2017</t>
        </is>
      </c>
      <c r="K71" s="34" t="inlineStr">
        <is>
          <t>Qualified</t>
        </is>
      </c>
      <c r="L71" s="35" t="n">
        <v>100</v>
      </c>
      <c r="M71" s="34" t="inlineStr">
        <is>
          <t>4/4</t>
        </is>
      </c>
      <c r="N71" s="36" t="n">
        <v>2.21</v>
      </c>
      <c r="O71" s="36" t="n">
        <v>1.69</v>
      </c>
      <c r="P71" s="36" t="n">
        <v>0.52</v>
      </c>
      <c r="Q71" s="36" t="n">
        <v>11.31</v>
      </c>
      <c r="R71" s="36" t="n">
        <v>7.44</v>
      </c>
      <c r="S71" s="36" t="n">
        <v>3.87</v>
      </c>
      <c r="T71" s="36" t="n">
        <v>9.710000000000001</v>
      </c>
      <c r="U71" s="36" t="n">
        <v>5.14</v>
      </c>
      <c r="V71" s="36" t="n">
        <v>4.57</v>
      </c>
      <c r="W71" s="36" t="n">
        <v>4.44</v>
      </c>
      <c r="X71" s="36" t="n">
        <v>2.22</v>
      </c>
      <c r="Y71" s="36" t="n">
        <v>2.22</v>
      </c>
      <c r="Z71" s="36" t="n"/>
      <c r="AA71" s="36" t="n"/>
      <c r="AB71" s="36" t="n"/>
      <c r="AC71" s="36">
        <f>IF(OR(P71="",BL71="",BL71=0),"",P71/BL71)</f>
        <v/>
      </c>
      <c r="AD71" s="36">
        <f>IF(OR(S71="",BL71="",BL71=0),"",S71/BL71)</f>
        <v/>
      </c>
      <c r="AE71" s="36">
        <f>IF(OR(V71="",BL71="",BL71=0),"",V71/BL71)</f>
        <v/>
      </c>
      <c r="AF71" s="36">
        <f>IF(OR(Y71="",BL71="",BL71=0),"",Y71/BL71)</f>
        <v/>
      </c>
      <c r="AG71" s="36">
        <f>IF(OR(AB71="",BL71="",BL71=0),"",AB71/BL71)</f>
        <v/>
      </c>
      <c r="AH71" s="35" t="n">
        <v>64</v>
      </c>
      <c r="AI71" s="35" t="n">
        <v>25.2</v>
      </c>
      <c r="AJ71" s="35" t="n"/>
      <c r="AK71" s="35" t="n">
        <v>10.8</v>
      </c>
      <c r="AL71" s="35" t="n"/>
      <c r="AM71" s="35" t="n"/>
      <c r="AN71" s="35" t="n">
        <v>13.3</v>
      </c>
      <c r="AO71" s="35" t="n">
        <v>7.2</v>
      </c>
      <c r="AP71" s="35" t="n">
        <v>4.7</v>
      </c>
      <c r="AQ71" s="35" t="n"/>
      <c r="AR71" s="35" t="n"/>
      <c r="AS71" s="35" t="n"/>
      <c r="AT71" s="35" t="n"/>
      <c r="AU71" s="35" t="n"/>
      <c r="AV71" s="35" t="n"/>
      <c r="AW71" s="35" t="n"/>
      <c r="AX71" s="35" t="n"/>
      <c r="AY71" s="35" t="n"/>
      <c r="AZ71" s="35" t="n">
        <v>24.3</v>
      </c>
      <c r="BA71" s="35" t="n">
        <v>11.9</v>
      </c>
      <c r="BB71" s="35" t="n">
        <v>18.4</v>
      </c>
      <c r="BC71" s="35" t="n">
        <v>14.7</v>
      </c>
      <c r="BD71" s="35" t="n"/>
      <c r="BE71" s="35" t="n"/>
      <c r="BF71" s="35" t="n">
        <v>10</v>
      </c>
      <c r="BG71" s="35" t="n"/>
      <c r="BH71" s="35" t="n"/>
      <c r="BI71" s="35" t="n"/>
      <c r="BJ71" s="35" t="n"/>
      <c r="BK71" s="31" t="inlineStr">
        <is>
          <t>Malayan Banking Berhad | Tenaga Nasional Berhad | Taiwan Semiconductor Manufacturing Company Limited | Gamuda Berhad | HD Hyundai Electric Company Limited</t>
        </is>
      </c>
      <c r="BL71" s="35" t="n">
        <v>10.7</v>
      </c>
      <c r="BM71" s="34" t="inlineStr">
        <is>
          <t>High</t>
        </is>
      </c>
      <c r="BN71" s="31" t="inlineStr">
        <is>
          <t>Mixed Asset MYR Domestic 30% of the fund’s NAV</t>
        </is>
      </c>
      <c r="BO71" s="31" t="inlineStr">
        <is>
          <t>ThebenchmarkforPeFAFisacompositeof70%FTSEBursaMalaysiaKLCIand 30% 3-Month Kuala Lumpur Interbank Offered Rate (KLIBOR). Underlying index data are sourced from Lipper and Bank Negara Malaysia.</t>
        </is>
      </c>
      <c r="BP71" s="37" t="n">
        <v>0.453</v>
      </c>
      <c r="BQ71" s="34" t="inlineStr">
        <is>
          <t>2024-07-11</t>
        </is>
      </c>
      <c r="BR71" s="37" t="n">
        <v>0.4173</v>
      </c>
      <c r="BS71" s="36" t="n">
        <v>-7.88</v>
      </c>
      <c r="BT71" s="32" t="n">
        <v>634</v>
      </c>
    </row>
    <row r="72" ht="16" customHeight="1">
      <c r="A72" s="22" t="inlineStr">
        <is>
          <t>PUBLIC ISLAMIC MIXED ASSET FUND</t>
        </is>
      </c>
      <c r="B72" s="22" t="inlineStr">
        <is>
          <t>PIMXAF</t>
        </is>
      </c>
      <c r="C72" s="22" t="inlineStr">
        <is>
          <t>Shariah</t>
        </is>
      </c>
      <c r="D72" s="22" t="inlineStr">
        <is>
          <t>Mixed Asset / Balanced</t>
        </is>
      </c>
      <c r="E72" s="22" t="inlineStr">
        <is>
          <t>Malaysia</t>
        </is>
      </c>
      <c r="F72" s="23" t="inlineStr">
        <is>
          <t>Capital Growth</t>
        </is>
      </c>
      <c r="G72" s="24" t="n">
        <v>4</v>
      </c>
      <c r="H72" s="23" t="inlineStr">
        <is>
          <t>Incidental</t>
        </is>
      </c>
      <c r="I72" s="25" t="n">
        <v>1363.56</v>
      </c>
      <c r="J72" s="26" t="inlineStr">
        <is>
          <t>20.09.2005</t>
        </is>
      </c>
      <c r="K72" s="26" t="inlineStr">
        <is>
          <t>Qualified</t>
        </is>
      </c>
      <c r="L72" s="27" t="n">
        <v>80</v>
      </c>
      <c r="M72" s="26" t="inlineStr">
        <is>
          <t>4/5</t>
        </is>
      </c>
      <c r="N72" s="28" t="n">
        <v>-0.48</v>
      </c>
      <c r="O72" s="28" t="n">
        <v>0.86</v>
      </c>
      <c r="P72" s="28" t="n">
        <v>-1.34</v>
      </c>
      <c r="Q72" s="28" t="n">
        <v>8.25</v>
      </c>
      <c r="R72" s="28" t="n">
        <v>6.1</v>
      </c>
      <c r="S72" s="28" t="n">
        <v>2.15</v>
      </c>
      <c r="T72" s="28" t="n">
        <v>10.62</v>
      </c>
      <c r="U72" s="28" t="n">
        <v>4.13</v>
      </c>
      <c r="V72" s="28" t="n">
        <v>6.49</v>
      </c>
      <c r="W72" s="28" t="n">
        <v>3.29</v>
      </c>
      <c r="X72" s="28" t="n">
        <v>0.2</v>
      </c>
      <c r="Y72" s="28" t="n">
        <v>3.09</v>
      </c>
      <c r="Z72" s="28" t="n">
        <v>4.08</v>
      </c>
      <c r="AA72" s="28" t="n">
        <v>1.08</v>
      </c>
      <c r="AB72" s="28" t="n">
        <v>3</v>
      </c>
      <c r="AC72" s="28">
        <f>IF(OR(P72="",BL72="",BL72=0),"",P72/BL72)</f>
        <v/>
      </c>
      <c r="AD72" s="28">
        <f>IF(OR(S72="",BL72="",BL72=0),"",S72/BL72)</f>
        <v/>
      </c>
      <c r="AE72" s="28">
        <f>IF(OR(V72="",BL72="",BL72=0),"",V72/BL72)</f>
        <v/>
      </c>
      <c r="AF72" s="28">
        <f>IF(OR(Y72="",BL72="",BL72=0),"",Y72/BL72)</f>
        <v/>
      </c>
      <c r="AG72" s="28">
        <f>IF(OR(AB72="",BL72="",BL72=0),"",AB72/BL72)</f>
        <v/>
      </c>
      <c r="AH72" s="27" t="n">
        <v>43.3</v>
      </c>
      <c r="AI72" s="27" t="n">
        <v>21.6</v>
      </c>
      <c r="AJ72" s="27" t="n">
        <v>30.4</v>
      </c>
      <c r="AK72" s="27" t="n">
        <v>4.7</v>
      </c>
      <c r="AL72" s="27" t="n"/>
      <c r="AM72" s="27" t="n"/>
      <c r="AN72" s="27" t="n">
        <v>8.300000000000001</v>
      </c>
      <c r="AO72" s="27" t="n">
        <v>4</v>
      </c>
      <c r="AP72" s="27" t="n">
        <v>5.9</v>
      </c>
      <c r="AQ72" s="27" t="n"/>
      <c r="AR72" s="27" t="n"/>
      <c r="AS72" s="27" t="n"/>
      <c r="AT72" s="27" t="n">
        <v>3.4</v>
      </c>
      <c r="AU72" s="27" t="n"/>
      <c r="AV72" s="27" t="n"/>
      <c r="AW72" s="27" t="n"/>
      <c r="AX72" s="27" t="n"/>
      <c r="AY72" s="27" t="n"/>
      <c r="AZ72" s="27" t="n">
        <v>20.4</v>
      </c>
      <c r="BA72" s="27" t="n"/>
      <c r="BB72" s="27" t="n"/>
      <c r="BC72" s="27" t="n">
        <v>14.8</v>
      </c>
      <c r="BD72" s="27" t="n"/>
      <c r="BE72" s="27" t="n">
        <v>7.8</v>
      </c>
      <c r="BF72" s="27" t="n">
        <v>9.800000000000001</v>
      </c>
      <c r="BG72" s="27" t="n"/>
      <c r="BH72" s="27" t="n">
        <v>6.3</v>
      </c>
      <c r="BI72" s="27" t="n"/>
      <c r="BJ72" s="27" t="n"/>
      <c r="BK72" s="23" t="inlineStr">
        <is>
          <t>Tenaga Nasional Berhad | Press Metal Aluminium Holdings Berhad | HD Hyundai Electric Company Limited | Telekom Malaysia Berhad | IHH Healthcare Berhad</t>
        </is>
      </c>
      <c r="BL72" s="27" t="n">
        <v>7.4</v>
      </c>
      <c r="BM72" s="26" t="inlineStr">
        <is>
          <t>Low</t>
        </is>
      </c>
      <c r="BN72" s="23" t="inlineStr">
        <is>
          <t>Mixed Asset MYR</t>
        </is>
      </c>
      <c r="BO72" s="23" t="inlineStr">
        <is>
          <t>ThebenchmarkforPIMXAFisacompositeof70%FTSEBursaMalaysiaEMAS ShariahIndexand30%3-MonthIslamicInterbankMoneyMarket(IIMM)rate(w.e.f. 12 December 2011). Underlying index data are sourced from Lipper and Bank Negara Malaysia.</t>
        </is>
      </c>
      <c r="BP72" s="29" t="n">
        <v>0.3662</v>
      </c>
      <c r="BQ72" s="26" t="inlineStr">
        <is>
          <t>2025-11-03</t>
        </is>
      </c>
      <c r="BR72" s="29" t="n">
        <v>0.3456</v>
      </c>
      <c r="BS72" s="28" t="n">
        <v>-5.63</v>
      </c>
      <c r="BT72" s="24" t="n">
        <v>154</v>
      </c>
    </row>
    <row r="73" ht="16" customHeight="1">
      <c r="A73" s="34" t="inlineStr">
        <is>
          <t>PUBLIC TACTICAL ALLOCATION FUND</t>
        </is>
      </c>
      <c r="B73" s="34" t="inlineStr">
        <is>
          <t>PTAF</t>
        </is>
      </c>
      <c r="C73" s="34" t="inlineStr">
        <is>
          <t>Conventional</t>
        </is>
      </c>
      <c r="D73" s="34" t="inlineStr">
        <is>
          <t>Mixed Asset / Balanced</t>
        </is>
      </c>
      <c r="E73" s="34" t="inlineStr">
        <is>
          <t>Malaysia</t>
        </is>
      </c>
      <c r="F73" s="31" t="inlineStr">
        <is>
          <t>Capital Growth + Income</t>
        </is>
      </c>
      <c r="G73" s="32" t="n">
        <v>5</v>
      </c>
      <c r="H73" s="31" t="inlineStr">
        <is>
          <t>Incidental</t>
        </is>
      </c>
      <c r="I73" s="33" t="n">
        <v>581.84</v>
      </c>
      <c r="J73" s="34" t="inlineStr">
        <is>
          <t>23.01.2007</t>
        </is>
      </c>
      <c r="K73" s="34" t="inlineStr">
        <is>
          <t>Qualified</t>
        </is>
      </c>
      <c r="L73" s="35" t="n">
        <v>80</v>
      </c>
      <c r="M73" s="34" t="inlineStr">
        <is>
          <t>4/5</t>
        </is>
      </c>
      <c r="N73" s="36" t="n">
        <v>8.49</v>
      </c>
      <c r="O73" s="36" t="n">
        <v>0.68</v>
      </c>
      <c r="P73" s="36" t="n">
        <v>7.81</v>
      </c>
      <c r="Q73" s="36" t="n">
        <v>12.84</v>
      </c>
      <c r="R73" s="36" t="n">
        <v>9.31</v>
      </c>
      <c r="S73" s="36" t="n">
        <v>3.53</v>
      </c>
      <c r="T73" s="36" t="n">
        <v>14.95</v>
      </c>
      <c r="U73" s="36" t="n">
        <v>8.869999999999999</v>
      </c>
      <c r="V73" s="36" t="n">
        <v>6.08</v>
      </c>
      <c r="W73" s="36" t="n">
        <v>-1.32</v>
      </c>
      <c r="X73" s="36" t="n">
        <v>1.07</v>
      </c>
      <c r="Y73" s="36" t="n">
        <v>-2.39</v>
      </c>
      <c r="Z73" s="36" t="n">
        <v>6.39</v>
      </c>
      <c r="AA73" s="36" t="n">
        <v>5.75</v>
      </c>
      <c r="AB73" s="36" t="n">
        <v>0.64</v>
      </c>
      <c r="AC73" s="36">
        <f>IF(OR(P73="",BL73="",BL73=0),"",P73/BL73)</f>
        <v/>
      </c>
      <c r="AD73" s="36">
        <f>IF(OR(S73="",BL73="",BL73=0),"",S73/BL73)</f>
        <v/>
      </c>
      <c r="AE73" s="36">
        <f>IF(OR(V73="",BL73="",BL73=0),"",V73/BL73)</f>
        <v/>
      </c>
      <c r="AF73" s="36">
        <f>IF(OR(Y73="",BL73="",BL73=0),"",Y73/BL73)</f>
        <v/>
      </c>
      <c r="AG73" s="36">
        <f>IF(OR(AB73="",BL73="",BL73=0),"",AB73/BL73)</f>
        <v/>
      </c>
      <c r="AH73" s="35" t="n"/>
      <c r="AI73" s="35" t="n">
        <v>83.3</v>
      </c>
      <c r="AJ73" s="35" t="n"/>
      <c r="AK73" s="35" t="n">
        <v>16.7</v>
      </c>
      <c r="AL73" s="35" t="n"/>
      <c r="AM73" s="35" t="n"/>
      <c r="AN73" s="35" t="n">
        <v>15.1</v>
      </c>
      <c r="AO73" s="35" t="n">
        <v>32.9</v>
      </c>
      <c r="AP73" s="35" t="n">
        <v>24.5</v>
      </c>
      <c r="AQ73" s="35" t="n"/>
      <c r="AR73" s="35" t="n"/>
      <c r="AS73" s="35" t="n"/>
      <c r="AT73" s="35" t="n">
        <v>10.8</v>
      </c>
      <c r="AU73" s="35" t="n"/>
      <c r="AV73" s="35" t="n"/>
      <c r="AW73" s="35" t="n"/>
      <c r="AX73" s="35" t="n"/>
      <c r="AY73" s="35" t="n"/>
      <c r="AZ73" s="35" t="n">
        <v>21.3</v>
      </c>
      <c r="BA73" s="35" t="n">
        <v>47.2</v>
      </c>
      <c r="BB73" s="35" t="n"/>
      <c r="BC73" s="35" t="n">
        <v>12.4</v>
      </c>
      <c r="BD73" s="35" t="n">
        <v>2.4</v>
      </c>
      <c r="BE73" s="35" t="n"/>
      <c r="BF73" s="35" t="n"/>
      <c r="BG73" s="35" t="n"/>
      <c r="BH73" s="35" t="n"/>
      <c r="BI73" s="35" t="n"/>
      <c r="BJ73" s="35" t="n"/>
      <c r="BK73" s="31" t="inlineStr">
        <is>
          <t>SK Hynix Incorporated | Taiwan Semiconductor Manufacturing Company Limited | Hon.Precision Incorporated | Samsung Electronics Company Limited | HD Hyundai Electric Company Limited</t>
        </is>
      </c>
      <c r="BL73" s="35" t="n">
        <v>18.5</v>
      </c>
      <c r="BM73" s="34" t="inlineStr">
        <is>
          <t>Very High</t>
        </is>
      </c>
      <c r="BN73" s="31" t="inlineStr">
        <is>
          <t>Mixed Asset MYR Flexible Global</t>
        </is>
      </c>
      <c r="BO73" s="31"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P73" s="37" t="n">
        <v>0.5608</v>
      </c>
      <c r="BQ73" s="34" t="inlineStr">
        <is>
          <t>2021-02-17</t>
        </is>
      </c>
      <c r="BR73" s="37" t="n">
        <v>0.4121</v>
      </c>
      <c r="BS73" s="36" t="n">
        <v>-26.52</v>
      </c>
      <c r="BT73" s="32" t="n">
        <v>1874</v>
      </c>
    </row>
    <row r="74" ht="16" customHeight="1">
      <c r="A74" s="26" t="inlineStr">
        <is>
          <t>PUBLIC FAR-EAST BALANCED FUND</t>
        </is>
      </c>
      <c r="B74" s="26" t="inlineStr">
        <is>
          <t>PFEBF</t>
        </is>
      </c>
      <c r="C74" s="26" t="inlineStr">
        <is>
          <t>Conventional</t>
        </is>
      </c>
      <c r="D74" s="26" t="inlineStr">
        <is>
          <t>Mixed Asset / Balanced</t>
        </is>
      </c>
      <c r="E74" s="26" t="inlineStr">
        <is>
          <t>Asia Pacific</t>
        </is>
      </c>
      <c r="F74" s="23" t="inlineStr">
        <is>
          <t>Capital Growth + Income</t>
        </is>
      </c>
      <c r="G74" s="24" t="n">
        <v>4</v>
      </c>
      <c r="H74" s="23" t="inlineStr">
        <is>
          <t>Incidental</t>
        </is>
      </c>
      <c r="I74" s="25" t="n">
        <v>220.09</v>
      </c>
      <c r="J74" s="26" t="inlineStr">
        <is>
          <t>23.01.2007</t>
        </is>
      </c>
      <c r="K74" s="26" t="inlineStr">
        <is>
          <t>Qualified</t>
        </is>
      </c>
      <c r="L74" s="27" t="n">
        <v>80</v>
      </c>
      <c r="M74" s="26" t="inlineStr">
        <is>
          <t>4/5</t>
        </is>
      </c>
      <c r="N74" s="28" t="n">
        <v>8.550000000000001</v>
      </c>
      <c r="O74" s="28" t="n">
        <v>7.23</v>
      </c>
      <c r="P74" s="28" t="n">
        <v>1.32</v>
      </c>
      <c r="Q74" s="28" t="n">
        <v>19.15</v>
      </c>
      <c r="R74" s="28" t="n">
        <v>18.41</v>
      </c>
      <c r="S74" s="28" t="n">
        <v>0.74</v>
      </c>
      <c r="T74" s="28" t="n">
        <v>11.29</v>
      </c>
      <c r="U74" s="28" t="n">
        <v>10.7</v>
      </c>
      <c r="V74" s="28" t="n">
        <v>0.59</v>
      </c>
      <c r="W74" s="28" t="n">
        <v>2.73</v>
      </c>
      <c r="X74" s="28" t="n">
        <v>2.91</v>
      </c>
      <c r="Y74" s="28" t="n">
        <v>-0.18</v>
      </c>
      <c r="Z74" s="28" t="n">
        <v>6.44</v>
      </c>
      <c r="AA74" s="28" t="n">
        <v>6.22</v>
      </c>
      <c r="AB74" s="28" t="n">
        <v>0.22</v>
      </c>
      <c r="AC74" s="28">
        <f>IF(OR(P74="",BL74="",BL74=0),"",P74/BL74)</f>
        <v/>
      </c>
      <c r="AD74" s="28">
        <f>IF(OR(S74="",BL74="",BL74=0),"",S74/BL74)</f>
        <v/>
      </c>
      <c r="AE74" s="28">
        <f>IF(OR(V74="",BL74="",BL74=0),"",V74/BL74)</f>
        <v/>
      </c>
      <c r="AF74" s="28">
        <f>IF(OR(Y74="",BL74="",BL74=0),"",Y74/BL74)</f>
        <v/>
      </c>
      <c r="AG74" s="28">
        <f>IF(OR(AB74="",BL74="",BL74=0),"",AB74/BL74)</f>
        <v/>
      </c>
      <c r="AH74" s="27" t="n">
        <v>1.1</v>
      </c>
      <c r="AI74" s="27" t="n">
        <v>55.1</v>
      </c>
      <c r="AJ74" s="27" t="n">
        <v>32.7</v>
      </c>
      <c r="AK74" s="27" t="n">
        <v>11.1</v>
      </c>
      <c r="AL74" s="27" t="n"/>
      <c r="AM74" s="27" t="n"/>
      <c r="AN74" s="27" t="n">
        <v>2.3</v>
      </c>
      <c r="AO74" s="27" t="n">
        <v>17.6</v>
      </c>
      <c r="AP74" s="27" t="n">
        <v>19.8</v>
      </c>
      <c r="AQ74" s="27" t="n"/>
      <c r="AR74" s="27" t="n"/>
      <c r="AS74" s="27" t="n"/>
      <c r="AT74" s="27" t="n">
        <v>15.4</v>
      </c>
      <c r="AU74" s="27" t="n"/>
      <c r="AV74" s="27" t="n"/>
      <c r="AW74" s="27" t="n"/>
      <c r="AX74" s="27" t="n"/>
      <c r="AY74" s="27" t="n"/>
      <c r="AZ74" s="27" t="n">
        <v>11.7</v>
      </c>
      <c r="BA74" s="27" t="n">
        <v>28.7</v>
      </c>
      <c r="BB74" s="27" t="n">
        <v>1</v>
      </c>
      <c r="BC74" s="27" t="n">
        <v>13.6</v>
      </c>
      <c r="BD74" s="27" t="n">
        <v>1.2</v>
      </c>
      <c r="BE74" s="27" t="n"/>
      <c r="BF74" s="27" t="n"/>
      <c r="BG74" s="27" t="n"/>
      <c r="BH74" s="27" t="n"/>
      <c r="BI74" s="27" t="n"/>
      <c r="BJ74" s="27" t="n"/>
      <c r="BK74" s="23" t="inlineStr">
        <is>
          <t>Taiwan Semiconductor Manufacturing Company Limited | Alibaba Group Holding Limited - W | SK Hynix Incorporated | Samsung Electronics Company Limited | HD Hyundai Electric Company Limited</t>
        </is>
      </c>
      <c r="BL74" s="27" t="n">
        <v>10.8</v>
      </c>
      <c r="BM74" s="26" t="inlineStr">
        <is>
          <t>High</t>
        </is>
      </c>
      <c r="BN74" s="23" t="inlineStr">
        <is>
          <t>Asia</t>
        </is>
      </c>
      <c r="BO74" s="23"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P74" s="29" t="n">
        <v>0.3969</v>
      </c>
      <c r="BQ74" s="26" t="inlineStr">
        <is>
          <t>2021-02-17</t>
        </is>
      </c>
      <c r="BR74" s="29" t="n">
        <v>0.3742</v>
      </c>
      <c r="BS74" s="28" t="n">
        <v>-5.72</v>
      </c>
      <c r="BT74" s="24" t="n">
        <v>1874</v>
      </c>
    </row>
    <row r="75" ht="16" customHeight="1">
      <c r="A75" s="30" t="inlineStr">
        <is>
          <t>PUBLIC e-ISLAMIC FLEXI ALLOCATION FUND</t>
        </is>
      </c>
      <c r="B75" s="30" t="inlineStr">
        <is>
          <t>PeIFAF</t>
        </is>
      </c>
      <c r="C75" s="30" t="inlineStr">
        <is>
          <t>Shariah</t>
        </is>
      </c>
      <c r="D75" s="30" t="inlineStr">
        <is>
          <t>Mixed Asset / Balanced</t>
        </is>
      </c>
      <c r="E75" s="30" t="inlineStr">
        <is>
          <t>Malaysia</t>
        </is>
      </c>
      <c r="F75" s="31" t="inlineStr">
        <is>
          <t>Capital Growth</t>
        </is>
      </c>
      <c r="G75" s="32" t="n">
        <v>4</v>
      </c>
      <c r="H75" s="31" t="inlineStr">
        <is>
          <t>Incidental</t>
        </is>
      </c>
      <c r="I75" s="33" t="n">
        <v>46.57</v>
      </c>
      <c r="J75" s="34" t="inlineStr">
        <is>
          <t>03.04.2018</t>
        </is>
      </c>
      <c r="K75" s="34" t="inlineStr">
        <is>
          <t>Qualified</t>
        </is>
      </c>
      <c r="L75" s="35" t="n">
        <v>75</v>
      </c>
      <c r="M75" s="34" t="inlineStr">
        <is>
          <t>3/4</t>
        </is>
      </c>
      <c r="N75" s="36" t="n">
        <v>-0.96</v>
      </c>
      <c r="O75" s="36" t="n">
        <v>0.13</v>
      </c>
      <c r="P75" s="36" t="n">
        <v>-1.09</v>
      </c>
      <c r="Q75" s="36" t="n">
        <v>10.26</v>
      </c>
      <c r="R75" s="36" t="n">
        <v>6.48</v>
      </c>
      <c r="S75" s="36" t="n">
        <v>3.78</v>
      </c>
      <c r="T75" s="36" t="n">
        <v>8.65</v>
      </c>
      <c r="U75" s="36" t="n">
        <v>4.55</v>
      </c>
      <c r="V75" s="36" t="n">
        <v>4.1</v>
      </c>
      <c r="W75" s="36" t="n">
        <v>1.55</v>
      </c>
      <c r="X75" s="36" t="n">
        <v>0.72</v>
      </c>
      <c r="Y75" s="36" t="n">
        <v>0.83</v>
      </c>
      <c r="Z75" s="36" t="n"/>
      <c r="AA75" s="36" t="n"/>
      <c r="AB75" s="36" t="n"/>
      <c r="AC75" s="36">
        <f>IF(OR(P75="",BL75="",BL75=0),"",P75/BL75)</f>
        <v/>
      </c>
      <c r="AD75" s="36">
        <f>IF(OR(S75="",BL75="",BL75=0),"",S75/BL75)</f>
        <v/>
      </c>
      <c r="AE75" s="36">
        <f>IF(OR(V75="",BL75="",BL75=0),"",V75/BL75)</f>
        <v/>
      </c>
      <c r="AF75" s="36">
        <f>IF(OR(Y75="",BL75="",BL75=0),"",Y75/BL75)</f>
        <v/>
      </c>
      <c r="AG75" s="36">
        <f>IF(OR(AB75="",BL75="",BL75=0),"",AB75/BL75)</f>
        <v/>
      </c>
      <c r="AH75" s="35" t="n">
        <v>23.7</v>
      </c>
      <c r="AI75" s="35" t="n">
        <v>70.40000000000001</v>
      </c>
      <c r="AJ75" s="35" t="n"/>
      <c r="AK75" s="35" t="n">
        <v>5.9</v>
      </c>
      <c r="AL75" s="35" t="n"/>
      <c r="AM75" s="35" t="n"/>
      <c r="AN75" s="35" t="n">
        <v>16.3</v>
      </c>
      <c r="AO75" s="35" t="n">
        <v>7.4</v>
      </c>
      <c r="AP75" s="35" t="n"/>
      <c r="AQ75" s="35" t="n"/>
      <c r="AR75" s="35" t="n"/>
      <c r="AS75" s="35" t="n"/>
      <c r="AT75" s="35" t="n"/>
      <c r="AU75" s="35" t="n"/>
      <c r="AV75" s="35" t="n"/>
      <c r="AW75" s="35" t="n"/>
      <c r="AX75" s="35" t="n"/>
      <c r="AY75" s="35" t="n"/>
      <c r="AZ75" s="35" t="n">
        <v>24.3</v>
      </c>
      <c r="BA75" s="35" t="n">
        <v>11.6</v>
      </c>
      <c r="BB75" s="35" t="n"/>
      <c r="BC75" s="35" t="n">
        <v>24.2</v>
      </c>
      <c r="BD75" s="35" t="n">
        <v>10.1</v>
      </c>
      <c r="BE75" s="35" t="n"/>
      <c r="BF75" s="35" t="n">
        <v>10.5</v>
      </c>
      <c r="BG75" s="35" t="n"/>
      <c r="BH75" s="35" t="n"/>
      <c r="BI75" s="35" t="n"/>
      <c r="BJ75" s="35" t="n"/>
      <c r="BK75" s="31" t="inlineStr">
        <is>
          <t>Tenaga Nasional Berhad | Telekom Malaysia Berhad | Malayan Cement Berhad | Taiwan Semiconductor Manufacturing Company Limited | Frontken Corporation Berhad</t>
        </is>
      </c>
      <c r="BL75" s="35" t="n">
        <v>9.4</v>
      </c>
      <c r="BM75" s="34" t="inlineStr">
        <is>
          <t>Moderate</t>
        </is>
      </c>
      <c r="BN75" s="31" t="inlineStr">
        <is>
          <t>Mixed Asset MYR Domestic</t>
        </is>
      </c>
      <c r="BO75" s="31" t="inlineStr">
        <is>
          <t>The benchmark for PeIFAF is a composite of 70% FTSE Bursa Malaysia Hijrah Shariah Index and 30% 3-Month Islamic Interbank Money Market (IIMM) rate. Underlying index data are sourced from Lipper and Bank Negara Malaysia.</t>
        </is>
      </c>
      <c r="BP75" s="37" t="n">
        <v>0.404</v>
      </c>
      <c r="BQ75" s="34" t="inlineStr">
        <is>
          <t>2025-10-29</t>
        </is>
      </c>
      <c r="BR75" s="37" t="n">
        <v>0.3727</v>
      </c>
      <c r="BS75" s="36" t="n">
        <v>-7.75</v>
      </c>
      <c r="BT75" s="32" t="n">
        <v>159</v>
      </c>
    </row>
    <row r="76" ht="16" customHeight="1">
      <c r="A76" s="26" t="inlineStr">
        <is>
          <t>PB BALANCED SEQUEL FUND</t>
        </is>
      </c>
      <c r="B76" s="26" t="inlineStr">
        <is>
          <t>PBBSQF</t>
        </is>
      </c>
      <c r="C76" s="26" t="inlineStr">
        <is>
          <t>Conventional</t>
        </is>
      </c>
      <c r="D76" s="26" t="inlineStr">
        <is>
          <t>Mixed Asset / Balanced</t>
        </is>
      </c>
      <c r="E76" s="26" t="inlineStr">
        <is>
          <t>Malaysia</t>
        </is>
      </c>
      <c r="F76" s="23" t="inlineStr">
        <is>
          <t>Capital Growth</t>
        </is>
      </c>
      <c r="G76" s="24" t="n">
        <v>3</v>
      </c>
      <c r="H76" s="23" t="inlineStr">
        <is>
          <t>Incidental</t>
        </is>
      </c>
      <c r="I76" s="25" t="n">
        <v>38.41</v>
      </c>
      <c r="J76" s="26" t="inlineStr">
        <is>
          <t>10.09.2013</t>
        </is>
      </c>
      <c r="K76" s="26" t="inlineStr">
        <is>
          <t>Qualified</t>
        </is>
      </c>
      <c r="L76" s="27" t="n">
        <v>60</v>
      </c>
      <c r="M76" s="26" t="inlineStr">
        <is>
          <t>3/5</t>
        </is>
      </c>
      <c r="N76" s="28" t="n">
        <v>-0.7</v>
      </c>
      <c r="O76" s="28" t="n">
        <v>1.52</v>
      </c>
      <c r="P76" s="28" t="n">
        <v>-2.22</v>
      </c>
      <c r="Q76" s="28" t="n">
        <v>-1.28</v>
      </c>
      <c r="R76" s="28" t="n">
        <v>6.89</v>
      </c>
      <c r="S76" s="28" t="n">
        <v>-8.17</v>
      </c>
      <c r="T76" s="28" t="n">
        <v>8.31</v>
      </c>
      <c r="U76" s="28" t="n">
        <v>4.93</v>
      </c>
      <c r="V76" s="28" t="n">
        <v>3.38</v>
      </c>
      <c r="W76" s="28" t="n">
        <v>4.06</v>
      </c>
      <c r="X76" s="28" t="n">
        <v>2.37</v>
      </c>
      <c r="Y76" s="28" t="n">
        <v>1.69</v>
      </c>
      <c r="Z76" s="28" t="n">
        <v>4.23</v>
      </c>
      <c r="AA76" s="28" t="n">
        <v>1.62</v>
      </c>
      <c r="AB76" s="28" t="n">
        <v>2.61</v>
      </c>
      <c r="AC76" s="28">
        <f>IF(OR(P76="",BL76="",BL76=0),"",P76/BL76)</f>
        <v/>
      </c>
      <c r="AD76" s="28">
        <f>IF(OR(S76="",BL76="",BL76=0),"",S76/BL76)</f>
        <v/>
      </c>
      <c r="AE76" s="28">
        <f>IF(OR(V76="",BL76="",BL76=0),"",V76/BL76)</f>
        <v/>
      </c>
      <c r="AF76" s="28">
        <f>IF(OR(Y76="",BL76="",BL76=0),"",Y76/BL76)</f>
        <v/>
      </c>
      <c r="AG76" s="28">
        <f>IF(OR(AB76="",BL76="",BL76=0),"",AB76/BL76)</f>
        <v/>
      </c>
      <c r="AH76" s="27" t="n">
        <v>37.2</v>
      </c>
      <c r="AI76" s="27" t="n">
        <v>12.9</v>
      </c>
      <c r="AJ76" s="27" t="n">
        <v>39.9</v>
      </c>
      <c r="AK76" s="27" t="n">
        <v>10</v>
      </c>
      <c r="AL76" s="27" t="n"/>
      <c r="AM76" s="27" t="n"/>
      <c r="AN76" s="27" t="n">
        <v>2.5</v>
      </c>
      <c r="AO76" s="27" t="n"/>
      <c r="AP76" s="27" t="n"/>
      <c r="AQ76" s="27" t="n"/>
      <c r="AR76" s="27" t="n"/>
      <c r="AS76" s="27" t="n"/>
      <c r="AT76" s="27" t="n">
        <v>10.4</v>
      </c>
      <c r="AU76" s="27" t="n"/>
      <c r="AV76" s="27" t="n"/>
      <c r="AW76" s="27" t="n"/>
      <c r="AX76" s="27" t="n"/>
      <c r="AY76" s="27" t="n"/>
      <c r="AZ76" s="27" t="n">
        <v>2.2</v>
      </c>
      <c r="BA76" s="27" t="n">
        <v>8</v>
      </c>
      <c r="BB76" s="27" t="n">
        <v>22.2</v>
      </c>
      <c r="BC76" s="27" t="n">
        <v>4.9</v>
      </c>
      <c r="BD76" s="27" t="n"/>
      <c r="BE76" s="27" t="n"/>
      <c r="BF76" s="27" t="n">
        <v>9.699999999999999</v>
      </c>
      <c r="BG76" s="27" t="n"/>
      <c r="BH76" s="27" t="n"/>
      <c r="BI76" s="27" t="n"/>
      <c r="BJ76" s="27" t="n"/>
      <c r="BK76" s="23" t="inlineStr">
        <is>
          <t>Malayan Banking Berhad | Tenaga Nasional Berhad | LPI Capital Berhad | Sunway Berhad | Alibaba Group Holding Limited - W</t>
        </is>
      </c>
      <c r="BL76" s="27" t="n">
        <v>7.6</v>
      </c>
      <c r="BM76" s="26" t="inlineStr">
        <is>
          <t>Low</t>
        </is>
      </c>
      <c r="BN76" s="23" t="inlineStr">
        <is>
          <t>Mixed Asset MYR Domestic</t>
        </is>
      </c>
      <c r="BO76" s="23"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P76" s="29" t="n">
        <v>0.3674</v>
      </c>
      <c r="BQ76" s="26" t="inlineStr">
        <is>
          <t>2024-12-26</t>
        </is>
      </c>
      <c r="BR76" s="29" t="n">
        <v>0.3288</v>
      </c>
      <c r="BS76" s="28" t="n">
        <v>-10.51</v>
      </c>
      <c r="BT76" s="24" t="n">
        <v>466</v>
      </c>
    </row>
    <row r="77" ht="16" customHeight="1">
      <c r="A77" s="34" t="inlineStr">
        <is>
          <t>PUBLIC SELECT MIXED ASSET GROWTH FUND</t>
        </is>
      </c>
      <c r="B77" s="34" t="inlineStr">
        <is>
          <t>PSMAGF</t>
        </is>
      </c>
      <c r="C77" s="34" t="inlineStr">
        <is>
          <t>Conventional</t>
        </is>
      </c>
      <c r="D77" s="34" t="inlineStr">
        <is>
          <t>Mixed Asset / Balanced</t>
        </is>
      </c>
      <c r="E77" s="34" t="inlineStr">
        <is>
          <t>Malaysia</t>
        </is>
      </c>
      <c r="F77" s="31" t="inlineStr">
        <is>
          <t>Capital Growth + Income</t>
        </is>
      </c>
      <c r="G77" s="32" t="n">
        <v>4</v>
      </c>
      <c r="H77" s="31" t="inlineStr">
        <is>
          <t>Incidental</t>
        </is>
      </c>
      <c r="I77" s="33" t="n">
        <v>29.22</v>
      </c>
      <c r="J77" s="34" t="inlineStr">
        <is>
          <t>16.10.2014</t>
        </is>
      </c>
      <c r="K77" s="34" t="inlineStr">
        <is>
          <t>Qualified</t>
        </is>
      </c>
      <c r="L77" s="35" t="n">
        <v>60</v>
      </c>
      <c r="M77" s="34" t="inlineStr">
        <is>
          <t>3/5</t>
        </is>
      </c>
      <c r="N77" s="36" t="n">
        <v>0.77</v>
      </c>
      <c r="O77" s="36" t="n">
        <v>1.69</v>
      </c>
      <c r="P77" s="36" t="n">
        <v>-0.92</v>
      </c>
      <c r="Q77" s="36" t="n">
        <v>6.87</v>
      </c>
      <c r="R77" s="36" t="n">
        <v>7.44</v>
      </c>
      <c r="S77" s="36" t="n">
        <v>-0.57</v>
      </c>
      <c r="T77" s="36" t="n">
        <v>7.84</v>
      </c>
      <c r="U77" s="36" t="n">
        <v>5.14</v>
      </c>
      <c r="V77" s="36" t="n">
        <v>2.7</v>
      </c>
      <c r="W77" s="36" t="n">
        <v>2.62</v>
      </c>
      <c r="X77" s="36" t="n">
        <v>2.22</v>
      </c>
      <c r="Y77" s="36" t="n">
        <v>0.4</v>
      </c>
      <c r="Z77" s="36" t="n">
        <v>5.13</v>
      </c>
      <c r="AA77" s="36" t="n">
        <v>1.32</v>
      </c>
      <c r="AB77" s="36" t="n">
        <v>3.81</v>
      </c>
      <c r="AC77" s="36">
        <f>IF(OR(P77="",BL77="",BL77=0),"",P77/BL77)</f>
        <v/>
      </c>
      <c r="AD77" s="36">
        <f>IF(OR(S77="",BL77="",BL77=0),"",S77/BL77)</f>
        <v/>
      </c>
      <c r="AE77" s="36">
        <f>IF(OR(V77="",BL77="",BL77=0),"",V77/BL77)</f>
        <v/>
      </c>
      <c r="AF77" s="36">
        <f>IF(OR(Y77="",BL77="",BL77=0),"",Y77/BL77)</f>
        <v/>
      </c>
      <c r="AG77" s="36">
        <f>IF(OR(AB77="",BL77="",BL77=0),"",AB77/BL77)</f>
        <v/>
      </c>
      <c r="AH77" s="35" t="n">
        <v>39.8</v>
      </c>
      <c r="AI77" s="35" t="n">
        <v>25.8</v>
      </c>
      <c r="AJ77" s="35" t="n">
        <v>30.7</v>
      </c>
      <c r="AK77" s="35" t="n">
        <v>3.7</v>
      </c>
      <c r="AL77" s="35" t="n"/>
      <c r="AM77" s="35" t="n"/>
      <c r="AN77" s="35" t="n">
        <v>10</v>
      </c>
      <c r="AO77" s="35" t="n">
        <v>5.9</v>
      </c>
      <c r="AP77" s="35" t="n">
        <v>6</v>
      </c>
      <c r="AQ77" s="35" t="n"/>
      <c r="AR77" s="35" t="n"/>
      <c r="AS77" s="35" t="n"/>
      <c r="AT77" s="35" t="n">
        <v>3.9</v>
      </c>
      <c r="AU77" s="35" t="n"/>
      <c r="AV77" s="35" t="n"/>
      <c r="AW77" s="35" t="n"/>
      <c r="AX77" s="35" t="n"/>
      <c r="AY77" s="35" t="n"/>
      <c r="AZ77" s="35" t="n">
        <v>14.4</v>
      </c>
      <c r="BA77" s="35" t="n">
        <v>10.1</v>
      </c>
      <c r="BB77" s="35" t="n">
        <v>15.1</v>
      </c>
      <c r="BC77" s="35" t="n">
        <v>8.5</v>
      </c>
      <c r="BD77" s="35" t="n"/>
      <c r="BE77" s="35" t="n"/>
      <c r="BF77" s="35" t="n">
        <v>10.3</v>
      </c>
      <c r="BG77" s="35" t="n"/>
      <c r="BH77" s="35" t="n"/>
      <c r="BI77" s="35" t="n"/>
      <c r="BJ77" s="35" t="n"/>
      <c r="BK77" s="31" t="inlineStr">
        <is>
          <t>Tenaga Nasional Berhad | Malayan Banking Berhad | Hanwha Aerospace Company Limited | Taiwan Semiconductor Manufacturing Company Limited | Sunway Berhad</t>
        </is>
      </c>
      <c r="BL77" s="35" t="n">
        <v>8.1</v>
      </c>
      <c r="BM77" s="34" t="inlineStr">
        <is>
          <t>Moderate</t>
        </is>
      </c>
      <c r="BN77" s="31" t="inlineStr">
        <is>
          <t>Mixed Asset MYR Domestic 30% of the fund’s NAV</t>
        </is>
      </c>
      <c r="BO77" s="31" t="n"/>
      <c r="BP77" s="37" t="n">
        <v>0.377</v>
      </c>
      <c r="BQ77" s="34" t="inlineStr">
        <is>
          <t>2025-10-02</t>
        </is>
      </c>
      <c r="BR77" s="37" t="n">
        <v>0.361</v>
      </c>
      <c r="BS77" s="36" t="n">
        <v>-4.24</v>
      </c>
      <c r="BT77" s="32" t="n">
        <v>186</v>
      </c>
    </row>
    <row r="78" ht="16" customHeight="1">
      <c r="A78" s="26" t="inlineStr">
        <is>
          <t>PUBLIC GROWTH BALANCED FUND</t>
        </is>
      </c>
      <c r="B78" s="26" t="inlineStr">
        <is>
          <t>PGRBF</t>
        </is>
      </c>
      <c r="C78" s="26" t="inlineStr">
        <is>
          <t>Conventional</t>
        </is>
      </c>
      <c r="D78" s="26" t="inlineStr">
        <is>
          <t>Mixed Asset / Balanced</t>
        </is>
      </c>
      <c r="E78" s="26" t="inlineStr">
        <is>
          <t>Malaysia</t>
        </is>
      </c>
      <c r="F78" s="23" t="inlineStr">
        <is>
          <t>Capital Growth</t>
        </is>
      </c>
      <c r="G78" s="24" t="n">
        <v>3</v>
      </c>
      <c r="H78" s="23" t="inlineStr">
        <is>
          <t>Incidental</t>
        </is>
      </c>
      <c r="I78" s="25" t="n">
        <v>27.54</v>
      </c>
      <c r="J78" s="26" t="inlineStr">
        <is>
          <t>07.10.2015</t>
        </is>
      </c>
      <c r="K78" s="26" t="inlineStr">
        <is>
          <t>Qualified</t>
        </is>
      </c>
      <c r="L78" s="27" t="n">
        <v>60</v>
      </c>
      <c r="M78" s="26" t="inlineStr">
        <is>
          <t>3/5</t>
        </is>
      </c>
      <c r="N78" s="28" t="n">
        <v>-0.52</v>
      </c>
      <c r="O78" s="28" t="n">
        <v>1.52</v>
      </c>
      <c r="P78" s="28" t="n">
        <v>-2.04</v>
      </c>
      <c r="Q78" s="28" t="n">
        <v>2.15</v>
      </c>
      <c r="R78" s="28" t="n">
        <v>6.89</v>
      </c>
      <c r="S78" s="28" t="n">
        <v>-4.74</v>
      </c>
      <c r="T78" s="28" t="n">
        <v>6.77</v>
      </c>
      <c r="U78" s="28" t="n">
        <v>4.93</v>
      </c>
      <c r="V78" s="28" t="n">
        <v>1.84</v>
      </c>
      <c r="W78" s="28" t="n">
        <v>3.71</v>
      </c>
      <c r="X78" s="28" t="n">
        <v>2.37</v>
      </c>
      <c r="Y78" s="28" t="n">
        <v>1.34</v>
      </c>
      <c r="Z78" s="28" t="n">
        <v>6.62</v>
      </c>
      <c r="AA78" s="28" t="n">
        <v>1.62</v>
      </c>
      <c r="AB78" s="28" t="n">
        <v>5</v>
      </c>
      <c r="AC78" s="28">
        <f>IF(OR(P78="",BL78="",BL78=0),"",P78/BL78)</f>
        <v/>
      </c>
      <c r="AD78" s="28">
        <f>IF(OR(S78="",BL78="",BL78=0),"",S78/BL78)</f>
        <v/>
      </c>
      <c r="AE78" s="28">
        <f>IF(OR(V78="",BL78="",BL78=0),"",V78/BL78)</f>
        <v/>
      </c>
      <c r="AF78" s="28">
        <f>IF(OR(Y78="",BL78="",BL78=0),"",Y78/BL78)</f>
        <v/>
      </c>
      <c r="AG78" s="28">
        <f>IF(OR(AB78="",BL78="",BL78=0),"",AB78/BL78)</f>
        <v/>
      </c>
      <c r="AH78" s="27" t="n">
        <v>29.6</v>
      </c>
      <c r="AI78" s="27" t="n">
        <v>21.7</v>
      </c>
      <c r="AJ78" s="27" t="n">
        <v>43.7</v>
      </c>
      <c r="AK78" s="27" t="n">
        <v>5</v>
      </c>
      <c r="AL78" s="27" t="n"/>
      <c r="AM78" s="27" t="n"/>
      <c r="AN78" s="27" t="n">
        <v>13.3</v>
      </c>
      <c r="AO78" s="27" t="n">
        <v>5.8</v>
      </c>
      <c r="AP78" s="27" t="n"/>
      <c r="AQ78" s="27" t="n"/>
      <c r="AR78" s="27" t="n"/>
      <c r="AS78" s="27" t="n"/>
      <c r="AT78" s="27" t="n">
        <v>2.6</v>
      </c>
      <c r="AU78" s="27" t="n"/>
      <c r="AV78" s="27" t="n"/>
      <c r="AW78" s="27" t="n"/>
      <c r="AX78" s="27" t="n"/>
      <c r="AY78" s="27" t="n"/>
      <c r="AZ78" s="27" t="n">
        <v>6.4</v>
      </c>
      <c r="BA78" s="27" t="n">
        <v>13.3</v>
      </c>
      <c r="BB78" s="27" t="n"/>
      <c r="BC78" s="27" t="n">
        <v>13.8</v>
      </c>
      <c r="BD78" s="27" t="n"/>
      <c r="BE78" s="27" t="n">
        <v>4.2</v>
      </c>
      <c r="BF78" s="27" t="n">
        <v>8</v>
      </c>
      <c r="BG78" s="27" t="n"/>
      <c r="BH78" s="27" t="n"/>
      <c r="BI78" s="27" t="n"/>
      <c r="BJ78" s="27" t="n"/>
      <c r="BK78" s="23" t="inlineStr">
        <is>
          <t>Tenaga Nasional Berhad | Taiwan Semiconductor Manufacturing Company Limited | TIME dotCom Berhad | NVIDIA Corporation | Frontken Corporation Berhad</t>
        </is>
      </c>
      <c r="BL78" s="27" t="n">
        <v>6</v>
      </c>
      <c r="BM78" s="26" t="inlineStr">
        <is>
          <t>Low</t>
        </is>
      </c>
      <c r="BN78" s="23" t="inlineStr">
        <is>
          <t>Domestic 25% of the fund’s NAV</t>
        </is>
      </c>
      <c r="BO78" s="23" t="inlineStr">
        <is>
          <t>ThebenchmarkforPGRBFisacompositeof60%FTSEBursaMalaysiaKLCIand 40% 3-Month Kuala Lumpur Interbank Offered Rate (KLIBOR). Underlying index data are sourced from Lipper and Bank Negara Malaysia.</t>
        </is>
      </c>
      <c r="BP78" s="29" t="n">
        <v>0.4188</v>
      </c>
      <c r="BQ78" s="26" t="inlineStr">
        <is>
          <t>2025-10-29</t>
        </is>
      </c>
      <c r="BR78" s="29" t="n">
        <v>0.3966</v>
      </c>
      <c r="BS78" s="28" t="n">
        <v>-5.3</v>
      </c>
      <c r="BT78" s="24" t="n">
        <v>159</v>
      </c>
    </row>
    <row r="79" ht="16" customHeight="1">
      <c r="A79" s="30" t="inlineStr">
        <is>
          <t>PUBLIC EHSAN MIXED ASSET CONSERVATIVE FUND</t>
        </is>
      </c>
      <c r="B79" s="30" t="inlineStr">
        <is>
          <t>PESMACF</t>
        </is>
      </c>
      <c r="C79" s="30" t="inlineStr">
        <is>
          <t>Shariah</t>
        </is>
      </c>
      <c r="D79" s="30" t="inlineStr">
        <is>
          <t>Mixed Asset / Balanced</t>
        </is>
      </c>
      <c r="E79" s="30" t="inlineStr">
        <is>
          <t>Malaysia</t>
        </is>
      </c>
      <c r="F79" s="31" t="inlineStr">
        <is>
          <t>Capital Growth + Income</t>
        </is>
      </c>
      <c r="G79" s="32" t="n">
        <v>3</v>
      </c>
      <c r="H79" s="31" t="inlineStr">
        <is>
          <t>Annual</t>
        </is>
      </c>
      <c r="I79" s="33" t="n">
        <v>860.12</v>
      </c>
      <c r="J79" s="34" t="inlineStr">
        <is>
          <t>25.11.2014</t>
        </is>
      </c>
      <c r="K79" s="34" t="inlineStr">
        <is>
          <t>Qualified</t>
        </is>
      </c>
      <c r="L79" s="35" t="n">
        <v>60</v>
      </c>
      <c r="M79" s="34" t="inlineStr">
        <is>
          <t>3/5</t>
        </is>
      </c>
      <c r="N79" s="36" t="n">
        <v>0</v>
      </c>
      <c r="O79" s="36" t="n">
        <v>0.33</v>
      </c>
      <c r="P79" s="36" t="n">
        <v>-0.33</v>
      </c>
      <c r="Q79" s="36" t="n">
        <v>3.25</v>
      </c>
      <c r="R79" s="36" t="n">
        <v>5</v>
      </c>
      <c r="S79" s="36" t="n">
        <v>-1.75</v>
      </c>
      <c r="T79" s="36" t="n">
        <v>5.72</v>
      </c>
      <c r="U79" s="36" t="n">
        <v>4.11</v>
      </c>
      <c r="V79" s="36" t="n">
        <v>1.61</v>
      </c>
      <c r="W79" s="36" t="n">
        <v>2.78</v>
      </c>
      <c r="X79" s="36" t="n">
        <v>1.98</v>
      </c>
      <c r="Y79" s="36" t="n">
        <v>0.8</v>
      </c>
      <c r="Z79" s="36" t="n">
        <v>5.42</v>
      </c>
      <c r="AA79" s="36" t="n">
        <v>2.13</v>
      </c>
      <c r="AB79" s="36" t="n">
        <v>3.29</v>
      </c>
      <c r="AC79" s="36">
        <f>IF(OR(P79="",BL79="",BL79=0),"",P79/BL79)</f>
        <v/>
      </c>
      <c r="AD79" s="36">
        <f>IF(OR(S79="",BL79="",BL79=0),"",S79/BL79)</f>
        <v/>
      </c>
      <c r="AE79" s="36">
        <f>IF(OR(V79="",BL79="",BL79=0),"",V79/BL79)</f>
        <v/>
      </c>
      <c r="AF79" s="36">
        <f>IF(OR(Y79="",BL79="",BL79=0),"",Y79/BL79)</f>
        <v/>
      </c>
      <c r="AG79" s="36">
        <f>IF(OR(AB79="",BL79="",BL79=0),"",AB79/BL79)</f>
        <v/>
      </c>
      <c r="AH79" s="35" t="n">
        <v>15.2</v>
      </c>
      <c r="AI79" s="35" t="n">
        <v>15</v>
      </c>
      <c r="AJ79" s="35" t="n">
        <v>60.2</v>
      </c>
      <c r="AK79" s="35" t="n">
        <v>9.6</v>
      </c>
      <c r="AL79" s="35" t="n"/>
      <c r="AM79" s="35" t="n"/>
      <c r="AN79" s="35" t="n">
        <v>9.4</v>
      </c>
      <c r="AO79" s="35" t="n">
        <v>3.6</v>
      </c>
      <c r="AP79" s="35" t="n"/>
      <c r="AQ79" s="35" t="n"/>
      <c r="AR79" s="35" t="n">
        <v>2</v>
      </c>
      <c r="AS79" s="35" t="n"/>
      <c r="AT79" s="35" t="n"/>
      <c r="AU79" s="35" t="n"/>
      <c r="AV79" s="35" t="n"/>
      <c r="AW79" s="35" t="n"/>
      <c r="AX79" s="35" t="n"/>
      <c r="AY79" s="35" t="n"/>
      <c r="AZ79" s="35" t="n">
        <v>1.6</v>
      </c>
      <c r="BA79" s="35" t="n">
        <v>5.4</v>
      </c>
      <c r="BB79" s="35" t="n"/>
      <c r="BC79" s="35" t="n">
        <v>10.4</v>
      </c>
      <c r="BD79" s="35" t="n">
        <v>3.9</v>
      </c>
      <c r="BE79" s="35" t="n"/>
      <c r="BF79" s="35" t="n">
        <v>6.4</v>
      </c>
      <c r="BG79" s="35" t="n"/>
      <c r="BH79" s="35" t="n"/>
      <c r="BI79" s="35" t="n"/>
      <c r="BJ79" s="35" t="n"/>
      <c r="BK79" s="31" t="inlineStr">
        <is>
          <t>Tenaga Nasional Berhad | Taiwan Semiconductor Manufacturing Company Limited | Alphabet Incorporated - Class A | Meta Platforms Incorporated | Telekom Malaysia Berhad</t>
        </is>
      </c>
      <c r="BL79" s="35" t="n">
        <v>3.4</v>
      </c>
      <c r="BM79" s="34" t="inlineStr">
        <is>
          <t>Very Low</t>
        </is>
      </c>
      <c r="BN79" s="31" t="inlineStr">
        <is>
          <t>Mixed Asset MYR</t>
        </is>
      </c>
      <c r="BO79" s="31" t="n"/>
      <c r="BP79" s="37" t="n">
        <v>0.3493</v>
      </c>
      <c r="BQ79" s="34" t="inlineStr">
        <is>
          <t>2021-02-11</t>
        </is>
      </c>
      <c r="BR79" s="37" t="n">
        <v>0.3188</v>
      </c>
      <c r="BS79" s="36" t="n">
        <v>-8.73</v>
      </c>
      <c r="BT79" s="32" t="n">
        <v>1880</v>
      </c>
    </row>
    <row r="80" ht="16" customHeight="1">
      <c r="A80" s="26" t="inlineStr">
        <is>
          <t>PB MIXED ASSET CONSERVATIVE FUND</t>
        </is>
      </c>
      <c r="B80" s="26" t="inlineStr">
        <is>
          <t>PBMAC</t>
        </is>
      </c>
      <c r="C80" s="26" t="inlineStr">
        <is>
          <t>Conventional</t>
        </is>
      </c>
      <c r="D80" s="26" t="inlineStr">
        <is>
          <t>Mixed Asset / Balanced</t>
        </is>
      </c>
      <c r="E80" s="26" t="inlineStr">
        <is>
          <t>Malaysia</t>
        </is>
      </c>
      <c r="F80" s="23" t="inlineStr">
        <is>
          <t>Capital Growth + Income</t>
        </is>
      </c>
      <c r="G80" s="24" t="n">
        <v>3</v>
      </c>
      <c r="H80" s="23" t="inlineStr">
        <is>
          <t>Annual</t>
        </is>
      </c>
      <c r="I80" s="25" t="n">
        <v>103.67</v>
      </c>
      <c r="J80" s="26" t="inlineStr">
        <is>
          <t>15.01.2013</t>
        </is>
      </c>
      <c r="K80" s="26" t="inlineStr">
        <is>
          <t>Qualified</t>
        </is>
      </c>
      <c r="L80" s="27" t="n">
        <v>60</v>
      </c>
      <c r="M80" s="26" t="inlineStr">
        <is>
          <t>3/5</t>
        </is>
      </c>
      <c r="N80" s="28" t="n">
        <v>-1.32</v>
      </c>
      <c r="O80" s="28" t="n">
        <v>1.11</v>
      </c>
      <c r="P80" s="28" t="n">
        <v>-2.43</v>
      </c>
      <c r="Q80" s="28" t="n">
        <v>1.82</v>
      </c>
      <c r="R80" s="28" t="n">
        <v>5.46</v>
      </c>
      <c r="S80" s="28" t="n">
        <v>-3.64</v>
      </c>
      <c r="T80" s="28" t="n">
        <v>5.94</v>
      </c>
      <c r="U80" s="28" t="n">
        <v>4.38</v>
      </c>
      <c r="V80" s="28" t="n">
        <v>1.56</v>
      </c>
      <c r="W80" s="28" t="n">
        <v>2.75</v>
      </c>
      <c r="X80" s="28" t="n">
        <v>2.71</v>
      </c>
      <c r="Y80" s="28" t="n">
        <v>0.04</v>
      </c>
      <c r="Z80" s="28" t="n">
        <v>4.62</v>
      </c>
      <c r="AA80" s="28" t="n">
        <v>2.31</v>
      </c>
      <c r="AB80" s="28" t="n">
        <v>2.31</v>
      </c>
      <c r="AC80" s="28">
        <f>IF(OR(P80="",BL80="",BL80=0),"",P80/BL80)</f>
        <v/>
      </c>
      <c r="AD80" s="28">
        <f>IF(OR(S80="",BL80="",BL80=0),"",S80/BL80)</f>
        <v/>
      </c>
      <c r="AE80" s="28">
        <f>IF(OR(V80="",BL80="",BL80=0),"",V80/BL80)</f>
        <v/>
      </c>
      <c r="AF80" s="28">
        <f>IF(OR(Y80="",BL80="",BL80=0),"",Y80/BL80)</f>
        <v/>
      </c>
      <c r="AG80" s="28">
        <f>IF(OR(AB80="",BL80="",BL80=0),"",AB80/BL80)</f>
        <v/>
      </c>
      <c r="AH80" s="27" t="n">
        <v>8.300000000000001</v>
      </c>
      <c r="AI80" s="27" t="n">
        <v>18.2</v>
      </c>
      <c r="AJ80" s="27" t="n">
        <v>60.9</v>
      </c>
      <c r="AK80" s="27" t="n">
        <v>12.6</v>
      </c>
      <c r="AL80" s="27" t="n"/>
      <c r="AM80" s="27" t="n"/>
      <c r="AN80" s="27" t="n">
        <v>11.7</v>
      </c>
      <c r="AO80" s="27" t="n"/>
      <c r="AP80" s="27" t="n">
        <v>3.7</v>
      </c>
      <c r="AQ80" s="27" t="n"/>
      <c r="AR80" s="27" t="n"/>
      <c r="AS80" s="27" t="n"/>
      <c r="AT80" s="27" t="n">
        <v>2.8</v>
      </c>
      <c r="AU80" s="27" t="n"/>
      <c r="AV80" s="27" t="n"/>
      <c r="AW80" s="27" t="n"/>
      <c r="AX80" s="27" t="n"/>
      <c r="AY80" s="27" t="n"/>
      <c r="AZ80" s="27" t="n">
        <v>3.7</v>
      </c>
      <c r="BA80" s="27" t="n">
        <v>6.8</v>
      </c>
      <c r="BB80" s="27" t="n">
        <v>2.7</v>
      </c>
      <c r="BC80" s="27" t="n">
        <v>6.7</v>
      </c>
      <c r="BD80" s="27" t="n"/>
      <c r="BE80" s="27" t="n"/>
      <c r="BF80" s="27" t="n">
        <v>3.3</v>
      </c>
      <c r="BG80" s="27" t="n"/>
      <c r="BH80" s="27" t="n"/>
      <c r="BI80" s="27" t="n"/>
      <c r="BJ80" s="27" t="n"/>
      <c r="BK80" s="23" t="inlineStr">
        <is>
          <t>Alphabet Incorporated - Class A | Advanced Micro Devices Incorporated | HD Hyundai Electric Company Limited | Tenaga Nasional Berhad | Broadcom Incorporated</t>
        </is>
      </c>
      <c r="BL80" s="27" t="n">
        <v>5</v>
      </c>
      <c r="BM80" s="26" t="inlineStr">
        <is>
          <t>Low</t>
        </is>
      </c>
      <c r="BN80" s="23" t="inlineStr">
        <is>
          <t>Mixed Asset MYR Domestic</t>
        </is>
      </c>
      <c r="BO80" s="23" t="inlineStr">
        <is>
          <t>ThebenchmarkforPBMACisacompositeof65%3-MonthKualaLumpurInterbank Offered Rate (KLIBOR) and 35% FTSE Bursa Malaysia KLCI (FBM KLCI). Underlying index data are sourced from Lipper and Bank Negara Malaysia.</t>
        </is>
      </c>
      <c r="BP80" s="29" t="n">
        <v>0.3071</v>
      </c>
      <c r="BQ80" s="26" t="inlineStr">
        <is>
          <t>2025-11-03</t>
        </is>
      </c>
      <c r="BR80" s="29" t="n">
        <v>0.276</v>
      </c>
      <c r="BS80" s="28" t="n">
        <v>-10.13</v>
      </c>
      <c r="BT80" s="24" t="n">
        <v>154</v>
      </c>
    </row>
    <row r="81" ht="16" customHeight="1">
      <c r="A81" s="34" t="inlineStr">
        <is>
          <t>PUBLIC SELECT MIXED ASSET CONSERVATIVE FUND</t>
        </is>
      </c>
      <c r="B81" s="34" t="inlineStr">
        <is>
          <t>PSMACF</t>
        </is>
      </c>
      <c r="C81" s="34" t="inlineStr">
        <is>
          <t>Conventional</t>
        </is>
      </c>
      <c r="D81" s="34" t="inlineStr">
        <is>
          <t>Mixed Asset / Balanced</t>
        </is>
      </c>
      <c r="E81" s="34" t="inlineStr">
        <is>
          <t>Malaysia</t>
        </is>
      </c>
      <c r="F81" s="31" t="inlineStr">
        <is>
          <t>Capital Growth + Income</t>
        </is>
      </c>
      <c r="G81" s="32" t="n">
        <v>3</v>
      </c>
      <c r="H81" s="31" t="inlineStr">
        <is>
          <t>Annual</t>
        </is>
      </c>
      <c r="I81" s="33" t="n">
        <v>146.06</v>
      </c>
      <c r="J81" s="34" t="inlineStr">
        <is>
          <t>16.10.2014</t>
        </is>
      </c>
      <c r="K81" s="34" t="inlineStr">
        <is>
          <t>Qualified</t>
        </is>
      </c>
      <c r="L81" s="35" t="n">
        <v>60</v>
      </c>
      <c r="M81" s="34" t="inlineStr">
        <is>
          <t>3/5</t>
        </is>
      </c>
      <c r="N81" s="36" t="n">
        <v>-1.41</v>
      </c>
      <c r="O81" s="36" t="n">
        <v>1.11</v>
      </c>
      <c r="P81" s="36" t="n">
        <v>-2.52</v>
      </c>
      <c r="Q81" s="36" t="n">
        <v>3.68</v>
      </c>
      <c r="R81" s="36" t="n">
        <v>5.46</v>
      </c>
      <c r="S81" s="36" t="n">
        <v>-1.78</v>
      </c>
      <c r="T81" s="36" t="n">
        <v>5.83</v>
      </c>
      <c r="U81" s="36" t="n">
        <v>4.38</v>
      </c>
      <c r="V81" s="36" t="n">
        <v>1.45</v>
      </c>
      <c r="W81" s="36" t="n">
        <v>3.54</v>
      </c>
      <c r="X81" s="36" t="n">
        <v>2.71</v>
      </c>
      <c r="Y81" s="36" t="n">
        <v>0.83</v>
      </c>
      <c r="Z81" s="36" t="n">
        <v>4.9</v>
      </c>
      <c r="AA81" s="36" t="n">
        <v>2.31</v>
      </c>
      <c r="AB81" s="36" t="n">
        <v>2.59</v>
      </c>
      <c r="AC81" s="36">
        <f>IF(OR(P81="",BL81="",BL81=0),"",P81/BL81)</f>
        <v/>
      </c>
      <c r="AD81" s="36">
        <f>IF(OR(S81="",BL81="",BL81=0),"",S81/BL81)</f>
        <v/>
      </c>
      <c r="AE81" s="36">
        <f>IF(OR(V81="",BL81="",BL81=0),"",V81/BL81)</f>
        <v/>
      </c>
      <c r="AF81" s="36">
        <f>IF(OR(Y81="",BL81="",BL81=0),"",Y81/BL81)</f>
        <v/>
      </c>
      <c r="AG81" s="36">
        <f>IF(OR(AB81="",BL81="",BL81=0),"",AB81/BL81)</f>
        <v/>
      </c>
      <c r="AH81" s="35" t="n">
        <v>15</v>
      </c>
      <c r="AI81" s="35" t="n">
        <v>15.9</v>
      </c>
      <c r="AJ81" s="35" t="n">
        <v>60.4</v>
      </c>
      <c r="AK81" s="35" t="n">
        <v>8.699999999999999</v>
      </c>
      <c r="AL81" s="35" t="n"/>
      <c r="AM81" s="35" t="n"/>
      <c r="AN81" s="35" t="n">
        <v>9.9</v>
      </c>
      <c r="AO81" s="35" t="n">
        <v>3.9</v>
      </c>
      <c r="AP81" s="35" t="n"/>
      <c r="AQ81" s="35" t="n"/>
      <c r="AR81" s="35" t="n"/>
      <c r="AS81" s="35" t="n"/>
      <c r="AT81" s="35" t="n">
        <v>2.1</v>
      </c>
      <c r="AU81" s="35" t="n"/>
      <c r="AV81" s="35" t="n"/>
      <c r="AW81" s="35" t="n"/>
      <c r="AX81" s="35" t="n"/>
      <c r="AY81" s="35" t="n"/>
      <c r="AZ81" s="35" t="n">
        <v>9.6</v>
      </c>
      <c r="BA81" s="35" t="n">
        <v>5.3</v>
      </c>
      <c r="BB81" s="35" t="n"/>
      <c r="BC81" s="35" t="n">
        <v>8.800000000000001</v>
      </c>
      <c r="BD81" s="35" t="n">
        <v>1.7</v>
      </c>
      <c r="BE81" s="35" t="n"/>
      <c r="BF81" s="35" t="n">
        <v>4.5</v>
      </c>
      <c r="BG81" s="35" t="n"/>
      <c r="BH81" s="35" t="n"/>
      <c r="BI81" s="35" t="n"/>
      <c r="BJ81" s="35" t="n"/>
      <c r="BK81" s="31" t="inlineStr">
        <is>
          <t>Southern Cable Group Berhad | Tenaga Nasional Berhad | Alphabet Incorporated - Class A | Taiwan Semiconductor Manufacturing Company Limited | Frontken Corporation Berhad</t>
        </is>
      </c>
      <c r="BL81" s="35" t="n">
        <v>4.6</v>
      </c>
      <c r="BM81" s="34" t="inlineStr">
        <is>
          <t>Low</t>
        </is>
      </c>
      <c r="BN81" s="31" t="inlineStr">
        <is>
          <t>Mixed Asset MYR Domestic 25% of the fund’s NAV</t>
        </is>
      </c>
      <c r="BO81" s="31" t="n"/>
      <c r="BP81" s="37" t="n">
        <v>0.3199</v>
      </c>
      <c r="BQ81" s="34" t="inlineStr">
        <is>
          <t>2025-10-03</t>
        </is>
      </c>
      <c r="BR81" s="37" t="n">
        <v>0.3023</v>
      </c>
      <c r="BS81" s="36" t="n">
        <v>-5.5</v>
      </c>
      <c r="BT81" s="32" t="n">
        <v>185</v>
      </c>
    </row>
    <row r="82" ht="16" customHeight="1">
      <c r="A82" s="26" t="inlineStr">
        <is>
          <t>PB BALANCED FUND</t>
        </is>
      </c>
      <c r="B82" s="26" t="inlineStr">
        <is>
          <t>PBBF</t>
        </is>
      </c>
      <c r="C82" s="26" t="inlineStr">
        <is>
          <t>Conventional</t>
        </is>
      </c>
      <c r="D82" s="26" t="inlineStr">
        <is>
          <t>Mixed Asset / Balanced</t>
        </is>
      </c>
      <c r="E82" s="26" t="inlineStr">
        <is>
          <t>Malaysia</t>
        </is>
      </c>
      <c r="F82" s="23" t="inlineStr">
        <is>
          <t>Capital Growth + Income</t>
        </is>
      </c>
      <c r="G82" s="24" t="n">
        <v>3</v>
      </c>
      <c r="H82" s="23" t="inlineStr">
        <is>
          <t>Incidental</t>
        </is>
      </c>
      <c r="I82" s="25" t="n">
        <v>355.79</v>
      </c>
      <c r="J82" s="26" t="inlineStr">
        <is>
          <t>05.05.1998</t>
        </is>
      </c>
      <c r="K82" s="26" t="inlineStr">
        <is>
          <t>Qualified</t>
        </is>
      </c>
      <c r="L82" s="27" t="n">
        <v>60</v>
      </c>
      <c r="M82" s="26" t="inlineStr">
        <is>
          <t>3/5</t>
        </is>
      </c>
      <c r="N82" s="28" t="n">
        <v>-2.06</v>
      </c>
      <c r="O82" s="28" t="n">
        <v>1.52</v>
      </c>
      <c r="P82" s="28" t="n">
        <v>-3.58</v>
      </c>
      <c r="Q82" s="28" t="n">
        <v>-0.09</v>
      </c>
      <c r="R82" s="28" t="n">
        <v>6.89</v>
      </c>
      <c r="S82" s="28" t="n">
        <v>-6.98</v>
      </c>
      <c r="T82" s="28" t="n">
        <v>6.38</v>
      </c>
      <c r="U82" s="28" t="n">
        <v>4.93</v>
      </c>
      <c r="V82" s="28" t="n">
        <v>1.45</v>
      </c>
      <c r="W82" s="28" t="n">
        <v>3.37</v>
      </c>
      <c r="X82" s="28" t="n">
        <v>2.37</v>
      </c>
      <c r="Y82" s="28" t="n">
        <v>1</v>
      </c>
      <c r="Z82" s="28" t="n">
        <v>3.86</v>
      </c>
      <c r="AA82" s="28" t="n">
        <v>1.62</v>
      </c>
      <c r="AB82" s="28" t="n">
        <v>2.24</v>
      </c>
      <c r="AC82" s="28">
        <f>IF(OR(P82="",BL82="",BL82=0),"",P82/BL82)</f>
        <v/>
      </c>
      <c r="AD82" s="28">
        <f>IF(OR(S82="",BL82="",BL82=0),"",S82/BL82)</f>
        <v/>
      </c>
      <c r="AE82" s="28">
        <f>IF(OR(V82="",BL82="",BL82=0),"",V82/BL82)</f>
        <v/>
      </c>
      <c r="AF82" s="28">
        <f>IF(OR(Y82="",BL82="",BL82=0),"",Y82/BL82)</f>
        <v/>
      </c>
      <c r="AG82" s="28">
        <f>IF(OR(AB82="",BL82="",BL82=0),"",AB82/BL82)</f>
        <v/>
      </c>
      <c r="AH82" s="27" t="n">
        <v>34.9</v>
      </c>
      <c r="AI82" s="27" t="n">
        <v>14.4</v>
      </c>
      <c r="AJ82" s="27" t="n">
        <v>40.6</v>
      </c>
      <c r="AK82" s="27" t="n">
        <v>10.1</v>
      </c>
      <c r="AL82" s="27" t="n"/>
      <c r="AM82" s="27" t="n"/>
      <c r="AN82" s="27" t="n">
        <v>8.6</v>
      </c>
      <c r="AO82" s="27" t="n"/>
      <c r="AP82" s="27" t="n"/>
      <c r="AQ82" s="27" t="n"/>
      <c r="AR82" s="27" t="n"/>
      <c r="AS82" s="27" t="n"/>
      <c r="AT82" s="27" t="n">
        <v>5.8</v>
      </c>
      <c r="AU82" s="27" t="n"/>
      <c r="AV82" s="27" t="n"/>
      <c r="AW82" s="27" t="n"/>
      <c r="AX82" s="27" t="n"/>
      <c r="AY82" s="27" t="n"/>
      <c r="AZ82" s="27" t="n">
        <v>6.4</v>
      </c>
      <c r="BA82" s="27" t="n">
        <v>3.8</v>
      </c>
      <c r="BB82" s="27" t="n">
        <v>9.800000000000001</v>
      </c>
      <c r="BC82" s="27" t="n">
        <v>15</v>
      </c>
      <c r="BD82" s="27" t="n"/>
      <c r="BE82" s="27" t="n"/>
      <c r="BF82" s="27" t="n">
        <v>9.5</v>
      </c>
      <c r="BG82" s="27" t="n"/>
      <c r="BH82" s="27" t="n"/>
      <c r="BI82" s="27" t="n"/>
      <c r="BJ82" s="27" t="n"/>
      <c r="BK82" s="23" t="inlineStr">
        <is>
          <t>Tenaga Nasional Berhad | Public Bank Berhad | Alibaba Group Holding Limited - W | Frontken Corporation Berhad | QL Resources Berhad</t>
        </is>
      </c>
      <c r="BL82" s="27" t="n">
        <v>6.4</v>
      </c>
      <c r="BM82" s="26" t="inlineStr">
        <is>
          <t>Low</t>
        </is>
      </c>
      <c r="BN82" s="23" t="inlineStr">
        <is>
          <t>Mixed Asset MYR Domestic</t>
        </is>
      </c>
      <c r="BO82" s="23" t="inlineStr">
        <is>
          <t>Public Balanced Equity Index (PBEIX) is a composite of 60% the returns of the KualaLumpurCompositeIndex(priorto6July2009),60%thereturnsoftheFTSE BursaMalaysiaKLCI(w.e.f.6July2009)and40% thereturnson3-MonthKuala LumpurInterbankOfferedRate(KLIBOR).TheIndexisanappropriateperformance benchmark for balanced fund. Underlying index data are sourced from Lipper and Bank Negara Malaysia.</t>
        </is>
      </c>
      <c r="BP82" s="29" t="n">
        <v>1.56</v>
      </c>
      <c r="BQ82" s="26" t="inlineStr">
        <is>
          <t>2000-02-18</t>
        </is>
      </c>
      <c r="BR82" s="29" t="n">
        <v>0.8409</v>
      </c>
      <c r="BS82" s="28" t="n">
        <v>-46.1</v>
      </c>
      <c r="BT82" s="24" t="n">
        <v>9544</v>
      </c>
    </row>
    <row r="83" ht="16" customHeight="1">
      <c r="A83" s="34" t="inlineStr">
        <is>
          <t>PB DYNAMIC ALLOCATION FUND</t>
        </is>
      </c>
      <c r="B83" s="34" t="inlineStr">
        <is>
          <t>PBDYNAF</t>
        </is>
      </c>
      <c r="C83" s="34" t="inlineStr">
        <is>
          <t>Conventional</t>
        </is>
      </c>
      <c r="D83" s="34" t="inlineStr">
        <is>
          <t>Mixed Asset / Balanced</t>
        </is>
      </c>
      <c r="E83" s="34" t="inlineStr">
        <is>
          <t>Malaysia</t>
        </is>
      </c>
      <c r="F83" s="31" t="inlineStr">
        <is>
          <t>Capital Growth + Income</t>
        </is>
      </c>
      <c r="G83" s="32" t="n">
        <v>5</v>
      </c>
      <c r="H83" s="31" t="inlineStr">
        <is>
          <t>Incidental</t>
        </is>
      </c>
      <c r="I83" s="33" t="n">
        <v>380.79</v>
      </c>
      <c r="J83" s="34" t="inlineStr">
        <is>
          <t>19.06.2012</t>
        </is>
      </c>
      <c r="K83" s="34" t="inlineStr">
        <is>
          <t>Qualified</t>
        </is>
      </c>
      <c r="L83" s="35" t="n">
        <v>60</v>
      </c>
      <c r="M83" s="34" t="inlineStr">
        <is>
          <t>3/5</t>
        </is>
      </c>
      <c r="N83" s="36" t="n">
        <v>3</v>
      </c>
      <c r="O83" s="36" t="n">
        <v>8.380000000000001</v>
      </c>
      <c r="P83" s="36" t="n">
        <v>-5.38</v>
      </c>
      <c r="Q83" s="36" t="n">
        <v>15.39</v>
      </c>
      <c r="R83" s="36" t="n">
        <v>20.96</v>
      </c>
      <c r="S83" s="36" t="n">
        <v>-5.57</v>
      </c>
      <c r="T83" s="36" t="n">
        <v>13.09</v>
      </c>
      <c r="U83" s="36" t="n">
        <v>11.82</v>
      </c>
      <c r="V83" s="36" t="n">
        <v>1.27</v>
      </c>
      <c r="W83" s="36" t="n">
        <v>3.09</v>
      </c>
      <c r="X83" s="36" t="n">
        <v>2.77</v>
      </c>
      <c r="Y83" s="36" t="n">
        <v>0.32</v>
      </c>
      <c r="Z83" s="36" t="n">
        <v>8.380000000000001</v>
      </c>
      <c r="AA83" s="36" t="n">
        <v>6.64</v>
      </c>
      <c r="AB83" s="36" t="n">
        <v>1.74</v>
      </c>
      <c r="AC83" s="36">
        <f>IF(OR(P83="",BL83="",BL83=0),"",P83/BL83)</f>
        <v/>
      </c>
      <c r="AD83" s="36">
        <f>IF(OR(S83="",BL83="",BL83=0),"",S83/BL83)</f>
        <v/>
      </c>
      <c r="AE83" s="36">
        <f>IF(OR(V83="",BL83="",BL83=0),"",V83/BL83)</f>
        <v/>
      </c>
      <c r="AF83" s="36">
        <f>IF(OR(Y83="",BL83="",BL83=0),"",Y83/BL83)</f>
        <v/>
      </c>
      <c r="AG83" s="36">
        <f>IF(OR(AB83="",BL83="",BL83=0),"",AB83/BL83)</f>
        <v/>
      </c>
      <c r="AH83" s="35" t="n"/>
      <c r="AI83" s="35" t="n">
        <v>82</v>
      </c>
      <c r="AJ83" s="35" t="n"/>
      <c r="AK83" s="35" t="n">
        <v>18</v>
      </c>
      <c r="AL83" s="35" t="n"/>
      <c r="AM83" s="35" t="n"/>
      <c r="AN83" s="35" t="n">
        <v>26.9</v>
      </c>
      <c r="AO83" s="35" t="n">
        <v>14.1</v>
      </c>
      <c r="AP83" s="35" t="n">
        <v>21.5</v>
      </c>
      <c r="AQ83" s="35" t="n"/>
      <c r="AR83" s="35" t="n">
        <v>2.8</v>
      </c>
      <c r="AS83" s="35" t="n"/>
      <c r="AT83" s="35" t="n">
        <v>16.7</v>
      </c>
      <c r="AU83" s="35" t="n"/>
      <c r="AV83" s="35" t="n"/>
      <c r="AW83" s="35" t="n"/>
      <c r="AX83" s="35" t="n"/>
      <c r="AY83" s="35" t="n"/>
      <c r="AZ83" s="35" t="n">
        <v>3.4</v>
      </c>
      <c r="BA83" s="35" t="n">
        <v>49.6</v>
      </c>
      <c r="BB83" s="35" t="n">
        <v>0.8</v>
      </c>
      <c r="BC83" s="35" t="n">
        <v>25.4</v>
      </c>
      <c r="BD83" s="35" t="n">
        <v>2.8</v>
      </c>
      <c r="BE83" s="35" t="n"/>
      <c r="BF83" s="35" t="n"/>
      <c r="BG83" s="35" t="n"/>
      <c r="BH83" s="35" t="n"/>
      <c r="BI83" s="35" t="n"/>
      <c r="BJ83" s="35" t="n"/>
      <c r="BK83" s="31" t="inlineStr">
        <is>
          <t>Samsung Electronics Company Limited | Taiwan Semiconductor Manufacturing Company Limited | SK Hynix Incorporated | Alibaba Group Holding Limited - W | Alphabet Incorporated - Class A</t>
        </is>
      </c>
      <c r="BL83" s="35" t="n">
        <v>15.4</v>
      </c>
      <c r="BM83" s="34" t="inlineStr">
        <is>
          <t>Very High</t>
        </is>
      </c>
      <c r="BN83" s="31" t="inlineStr">
        <is>
          <t>Mixed Asset MYR Global</t>
        </is>
      </c>
      <c r="BO83" s="31"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P83" s="37" t="n">
        <v>1.7432</v>
      </c>
      <c r="BQ83" s="34" t="inlineStr">
        <is>
          <t>2025-10-28</t>
        </is>
      </c>
      <c r="BR83" s="37" t="n">
        <v>1.5285</v>
      </c>
      <c r="BS83" s="36" t="n">
        <v>-12.32</v>
      </c>
      <c r="BT83" s="32" t="n">
        <v>160</v>
      </c>
    </row>
    <row r="84" ht="16" customHeight="1">
      <c r="A84" s="26" t="inlineStr">
        <is>
          <t>PUBLIC BALANCED FUND</t>
        </is>
      </c>
      <c r="B84" s="26" t="inlineStr">
        <is>
          <t>PBF</t>
        </is>
      </c>
      <c r="C84" s="26" t="inlineStr">
        <is>
          <t>Conventional</t>
        </is>
      </c>
      <c r="D84" s="26" t="inlineStr">
        <is>
          <t>Mixed Asset / Balanced</t>
        </is>
      </c>
      <c r="E84" s="26" t="inlineStr">
        <is>
          <t>Malaysia</t>
        </is>
      </c>
      <c r="F84" s="23" t="inlineStr">
        <is>
          <t>Capital Growth + Income</t>
        </is>
      </c>
      <c r="G84" s="24" t="n">
        <v>3</v>
      </c>
      <c r="H84" s="23" t="inlineStr">
        <is>
          <t>Incidental</t>
        </is>
      </c>
      <c r="I84" s="25" t="n">
        <v>341.62</v>
      </c>
      <c r="J84" s="26" t="inlineStr">
        <is>
          <t>07.06.1995</t>
        </is>
      </c>
      <c r="K84" s="26" t="inlineStr">
        <is>
          <t>Qualified</t>
        </is>
      </c>
      <c r="L84" s="27" t="n">
        <v>60</v>
      </c>
      <c r="M84" s="26" t="inlineStr">
        <is>
          <t>3/5</t>
        </is>
      </c>
      <c r="N84" s="28" t="n">
        <v>1.42</v>
      </c>
      <c r="O84" s="28" t="n">
        <v>1.52</v>
      </c>
      <c r="P84" s="28" t="n">
        <v>-0.1</v>
      </c>
      <c r="Q84" s="28" t="n">
        <v>5.56</v>
      </c>
      <c r="R84" s="28" t="n">
        <v>6.89</v>
      </c>
      <c r="S84" s="28" t="n">
        <v>-1.33</v>
      </c>
      <c r="T84" s="28" t="n">
        <v>6.16</v>
      </c>
      <c r="U84" s="28" t="n">
        <v>4.93</v>
      </c>
      <c r="V84" s="28" t="n">
        <v>1.23</v>
      </c>
      <c r="W84" s="28" t="n">
        <v>4.03</v>
      </c>
      <c r="X84" s="28" t="n">
        <v>2.37</v>
      </c>
      <c r="Y84" s="28" t="n">
        <v>1.66</v>
      </c>
      <c r="Z84" s="28" t="n">
        <v>4.19</v>
      </c>
      <c r="AA84" s="28" t="n">
        <v>1.62</v>
      </c>
      <c r="AB84" s="28" t="n">
        <v>2.57</v>
      </c>
      <c r="AC84" s="28">
        <f>IF(OR(P84="",BL84="",BL84=0),"",P84/BL84)</f>
        <v/>
      </c>
      <c r="AD84" s="28">
        <f>IF(OR(S84="",BL84="",BL84=0),"",S84/BL84)</f>
        <v/>
      </c>
      <c r="AE84" s="28">
        <f>IF(OR(V84="",BL84="",BL84=0),"",V84/BL84)</f>
        <v/>
      </c>
      <c r="AF84" s="28">
        <f>IF(OR(Y84="",BL84="",BL84=0),"",Y84/BL84)</f>
        <v/>
      </c>
      <c r="AG84" s="28">
        <f>IF(OR(AB84="",BL84="",BL84=0),"",AB84/BL84)</f>
        <v/>
      </c>
      <c r="AH84" s="27" t="n">
        <v>36.7</v>
      </c>
      <c r="AI84" s="27" t="n">
        <v>18.9</v>
      </c>
      <c r="AJ84" s="27" t="n">
        <v>36.4</v>
      </c>
      <c r="AK84" s="27" t="n">
        <v>8</v>
      </c>
      <c r="AL84" s="27" t="n"/>
      <c r="AM84" s="27" t="n"/>
      <c r="AN84" s="27" t="n">
        <v>3.1</v>
      </c>
      <c r="AO84" s="27" t="n"/>
      <c r="AP84" s="27" t="n"/>
      <c r="AQ84" s="27" t="n">
        <v>3.9</v>
      </c>
      <c r="AR84" s="27" t="n"/>
      <c r="AS84" s="27" t="n"/>
      <c r="AT84" s="27" t="n">
        <v>11.9</v>
      </c>
      <c r="AU84" s="27" t="n"/>
      <c r="AV84" s="27" t="n"/>
      <c r="AW84" s="27" t="n"/>
      <c r="AX84" s="27" t="n"/>
      <c r="AY84" s="27" t="n"/>
      <c r="AZ84" s="27" t="n">
        <v>6.6</v>
      </c>
      <c r="BA84" s="27" t="n">
        <v>7.7</v>
      </c>
      <c r="BB84" s="27" t="n">
        <v>21.9</v>
      </c>
      <c r="BC84" s="27" t="n">
        <v>6.3</v>
      </c>
      <c r="BD84" s="27" t="n"/>
      <c r="BE84" s="27" t="n"/>
      <c r="BF84" s="27" t="n">
        <v>9.1</v>
      </c>
      <c r="BG84" s="27" t="n"/>
      <c r="BH84" s="27" t="n"/>
      <c r="BI84" s="27" t="n"/>
      <c r="BJ84" s="27" t="n"/>
      <c r="BK84" s="23" t="inlineStr">
        <is>
          <t>Tenaga Nasional Berhad | Malayan Banking Berhad | Alibaba Group Holding Limited - W | Semiconductor Manufacturing International Corporation | Public Bank Berhad</t>
        </is>
      </c>
      <c r="BL84" s="27" t="n">
        <v>7.2</v>
      </c>
      <c r="BM84" s="26" t="inlineStr">
        <is>
          <t>Low</t>
        </is>
      </c>
      <c r="BN84" s="23" t="inlineStr">
        <is>
          <t>Mixed Asset MYR Domestic 30% of the fund’s NAV</t>
        </is>
      </c>
      <c r="BO84" s="23"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P84" s="29" t="n">
        <v>1.0016</v>
      </c>
      <c r="BQ84" s="26" t="inlineStr">
        <is>
          <t>2007-05-22</t>
        </is>
      </c>
      <c r="BR84" s="29" t="n">
        <v>0.7554</v>
      </c>
      <c r="BS84" s="28" t="n">
        <v>-24.58</v>
      </c>
      <c r="BT84" s="24" t="n">
        <v>6894</v>
      </c>
    </row>
    <row r="85" ht="16" customHeight="1">
      <c r="A85" s="30" t="inlineStr">
        <is>
          <t>PUBLIC ISLAMIC ENHANCED BOND FUND</t>
        </is>
      </c>
      <c r="B85" s="30" t="inlineStr">
        <is>
          <t>PIEBF</t>
        </is>
      </c>
      <c r="C85" s="30" t="inlineStr">
        <is>
          <t>Shariah</t>
        </is>
      </c>
      <c r="D85" s="30" t="inlineStr">
        <is>
          <t>Fixed Income</t>
        </is>
      </c>
      <c r="E85" s="30" t="inlineStr">
        <is>
          <t>Malaysia</t>
        </is>
      </c>
      <c r="F85" s="31" t="inlineStr">
        <is>
          <t>Capital Growth + Income</t>
        </is>
      </c>
      <c r="G85" s="32" t="n">
        <v>2</v>
      </c>
      <c r="H85" s="31" t="inlineStr">
        <is>
          <t>Annual</t>
        </is>
      </c>
      <c r="I85" s="33" t="n">
        <v>500.25</v>
      </c>
      <c r="J85" s="34" t="inlineStr">
        <is>
          <t>28.11.2006</t>
        </is>
      </c>
      <c r="K85" s="34" t="inlineStr">
        <is>
          <t>Qualified</t>
        </is>
      </c>
      <c r="L85" s="35" t="n">
        <v>100</v>
      </c>
      <c r="M85" s="34" t="inlineStr">
        <is>
          <t>5/5</t>
        </is>
      </c>
      <c r="N85" s="36" t="n">
        <v>1.19</v>
      </c>
      <c r="O85" s="36" t="n">
        <v>0.32</v>
      </c>
      <c r="P85" s="36" t="n">
        <v>0.87</v>
      </c>
      <c r="Q85" s="36" t="n">
        <v>3.44</v>
      </c>
      <c r="R85" s="36" t="n">
        <v>2.59</v>
      </c>
      <c r="S85" s="36" t="n">
        <v>0.85</v>
      </c>
      <c r="T85" s="36" t="n">
        <v>6.37</v>
      </c>
      <c r="U85" s="36" t="n">
        <v>3.13</v>
      </c>
      <c r="V85" s="36" t="n">
        <v>3.24</v>
      </c>
      <c r="W85" s="36" t="n">
        <v>4.15</v>
      </c>
      <c r="X85" s="36" t="n">
        <v>2.91</v>
      </c>
      <c r="Y85" s="36" t="n">
        <v>1.24</v>
      </c>
      <c r="Z85" s="36" t="n">
        <v>4.22</v>
      </c>
      <c r="AA85" s="36" t="n">
        <v>3.06</v>
      </c>
      <c r="AB85" s="36" t="n">
        <v>1.16</v>
      </c>
      <c r="AC85" s="36">
        <f>IF(OR(P85="",BL85="",BL85=0),"",P85/BL85)</f>
        <v/>
      </c>
      <c r="AD85" s="36">
        <f>IF(OR(S85="",BL85="",BL85=0),"",S85/BL85)</f>
        <v/>
      </c>
      <c r="AE85" s="36">
        <f>IF(OR(V85="",BL85="",BL85=0),"",V85/BL85)</f>
        <v/>
      </c>
      <c r="AF85" s="36">
        <f>IF(OR(Y85="",BL85="",BL85=0),"",Y85/BL85)</f>
        <v/>
      </c>
      <c r="AG85" s="36">
        <f>IF(OR(AB85="",BL85="",BL85=0),"",AB85/BL85)</f>
        <v/>
      </c>
      <c r="AH85" s="35" t="n"/>
      <c r="AI85" s="35" t="n">
        <v>13.5</v>
      </c>
      <c r="AJ85" s="35" t="n">
        <v>70.59999999999999</v>
      </c>
      <c r="AK85" s="35" t="n">
        <v>15.9</v>
      </c>
      <c r="AL85" s="35" t="n"/>
      <c r="AM85" s="35" t="n"/>
      <c r="AN85" s="35" t="n"/>
      <c r="AO85" s="35" t="n"/>
      <c r="AP85" s="35" t="n"/>
      <c r="AQ85" s="35" t="n"/>
      <c r="AR85" s="35" t="n"/>
      <c r="AS85" s="35" t="n"/>
      <c r="AT85" s="35" t="n"/>
      <c r="AU85" s="35" t="n"/>
      <c r="AV85" s="35" t="n"/>
      <c r="AW85" s="35" t="n"/>
      <c r="AX85" s="35" t="n"/>
      <c r="AY85" s="35" t="n"/>
      <c r="AZ85" s="35" t="n"/>
      <c r="BA85" s="35" t="n"/>
      <c r="BB85" s="35" t="n"/>
      <c r="BC85" s="35" t="n"/>
      <c r="BD85" s="35" t="n"/>
      <c r="BE85" s="35" t="n"/>
      <c r="BF85" s="35" t="n"/>
      <c r="BG85" s="35" t="n"/>
      <c r="BH85" s="35" t="n"/>
      <c r="BI85" s="35" t="n"/>
      <c r="BJ85" s="35" t="n"/>
      <c r="BK85" s="31" t="inlineStr">
        <is>
          <t>Pengurusan Air SPV Berhad - 4.06% / 2039* | Government Investment Issue - 4.291% / 2043* | CIMB Islamic Bank Berhad - 4.13% / 2034* | Projek Lebuhraya Usahasama Berhad - 5.00% / 2038* | TNB Power Generation Sdn Bhd - 5.20% / 2042*</t>
        </is>
      </c>
      <c r="BL85" s="35" t="n">
        <v>4.6</v>
      </c>
      <c r="BM85" s="34" t="inlineStr">
        <is>
          <t>Low</t>
        </is>
      </c>
      <c r="BN85" s="31" t="inlineStr">
        <is>
          <t>Mixed Asset MYR</t>
        </is>
      </c>
      <c r="BO85" s="31" t="inlineStr">
        <is>
          <t>12-Month General Investment Account (GIA) rate (prior to 1 July 2025). Public Islamic Bank 12-Month Term Deposit-i (w.e.f. 1 July 2025).</t>
        </is>
      </c>
      <c r="BP85" s="37" t="n">
        <v>1.2617</v>
      </c>
      <c r="BQ85" s="34" t="inlineStr">
        <is>
          <t>2024-12-24</t>
        </is>
      </c>
      <c r="BR85" s="37" t="n">
        <v>1.1684</v>
      </c>
      <c r="BS85" s="36" t="n">
        <v>-7.39</v>
      </c>
      <c r="BT85" s="32" t="n">
        <v>468</v>
      </c>
    </row>
    <row r="86" ht="16" customHeight="1">
      <c r="A86" s="26" t="inlineStr">
        <is>
          <t>PB FIXED INCOME FUND</t>
        </is>
      </c>
      <c r="B86" s="26" t="inlineStr">
        <is>
          <t>PBFI</t>
        </is>
      </c>
      <c r="C86" s="26" t="inlineStr">
        <is>
          <t>Conventional</t>
        </is>
      </c>
      <c r="D86" s="26" t="inlineStr">
        <is>
          <t>Fixed Income</t>
        </is>
      </c>
      <c r="E86" s="26" t="inlineStr">
        <is>
          <t>Malaysia</t>
        </is>
      </c>
      <c r="F86" s="23" t="inlineStr">
        <is>
          <t>Income</t>
        </is>
      </c>
      <c r="G86" s="24" t="n">
        <v>2</v>
      </c>
      <c r="H86" s="23" t="inlineStr">
        <is>
          <t>Annual</t>
        </is>
      </c>
      <c r="I86" s="25" t="n">
        <v>645.61</v>
      </c>
      <c r="J86" s="26" t="inlineStr">
        <is>
          <t>03.10.2002</t>
        </is>
      </c>
      <c r="K86" s="26" t="inlineStr">
        <is>
          <t>Qualified</t>
        </is>
      </c>
      <c r="L86" s="27" t="n">
        <v>100</v>
      </c>
      <c r="M86" s="26" t="inlineStr">
        <is>
          <t>5/5</t>
        </is>
      </c>
      <c r="N86" s="28" t="n">
        <v>0.33</v>
      </c>
      <c r="O86" s="28" t="n">
        <v>0.32</v>
      </c>
      <c r="P86" s="28" t="n">
        <v>0.01</v>
      </c>
      <c r="Q86" s="28" t="n">
        <v>4.11</v>
      </c>
      <c r="R86" s="28" t="n">
        <v>2.22</v>
      </c>
      <c r="S86" s="28" t="n">
        <v>1.89</v>
      </c>
      <c r="T86" s="28" t="n">
        <v>4.63</v>
      </c>
      <c r="U86" s="28" t="n">
        <v>2.55</v>
      </c>
      <c r="V86" s="28" t="n">
        <v>2.08</v>
      </c>
      <c r="W86" s="28" t="n">
        <v>3.54</v>
      </c>
      <c r="X86" s="28" t="n">
        <v>2.38</v>
      </c>
      <c r="Y86" s="28" t="n">
        <v>1.16</v>
      </c>
      <c r="Z86" s="28" t="n">
        <v>4.19</v>
      </c>
      <c r="AA86" s="28" t="n">
        <v>2.67</v>
      </c>
      <c r="AB86" s="28" t="n">
        <v>1.52</v>
      </c>
      <c r="AC86" s="28">
        <f>IF(OR(P86="",BL86="",BL86=0),"",P86/BL86)</f>
        <v/>
      </c>
      <c r="AD86" s="28">
        <f>IF(OR(S86="",BL86="",BL86=0),"",S86/BL86)</f>
        <v/>
      </c>
      <c r="AE86" s="28">
        <f>IF(OR(V86="",BL86="",BL86=0),"",V86/BL86)</f>
        <v/>
      </c>
      <c r="AF86" s="28">
        <f>IF(OR(Y86="",BL86="",BL86=0),"",Y86/BL86)</f>
        <v/>
      </c>
      <c r="AG86" s="28">
        <f>IF(OR(AB86="",BL86="",BL86=0),"",AB86/BL86)</f>
        <v/>
      </c>
      <c r="AH86" s="27" t="n"/>
      <c r="AI86" s="27" t="n"/>
      <c r="AJ86" s="27" t="n">
        <v>82.2</v>
      </c>
      <c r="AK86" s="27" t="n">
        <v>17.8</v>
      </c>
      <c r="AL86" s="27" t="n"/>
      <c r="AM86" s="27" t="n"/>
      <c r="AN86" s="27" t="n"/>
      <c r="AO86" s="27" t="n"/>
      <c r="AP86" s="27" t="n"/>
      <c r="AQ86" s="27" t="n"/>
      <c r="AR86" s="27" t="n"/>
      <c r="AS86" s="27" t="n"/>
      <c r="AT86" s="27" t="n"/>
      <c r="AU86" s="27" t="n"/>
      <c r="AV86" s="27" t="n"/>
      <c r="AW86" s="27" t="n"/>
      <c r="AX86" s="27" t="n"/>
      <c r="AY86" s="27" t="n"/>
      <c r="AZ86" s="27" t="n"/>
      <c r="BA86" s="27" t="n"/>
      <c r="BB86" s="27" t="n"/>
      <c r="BC86" s="27" t="n"/>
      <c r="BD86" s="27" t="n"/>
      <c r="BE86" s="27" t="n"/>
      <c r="BF86" s="27" t="n"/>
      <c r="BG86" s="27" t="n"/>
      <c r="BH86" s="27" t="n"/>
      <c r="BI86" s="27" t="n"/>
      <c r="BJ86" s="27" t="n"/>
      <c r="BK86" s="23" t="inlineStr">
        <is>
          <t>Danum Capital Berhad - 3.82% / 2036* | Pengurusan Air SPV Berhad - 4.06% / 2039* | Sabah Credit Corporation - 3.78% / 2035* | Petroleum Sarawak E&amp;P Sdn Bhd - 3.70% / 2035* | Johor Plantations Group Berhad - 4.19% / 2039*</t>
        </is>
      </c>
      <c r="BL86" s="27" t="n">
        <v>1.3</v>
      </c>
      <c r="BM86" s="26" t="inlineStr">
        <is>
          <t>Very Low</t>
        </is>
      </c>
      <c r="BN86" s="23" t="inlineStr">
        <is>
          <t>Bond MYR</t>
        </is>
      </c>
      <c r="BO86" s="23" t="n"/>
      <c r="BP86" s="29" t="n">
        <v>1.1445</v>
      </c>
      <c r="BQ86" s="26" t="inlineStr">
        <is>
          <t>2020-06-30</t>
        </is>
      </c>
      <c r="BR86" s="29" t="n">
        <v>1.0895</v>
      </c>
      <c r="BS86" s="28" t="n">
        <v>-4.81</v>
      </c>
      <c r="BT86" s="24" t="n">
        <v>2106</v>
      </c>
    </row>
    <row r="87" ht="16" customHeight="1">
      <c r="A87" s="30" t="inlineStr">
        <is>
          <t>PUBLIC e-INCOME FUND</t>
        </is>
      </c>
      <c r="B87" s="30" t="inlineStr">
        <is>
          <t>PeINCF</t>
        </is>
      </c>
      <c r="C87" s="30" t="inlineStr">
        <is>
          <t>Shariah</t>
        </is>
      </c>
      <c r="D87" s="30" t="inlineStr">
        <is>
          <t>Fixed Income</t>
        </is>
      </c>
      <c r="E87" s="30" t="inlineStr">
        <is>
          <t>Malaysia</t>
        </is>
      </c>
      <c r="F87" s="31" t="inlineStr">
        <is>
          <t>Income</t>
        </is>
      </c>
      <c r="G87" s="32" t="n">
        <v>2</v>
      </c>
      <c r="H87" s="31" t="inlineStr">
        <is>
          <t>Annual</t>
        </is>
      </c>
      <c r="I87" s="33" t="n">
        <v>246</v>
      </c>
      <c r="J87" s="34" t="inlineStr">
        <is>
          <t>01.07.2020</t>
        </is>
      </c>
      <c r="K87" s="34" t="inlineStr">
        <is>
          <t>Qualified</t>
        </is>
      </c>
      <c r="L87" s="35" t="n">
        <v>100</v>
      </c>
      <c r="M87" s="34" t="inlineStr">
        <is>
          <t>4/4</t>
        </is>
      </c>
      <c r="N87" s="36" t="n">
        <v>0.54</v>
      </c>
      <c r="O87" s="36" t="n">
        <v>0.3</v>
      </c>
      <c r="P87" s="36" t="n">
        <v>0.24</v>
      </c>
      <c r="Q87" s="36" t="n">
        <v>3.95</v>
      </c>
      <c r="R87" s="36" t="n">
        <v>2.04</v>
      </c>
      <c r="S87" s="36" t="n">
        <v>1.91</v>
      </c>
      <c r="T87" s="36" t="n">
        <v>3.85</v>
      </c>
      <c r="U87" s="36" t="n">
        <v>2.35</v>
      </c>
      <c r="V87" s="36" t="n">
        <v>1.5</v>
      </c>
      <c r="W87" s="36" t="n">
        <v>3.09</v>
      </c>
      <c r="X87" s="36" t="n">
        <v>2.18</v>
      </c>
      <c r="Y87" s="36" t="n">
        <v>0.91</v>
      </c>
      <c r="Z87" s="36" t="n"/>
      <c r="AA87" s="36" t="n"/>
      <c r="AB87" s="36" t="n"/>
      <c r="AC87" s="36">
        <f>IF(OR(P87="",BL87="",BL87=0),"",P87/BL87)</f>
        <v/>
      </c>
      <c r="AD87" s="36">
        <f>IF(OR(S87="",BL87="",BL87=0),"",S87/BL87)</f>
        <v/>
      </c>
      <c r="AE87" s="36">
        <f>IF(OR(V87="",BL87="",BL87=0),"",V87/BL87)</f>
        <v/>
      </c>
      <c r="AF87" s="36">
        <f>IF(OR(Y87="",BL87="",BL87=0),"",Y87/BL87)</f>
        <v/>
      </c>
      <c r="AG87" s="36">
        <f>IF(OR(AB87="",BL87="",BL87=0),"",AB87/BL87)</f>
        <v/>
      </c>
      <c r="AH87" s="35" t="n"/>
      <c r="AI87" s="35" t="n"/>
      <c r="AJ87" s="35" t="n">
        <v>36.5</v>
      </c>
      <c r="AK87" s="35" t="n">
        <v>63.5</v>
      </c>
      <c r="AL87" s="35" t="n"/>
      <c r="AM87" s="35" t="n"/>
      <c r="AN87" s="35" t="n"/>
      <c r="AO87" s="35" t="n"/>
      <c r="AP87" s="35" t="n"/>
      <c r="AQ87" s="35" t="n"/>
      <c r="AR87" s="35" t="n"/>
      <c r="AS87" s="35" t="n"/>
      <c r="AT87" s="35" t="n"/>
      <c r="AU87" s="35" t="n"/>
      <c r="AV87" s="35" t="n"/>
      <c r="AW87" s="35" t="n"/>
      <c r="AX87" s="35" t="n"/>
      <c r="AY87" s="35" t="n"/>
      <c r="AZ87" s="35" t="n"/>
      <c r="BA87" s="35" t="n"/>
      <c r="BB87" s="35" t="n"/>
      <c r="BC87" s="35" t="n"/>
      <c r="BD87" s="35" t="n"/>
      <c r="BE87" s="35" t="n"/>
      <c r="BF87" s="35" t="n"/>
      <c r="BG87" s="35" t="n"/>
      <c r="BH87" s="35" t="n"/>
      <c r="BI87" s="35" t="n"/>
      <c r="BJ87" s="35" t="n"/>
      <c r="BK87" s="31" t="inlineStr">
        <is>
          <t>Bank Islam Malaysia Berhad - 3.85% / 2032** | Public Bank Berhad - 3.73% / 2032* | Sabah Credit Corporation - 3.66% / 2032** | Petroleum Sarawak E&amp;P Sdn Bhd - 3.64% / 2032** | Pengurusan Air Selangor Sdn Bhd - 3.76% / 2035**</t>
        </is>
      </c>
      <c r="BL87" s="35" t="n">
        <v>0.3</v>
      </c>
      <c r="BM87" s="34" t="inlineStr">
        <is>
          <t>Very Low</t>
        </is>
      </c>
      <c r="BN87" s="31" t="inlineStr">
        <is>
          <t>Bond MYR</t>
        </is>
      </c>
      <c r="BO87" s="31" t="inlineStr">
        <is>
          <t>50% Public Bank 12-Month Fixed Deposit Rate (FDR) and 50% Public Bank 1-Month FDR.</t>
        </is>
      </c>
      <c r="BP87" s="37" t="n">
        <v>1.0486</v>
      </c>
      <c r="BQ87" s="34" t="inlineStr">
        <is>
          <t>2024-07-31</t>
        </is>
      </c>
      <c r="BR87" s="37" t="n">
        <v>1.0309</v>
      </c>
      <c r="BS87" s="36" t="n">
        <v>-1.69</v>
      </c>
      <c r="BT87" s="32" t="n">
        <v>614</v>
      </c>
    </row>
    <row r="88" ht="16" customHeight="1">
      <c r="A88" s="26" t="inlineStr">
        <is>
          <t>PUBLIC SELECT BOND FUND</t>
        </is>
      </c>
      <c r="B88" s="26" t="inlineStr">
        <is>
          <t>PSBF</t>
        </is>
      </c>
      <c r="C88" s="26" t="inlineStr">
        <is>
          <t>Conventional</t>
        </is>
      </c>
      <c r="D88" s="26" t="inlineStr">
        <is>
          <t>Fixed Income</t>
        </is>
      </c>
      <c r="E88" s="26" t="inlineStr">
        <is>
          <t>Malaysia</t>
        </is>
      </c>
      <c r="F88" s="23" t="inlineStr">
        <is>
          <t>Income</t>
        </is>
      </c>
      <c r="G88" s="24" t="n">
        <v>2</v>
      </c>
      <c r="H88" s="23" t="inlineStr">
        <is>
          <t>Annual</t>
        </is>
      </c>
      <c r="I88" s="25" t="n">
        <v>303.19</v>
      </c>
      <c r="J88" s="26" t="inlineStr">
        <is>
          <t>22.11.2005</t>
        </is>
      </c>
      <c r="K88" s="26" t="inlineStr">
        <is>
          <t>Qualified</t>
        </is>
      </c>
      <c r="L88" s="27" t="n">
        <v>100</v>
      </c>
      <c r="M88" s="26" t="inlineStr">
        <is>
          <t>5/5</t>
        </is>
      </c>
      <c r="N88" s="28" t="n">
        <v>0.53</v>
      </c>
      <c r="O88" s="28" t="n">
        <v>0.32</v>
      </c>
      <c r="P88" s="28" t="n">
        <v>0.21</v>
      </c>
      <c r="Q88" s="28" t="n">
        <v>4.23</v>
      </c>
      <c r="R88" s="28" t="n">
        <v>2.22</v>
      </c>
      <c r="S88" s="28" t="n">
        <v>2.01</v>
      </c>
      <c r="T88" s="28" t="n">
        <v>3.94</v>
      </c>
      <c r="U88" s="28" t="n">
        <v>2.55</v>
      </c>
      <c r="V88" s="28" t="n">
        <v>1.39</v>
      </c>
      <c r="W88" s="28" t="n">
        <v>2.84</v>
      </c>
      <c r="X88" s="28" t="n">
        <v>2.38</v>
      </c>
      <c r="Y88" s="28" t="n">
        <v>0.46</v>
      </c>
      <c r="Z88" s="28" t="n">
        <v>3.62</v>
      </c>
      <c r="AA88" s="28" t="n">
        <v>2.67</v>
      </c>
      <c r="AB88" s="28" t="n">
        <v>0.95</v>
      </c>
      <c r="AC88" s="28">
        <f>IF(OR(P88="",BL88="",BL88=0),"",P88/BL88)</f>
        <v/>
      </c>
      <c r="AD88" s="28">
        <f>IF(OR(S88="",BL88="",BL88=0),"",S88/BL88)</f>
        <v/>
      </c>
      <c r="AE88" s="28">
        <f>IF(OR(V88="",BL88="",BL88=0),"",V88/BL88)</f>
        <v/>
      </c>
      <c r="AF88" s="28">
        <f>IF(OR(Y88="",BL88="",BL88=0),"",Y88/BL88)</f>
        <v/>
      </c>
      <c r="AG88" s="28">
        <f>IF(OR(AB88="",BL88="",BL88=0),"",AB88/BL88)</f>
        <v/>
      </c>
      <c r="AH88" s="27" t="n"/>
      <c r="AI88" s="27" t="n"/>
      <c r="AJ88" s="27" t="n">
        <v>85.40000000000001</v>
      </c>
      <c r="AK88" s="27" t="n">
        <v>14.6</v>
      </c>
      <c r="AL88" s="27" t="n"/>
      <c r="AM88" s="27" t="n"/>
      <c r="AN88" s="27" t="n"/>
      <c r="AO88" s="27" t="n"/>
      <c r="AP88" s="27" t="n"/>
      <c r="AQ88" s="27" t="n"/>
      <c r="AR88" s="27" t="n"/>
      <c r="AS88" s="27" t="n"/>
      <c r="AT88" s="27" t="n"/>
      <c r="AU88" s="27" t="n"/>
      <c r="AV88" s="27" t="n"/>
      <c r="AW88" s="27" t="n"/>
      <c r="AX88" s="27" t="n"/>
      <c r="AY88" s="27" t="n"/>
      <c r="AZ88" s="27" t="n"/>
      <c r="BA88" s="27" t="n"/>
      <c r="BB88" s="27" t="n"/>
      <c r="BC88" s="27" t="n"/>
      <c r="BD88" s="27" t="n"/>
      <c r="BE88" s="27" t="n"/>
      <c r="BF88" s="27" t="n"/>
      <c r="BG88" s="27" t="n"/>
      <c r="BH88" s="27" t="n"/>
      <c r="BI88" s="27" t="n"/>
      <c r="BJ88" s="27" t="n"/>
      <c r="BK88" s="23" t="inlineStr">
        <is>
          <t>CIMB Islamic Bank Berhad - 4.03% / 2031* | Bank Islam Malaysia Berhad - 3.85% / 2032* | PNB Merdeka Ventures Sdn Bhd - 3.79% / 2032*</t>
        </is>
      </c>
      <c r="BL88" s="27" t="n">
        <v>0.9</v>
      </c>
      <c r="BM88" s="26" t="inlineStr">
        <is>
          <t>Very Low</t>
        </is>
      </c>
      <c r="BN88" s="23" t="inlineStr">
        <is>
          <t>Bond MYR</t>
        </is>
      </c>
      <c r="BO88" s="23" t="n"/>
      <c r="BP88" s="29" t="n">
        <v>1.082</v>
      </c>
      <c r="BQ88" s="26" t="inlineStr">
        <is>
          <t>2007-05-23</t>
        </is>
      </c>
      <c r="BR88" s="29" t="n">
        <v>1.0271</v>
      </c>
      <c r="BS88" s="28" t="n">
        <v>-5.07</v>
      </c>
      <c r="BT88" s="24" t="n">
        <v>6893</v>
      </c>
    </row>
    <row r="89" ht="16" customHeight="1">
      <c r="A89" s="30" t="inlineStr">
        <is>
          <t>PUBLIC ISLAMIC SELECT BOND</t>
        </is>
      </c>
      <c r="B89" s="30" t="inlineStr">
        <is>
          <t>PISBF</t>
        </is>
      </c>
      <c r="C89" s="30" t="inlineStr">
        <is>
          <t>Shariah</t>
        </is>
      </c>
      <c r="D89" s="30" t="inlineStr">
        <is>
          <t>Fixed Income</t>
        </is>
      </c>
      <c r="E89" s="30" t="inlineStr">
        <is>
          <t>Malaysia</t>
        </is>
      </c>
      <c r="F89" s="31" t="inlineStr">
        <is>
          <t>Income</t>
        </is>
      </c>
      <c r="G89" s="32" t="n">
        <v>2</v>
      </c>
      <c r="H89" s="31" t="inlineStr">
        <is>
          <t>Annual</t>
        </is>
      </c>
      <c r="I89" s="33" t="n">
        <v>246.22</v>
      </c>
      <c r="J89" s="34" t="inlineStr">
        <is>
          <t>10.07.2007</t>
        </is>
      </c>
      <c r="K89" s="34" t="inlineStr">
        <is>
          <t>Qualified</t>
        </is>
      </c>
      <c r="L89" s="35" t="n">
        <v>100</v>
      </c>
      <c r="M89" s="34" t="inlineStr">
        <is>
          <t>5/5</t>
        </is>
      </c>
      <c r="N89" s="36" t="n">
        <v>0.55</v>
      </c>
      <c r="O89" s="36" t="n">
        <v>0.32</v>
      </c>
      <c r="P89" s="36" t="n">
        <v>0.23</v>
      </c>
      <c r="Q89" s="36" t="n">
        <v>4.26</v>
      </c>
      <c r="R89" s="36" t="n">
        <v>2.59</v>
      </c>
      <c r="S89" s="36" t="n">
        <v>1.67</v>
      </c>
      <c r="T89" s="36" t="n">
        <v>4.04</v>
      </c>
      <c r="U89" s="36" t="n">
        <v>3.13</v>
      </c>
      <c r="V89" s="36" t="n">
        <v>0.91</v>
      </c>
      <c r="W89" s="36" t="n">
        <v>2.96</v>
      </c>
      <c r="X89" s="36" t="n">
        <v>2.91</v>
      </c>
      <c r="Y89" s="36" t="n">
        <v>0.05</v>
      </c>
      <c r="Z89" s="36" t="n">
        <v>3.7</v>
      </c>
      <c r="AA89" s="36" t="n">
        <v>3.06</v>
      </c>
      <c r="AB89" s="36" t="n">
        <v>0.64</v>
      </c>
      <c r="AC89" s="36">
        <f>IF(OR(P89="",BL89="",BL89=0),"",P89/BL89)</f>
        <v/>
      </c>
      <c r="AD89" s="36">
        <f>IF(OR(S89="",BL89="",BL89=0),"",S89/BL89)</f>
        <v/>
      </c>
      <c r="AE89" s="36">
        <f>IF(OR(V89="",BL89="",BL89=0),"",V89/BL89)</f>
        <v/>
      </c>
      <c r="AF89" s="36">
        <f>IF(OR(Y89="",BL89="",BL89=0),"",Y89/BL89)</f>
        <v/>
      </c>
      <c r="AG89" s="36">
        <f>IF(OR(AB89="",BL89="",BL89=0),"",AB89/BL89)</f>
        <v/>
      </c>
      <c r="AH89" s="35" t="n"/>
      <c r="AI89" s="35" t="n"/>
      <c r="AJ89" s="35" t="n">
        <v>85.59999999999999</v>
      </c>
      <c r="AK89" s="35" t="n">
        <v>14.4</v>
      </c>
      <c r="AL89" s="35" t="n"/>
      <c r="AM89" s="35" t="n"/>
      <c r="AN89" s="35" t="n"/>
      <c r="AO89" s="35" t="n"/>
      <c r="AP89" s="35" t="n"/>
      <c r="AQ89" s="35" t="n"/>
      <c r="AR89" s="35" t="n"/>
      <c r="AS89" s="35" t="n"/>
      <c r="AT89" s="35" t="n"/>
      <c r="AU89" s="35" t="n"/>
      <c r="AV89" s="35" t="n"/>
      <c r="AW89" s="35" t="n"/>
      <c r="AX89" s="35" t="n"/>
      <c r="AY89" s="35" t="n"/>
      <c r="AZ89" s="35" t="n"/>
      <c r="BA89" s="35" t="n"/>
      <c r="BB89" s="35" t="n"/>
      <c r="BC89" s="35" t="n"/>
      <c r="BD89" s="35" t="n"/>
      <c r="BE89" s="35" t="n"/>
      <c r="BF89" s="35" t="n"/>
      <c r="BG89" s="35" t="n"/>
      <c r="BH89" s="35" t="n"/>
      <c r="BI89" s="35" t="n"/>
      <c r="BJ89" s="35" t="n"/>
      <c r="BK89" s="31" t="inlineStr">
        <is>
          <t>Bank Islam Malaysia Berhad - 3.85% / 2032* | OSK Rated Bond Sdn Bhd - 4.05% / 2032* | AEON Company (M) Berhad - 3.79% / 2032*</t>
        </is>
      </c>
      <c r="BL89" s="35" t="n">
        <v>1</v>
      </c>
      <c r="BM89" s="34" t="inlineStr">
        <is>
          <t>Very Low</t>
        </is>
      </c>
      <c r="BN89" s="31" t="inlineStr">
        <is>
          <t>Bond Sukuk Malaysia</t>
        </is>
      </c>
      <c r="BO89" s="31" t="inlineStr">
        <is>
          <t>12-Month General Investment Account (GIA) rate (prior to 1 July 2025). Public Islamic Bank 12-Month Term Deposit-i (w.e.f. 1 July 2025).</t>
        </is>
      </c>
      <c r="BP89" s="37" t="n">
        <v>1.098</v>
      </c>
      <c r="BQ89" s="34" t="inlineStr">
        <is>
          <t>2020-07-30</t>
        </is>
      </c>
      <c r="BR89" s="37" t="n">
        <v>1.0482</v>
      </c>
      <c r="BS89" s="36" t="n">
        <v>-4.54</v>
      </c>
      <c r="BT89" s="32" t="n">
        <v>2076</v>
      </c>
    </row>
    <row r="90" ht="16" customHeight="1">
      <c r="A90" s="22" t="inlineStr">
        <is>
          <t>PUBLIC ISLAMIC INCOME FUND</t>
        </is>
      </c>
      <c r="B90" s="22" t="inlineStr">
        <is>
          <t>PI INCOME</t>
        </is>
      </c>
      <c r="C90" s="22" t="inlineStr">
        <is>
          <t>Shariah</t>
        </is>
      </c>
      <c r="D90" s="22" t="inlineStr">
        <is>
          <t>Fixed Income</t>
        </is>
      </c>
      <c r="E90" s="22" t="inlineStr">
        <is>
          <t>Malaysia</t>
        </is>
      </c>
      <c r="F90" s="23" t="inlineStr">
        <is>
          <t>Income</t>
        </is>
      </c>
      <c r="G90" s="24" t="n">
        <v>2</v>
      </c>
      <c r="H90" s="23" t="inlineStr">
        <is>
          <t>Annual</t>
        </is>
      </c>
      <c r="I90" s="25" t="n">
        <v>117.16</v>
      </c>
      <c r="J90" s="26" t="inlineStr">
        <is>
          <t>14.08.2008</t>
        </is>
      </c>
      <c r="K90" s="26" t="inlineStr">
        <is>
          <t>Qualified</t>
        </is>
      </c>
      <c r="L90" s="27" t="n">
        <v>100</v>
      </c>
      <c r="M90" s="26" t="inlineStr">
        <is>
          <t>5/5</t>
        </is>
      </c>
      <c r="N90" s="28" t="n">
        <v>0.4</v>
      </c>
      <c r="O90" s="28" t="n">
        <v>0.32</v>
      </c>
      <c r="P90" s="28" t="n">
        <v>0.08</v>
      </c>
      <c r="Q90" s="28" t="n">
        <v>3.98</v>
      </c>
      <c r="R90" s="28" t="n">
        <v>2.59</v>
      </c>
      <c r="S90" s="28" t="n">
        <v>1.39</v>
      </c>
      <c r="T90" s="28" t="n">
        <v>3.98</v>
      </c>
      <c r="U90" s="28" t="n">
        <v>3.13</v>
      </c>
      <c r="V90" s="28" t="n">
        <v>0.85</v>
      </c>
      <c r="W90" s="28" t="n">
        <v>2.95</v>
      </c>
      <c r="X90" s="28" t="n">
        <v>2.91</v>
      </c>
      <c r="Y90" s="28" t="n">
        <v>0.04</v>
      </c>
      <c r="Z90" s="28" t="n">
        <v>3.47</v>
      </c>
      <c r="AA90" s="28" t="n">
        <v>3.06</v>
      </c>
      <c r="AB90" s="28" t="n">
        <v>0.41</v>
      </c>
      <c r="AC90" s="28">
        <f>IF(OR(P90="",BL90="",BL90=0),"",P90/BL90)</f>
        <v/>
      </c>
      <c r="AD90" s="28">
        <f>IF(OR(S90="",BL90="",BL90=0),"",S90/BL90)</f>
        <v/>
      </c>
      <c r="AE90" s="28">
        <f>IF(OR(V90="",BL90="",BL90=0),"",V90/BL90)</f>
        <v/>
      </c>
      <c r="AF90" s="28">
        <f>IF(OR(Y90="",BL90="",BL90=0),"",Y90/BL90)</f>
        <v/>
      </c>
      <c r="AG90" s="28">
        <f>IF(OR(AB90="",BL90="",BL90=0),"",AB90/BL90)</f>
        <v/>
      </c>
      <c r="AH90" s="27" t="n"/>
      <c r="AI90" s="27" t="n"/>
      <c r="AJ90" s="27" t="n">
        <v>46.9</v>
      </c>
      <c r="AK90" s="27" t="n">
        <v>53.1</v>
      </c>
      <c r="AL90" s="27" t="n"/>
      <c r="AM90" s="27" t="n"/>
      <c r="AN90" s="27" t="n"/>
      <c r="AO90" s="27" t="n"/>
      <c r="AP90" s="27" t="n"/>
      <c r="AQ90" s="27" t="n"/>
      <c r="AR90" s="27" t="n"/>
      <c r="AS90" s="27" t="n"/>
      <c r="AT90" s="27" t="n"/>
      <c r="AU90" s="27" t="n"/>
      <c r="AV90" s="27" t="n"/>
      <c r="AW90" s="27" t="n"/>
      <c r="AX90" s="27" t="n"/>
      <c r="AY90" s="27" t="n"/>
      <c r="AZ90" s="27" t="n"/>
      <c r="BA90" s="27" t="n"/>
      <c r="BB90" s="27" t="n"/>
      <c r="BC90" s="27" t="n"/>
      <c r="BD90" s="27" t="n"/>
      <c r="BE90" s="27" t="n"/>
      <c r="BF90" s="27" t="n"/>
      <c r="BG90" s="27" t="n"/>
      <c r="BH90" s="27" t="n"/>
      <c r="BI90" s="27" t="n"/>
      <c r="BJ90" s="27" t="n"/>
      <c r="BK90" s="23" t="inlineStr">
        <is>
          <t>Projek Lebuhraya Usahasama Berhad - 5.00% / 2038* | Pengurusan Air SPV Berhad - 4.06% / 2039* | Sabah Credit Corporation - 4.10% / 2035* | CIMB Islamic Bank Berhad - 4.07% / 2035* | Gamuda Berhad - 3.99% / 2035*</t>
        </is>
      </c>
      <c r="BL90" s="27" t="n">
        <v>0.8</v>
      </c>
      <c r="BM90" s="26" t="inlineStr">
        <is>
          <t>Very Low</t>
        </is>
      </c>
      <c r="BN90" s="23" t="inlineStr">
        <is>
          <t>Consistent</t>
        </is>
      </c>
      <c r="BO90" s="23" t="inlineStr">
        <is>
          <t>12-Month General Investment Account (GIA) rate (prior to 1 July 2025). Public Islamic Bank 12-Month Term Deposit-i (w.e.f. 1 July 2025).</t>
        </is>
      </c>
      <c r="BP90" s="29" t="n">
        <v>1.1306</v>
      </c>
      <c r="BQ90" s="26" t="inlineStr">
        <is>
          <t>2020-07-30</t>
        </is>
      </c>
      <c r="BR90" s="29" t="n">
        <v>1.0526</v>
      </c>
      <c r="BS90" s="28" t="n">
        <v>-6.9</v>
      </c>
      <c r="BT90" s="24" t="n">
        <v>2076</v>
      </c>
    </row>
    <row r="91" ht="16" customHeight="1">
      <c r="A91" s="30" t="inlineStr">
        <is>
          <t>PUBLIC e-ISLAMIC INCOME FUND</t>
        </is>
      </c>
      <c r="B91" s="30" t="inlineStr">
        <is>
          <t>PeISINCF</t>
        </is>
      </c>
      <c r="C91" s="30" t="inlineStr">
        <is>
          <t>Shariah</t>
        </is>
      </c>
      <c r="D91" s="30" t="inlineStr">
        <is>
          <t>Fixed Income</t>
        </is>
      </c>
      <c r="E91" s="30" t="inlineStr">
        <is>
          <t>Malaysia</t>
        </is>
      </c>
      <c r="F91" s="31" t="inlineStr">
        <is>
          <t>Income</t>
        </is>
      </c>
      <c r="G91" s="32" t="n">
        <v>2</v>
      </c>
      <c r="H91" s="31" t="inlineStr">
        <is>
          <t>Annual</t>
        </is>
      </c>
      <c r="I91" s="33" t="n">
        <v>37.96</v>
      </c>
      <c r="J91" s="34" t="inlineStr">
        <is>
          <t>01.07.2020</t>
        </is>
      </c>
      <c r="K91" s="34" t="inlineStr">
        <is>
          <t>Qualified</t>
        </is>
      </c>
      <c r="L91" s="35" t="n">
        <v>100</v>
      </c>
      <c r="M91" s="34" t="inlineStr">
        <is>
          <t>4/4</t>
        </is>
      </c>
      <c r="N91" s="36" t="n">
        <v>0.49</v>
      </c>
      <c r="O91" s="36" t="n">
        <v>0.3</v>
      </c>
      <c r="P91" s="36" t="n">
        <v>0.19</v>
      </c>
      <c r="Q91" s="36" t="n">
        <v>3.67</v>
      </c>
      <c r="R91" s="36" t="n">
        <v>2.24</v>
      </c>
      <c r="S91" s="36" t="n">
        <v>1.43</v>
      </c>
      <c r="T91" s="36" t="n">
        <v>3.48</v>
      </c>
      <c r="U91" s="36" t="n">
        <v>2.67</v>
      </c>
      <c r="V91" s="36" t="n">
        <v>0.8100000000000001</v>
      </c>
      <c r="W91" s="36" t="n">
        <v>2.58</v>
      </c>
      <c r="X91" s="36" t="n">
        <v>2.46</v>
      </c>
      <c r="Y91" s="36" t="n">
        <v>0.12</v>
      </c>
      <c r="Z91" s="36" t="n"/>
      <c r="AA91" s="36" t="n"/>
      <c r="AB91" s="36" t="n"/>
      <c r="AC91" s="36">
        <f>IF(OR(P91="",BL91="",BL91=0),"",P91/BL91)</f>
        <v/>
      </c>
      <c r="AD91" s="36">
        <f>IF(OR(S91="",BL91="",BL91=0),"",S91/BL91)</f>
        <v/>
      </c>
      <c r="AE91" s="36">
        <f>IF(OR(V91="",BL91="",BL91=0),"",V91/BL91)</f>
        <v/>
      </c>
      <c r="AF91" s="36">
        <f>IF(OR(Y91="",BL91="",BL91=0),"",Y91/BL91)</f>
        <v/>
      </c>
      <c r="AG91" s="36">
        <f>IF(OR(AB91="",BL91="",BL91=0),"",AB91/BL91)</f>
        <v/>
      </c>
      <c r="AH91" s="35" t="n"/>
      <c r="AI91" s="35" t="n"/>
      <c r="AJ91" s="35" t="n">
        <v>36.9</v>
      </c>
      <c r="AK91" s="35" t="n">
        <v>63.1</v>
      </c>
      <c r="AL91" s="35" t="n"/>
      <c r="AM91" s="35" t="n"/>
      <c r="AN91" s="35" t="n"/>
      <c r="AO91" s="35" t="n"/>
      <c r="AP91" s="35" t="n"/>
      <c r="AQ91" s="35" t="n"/>
      <c r="AR91" s="35" t="n"/>
      <c r="AS91" s="35" t="n"/>
      <c r="AT91" s="35" t="n"/>
      <c r="AU91" s="35" t="n"/>
      <c r="AV91" s="35" t="n"/>
      <c r="AW91" s="35" t="n"/>
      <c r="AX91" s="35" t="n"/>
      <c r="AY91" s="35" t="n"/>
      <c r="AZ91" s="35" t="n"/>
      <c r="BA91" s="35" t="n"/>
      <c r="BB91" s="35" t="n"/>
      <c r="BC91" s="35" t="n"/>
      <c r="BD91" s="35" t="n"/>
      <c r="BE91" s="35" t="n"/>
      <c r="BF91" s="35" t="n"/>
      <c r="BG91" s="35" t="n"/>
      <c r="BH91" s="35" t="n"/>
      <c r="BI91" s="35" t="n"/>
      <c r="BJ91" s="35" t="n"/>
      <c r="BK91" s="31" t="inlineStr">
        <is>
          <t>IJM Treasury Management Sdn Bhd - 20/05/2026** | Sabah Credit Corporation - 3.66% / 2032* | Bank Islam Malaysia Berhad - 4.58% / 2029 / 2123* | Petroleum Sarawak E&amp;P Sdn Bhd - 3.64% / 2032* | RHB Bank Berhad - 3.81% / 2032*</t>
        </is>
      </c>
      <c r="BL91" s="35" t="n">
        <v>0.3</v>
      </c>
      <c r="BM91" s="34" t="inlineStr">
        <is>
          <t>Very Low</t>
        </is>
      </c>
      <c r="BN91" s="31" t="inlineStr">
        <is>
          <t>Bond Sukuk Malaysia</t>
        </is>
      </c>
      <c r="BO91" s="31" t="inlineStr">
        <is>
          <t>50%12-MonthGeneralInvestmentAccountRate(priorto1July2025),50%Public IslamicBank12-MonthTermDeposit-i(w.e.f.1July2025)and50%PublicIslamic Bank 1-Month Term Deposit-i.</t>
        </is>
      </c>
      <c r="BP91" s="37" t="n">
        <v>1.037</v>
      </c>
      <c r="BQ91" s="34" t="inlineStr">
        <is>
          <t>2025-07-31</t>
        </is>
      </c>
      <c r="BR91" s="37" t="n">
        <v>1.0252</v>
      </c>
      <c r="BS91" s="36" t="n">
        <v>-1.14</v>
      </c>
      <c r="BT91" s="32" t="n">
        <v>249</v>
      </c>
    </row>
    <row r="92" ht="16" customHeight="1">
      <c r="A92" s="26" t="inlineStr">
        <is>
          <t>PUBLIC ENHANCED BOND FUND</t>
        </is>
      </c>
      <c r="B92" s="26" t="inlineStr">
        <is>
          <t>PEBF</t>
        </is>
      </c>
      <c r="C92" s="26" t="inlineStr">
        <is>
          <t>Conventional</t>
        </is>
      </c>
      <c r="D92" s="26" t="inlineStr">
        <is>
          <t>Fixed Income</t>
        </is>
      </c>
      <c r="E92" s="26" t="inlineStr">
        <is>
          <t>Malaysia</t>
        </is>
      </c>
      <c r="F92" s="23" t="inlineStr">
        <is>
          <t>Capital Growth + Income</t>
        </is>
      </c>
      <c r="G92" s="24" t="n">
        <v>2</v>
      </c>
      <c r="H92" s="23" t="inlineStr">
        <is>
          <t>Annual</t>
        </is>
      </c>
      <c r="I92" s="25" t="n">
        <v>884.86</v>
      </c>
      <c r="J92" s="26" t="inlineStr">
        <is>
          <t>19.01.2005</t>
        </is>
      </c>
      <c r="K92" s="26" t="inlineStr">
        <is>
          <t>Qualified</t>
        </is>
      </c>
      <c r="L92" s="27" t="n">
        <v>80</v>
      </c>
      <c r="M92" s="26" t="inlineStr">
        <is>
          <t>4/5</t>
        </is>
      </c>
      <c r="N92" s="28" t="n">
        <v>-2.06</v>
      </c>
      <c r="O92" s="28" t="n">
        <v>0.32</v>
      </c>
      <c r="P92" s="28" t="n">
        <v>-2.38</v>
      </c>
      <c r="Q92" s="28" t="n">
        <v>4.32</v>
      </c>
      <c r="R92" s="28" t="n">
        <v>2.22</v>
      </c>
      <c r="S92" s="28" t="n">
        <v>2.1</v>
      </c>
      <c r="T92" s="28" t="n">
        <v>7.38</v>
      </c>
      <c r="U92" s="28" t="n">
        <v>2.55</v>
      </c>
      <c r="V92" s="28" t="n">
        <v>4.83</v>
      </c>
      <c r="W92" s="28" t="n">
        <v>4.53</v>
      </c>
      <c r="X92" s="28" t="n">
        <v>2.38</v>
      </c>
      <c r="Y92" s="28" t="n">
        <v>2.15</v>
      </c>
      <c r="Z92" s="28" t="n">
        <v>4.66</v>
      </c>
      <c r="AA92" s="28" t="n">
        <v>2.67</v>
      </c>
      <c r="AB92" s="28" t="n">
        <v>1.99</v>
      </c>
      <c r="AC92" s="28">
        <f>IF(OR(P92="",BL92="",BL92=0),"",P92/BL92)</f>
        <v/>
      </c>
      <c r="AD92" s="28">
        <f>IF(OR(S92="",BL92="",BL92=0),"",S92/BL92)</f>
        <v/>
      </c>
      <c r="AE92" s="28">
        <f>IF(OR(V92="",BL92="",BL92=0),"",V92/BL92)</f>
        <v/>
      </c>
      <c r="AF92" s="28">
        <f>IF(OR(Y92="",BL92="",BL92=0),"",Y92/BL92)</f>
        <v/>
      </c>
      <c r="AG92" s="28">
        <f>IF(OR(AB92="",BL92="",BL92=0),"",AB92/BL92)</f>
        <v/>
      </c>
      <c r="AH92" s="27" t="n">
        <v>2.5</v>
      </c>
      <c r="AI92" s="27" t="n">
        <v>12.6</v>
      </c>
      <c r="AJ92" s="27" t="n">
        <v>71.59999999999999</v>
      </c>
      <c r="AK92" s="27" t="n">
        <v>13.3</v>
      </c>
      <c r="AL92" s="27" t="n"/>
      <c r="AM92" s="27" t="n"/>
      <c r="AN92" s="27" t="n"/>
      <c r="AO92" s="27" t="n"/>
      <c r="AP92" s="27" t="n"/>
      <c r="AQ92" s="27" t="n"/>
      <c r="AR92" s="27" t="n"/>
      <c r="AS92" s="27" t="n"/>
      <c r="AT92" s="27" t="n"/>
      <c r="AU92" s="27" t="n"/>
      <c r="AV92" s="27" t="n"/>
      <c r="AW92" s="27" t="n"/>
      <c r="AX92" s="27" t="n"/>
      <c r="AY92" s="27" t="n"/>
      <c r="AZ92" s="27" t="n"/>
      <c r="BA92" s="27" t="n"/>
      <c r="BB92" s="27" t="n"/>
      <c r="BC92" s="27" t="n"/>
      <c r="BD92" s="27" t="n"/>
      <c r="BE92" s="27" t="n"/>
      <c r="BF92" s="27" t="n"/>
      <c r="BG92" s="27" t="n"/>
      <c r="BH92" s="27" t="n"/>
      <c r="BI92" s="27" t="n"/>
      <c r="BJ92" s="27" t="n"/>
      <c r="BK92" s="23" t="inlineStr">
        <is>
          <t>Government Investment Issue - 4.291% / 2043* | Projek Lebuhraya Usahasama Berhad - 5.00% / 2038* | Danum Capital Berhad - 3.72% / 2040* | Pengurusan Air SPV Berhad - 4.06% / 2039* | PNB Merdeka Ventures Sdn Bhd - 3.79% / 2032*</t>
        </is>
      </c>
      <c r="BL92" s="27" t="n">
        <v>3.2</v>
      </c>
      <c r="BM92" s="26" t="inlineStr">
        <is>
          <t>Very Low</t>
        </is>
      </c>
      <c r="BN92" s="23" t="inlineStr">
        <is>
          <t>Mixed Asset MYR</t>
        </is>
      </c>
      <c r="BO92" s="23" t="n"/>
      <c r="BP92" s="29" t="n">
        <v>1.1848</v>
      </c>
      <c r="BQ92" s="26" t="inlineStr">
        <is>
          <t>2025-10-06</t>
        </is>
      </c>
      <c r="BR92" s="29" t="n">
        <v>1.064</v>
      </c>
      <c r="BS92" s="28" t="n">
        <v>-10.2</v>
      </c>
      <c r="BT92" s="24" t="n">
        <v>182</v>
      </c>
    </row>
    <row r="93" ht="16" customHeight="1">
      <c r="A93" s="34" t="inlineStr">
        <is>
          <t>PB INFRASTRUCTURE BOND FUND</t>
        </is>
      </c>
      <c r="B93" s="34" t="inlineStr">
        <is>
          <t>PBINFBF</t>
        </is>
      </c>
      <c r="C93" s="34" t="inlineStr">
        <is>
          <t>Conventional</t>
        </is>
      </c>
      <c r="D93" s="34" t="inlineStr">
        <is>
          <t>Fixed Income</t>
        </is>
      </c>
      <c r="E93" s="34" t="inlineStr">
        <is>
          <t>Malaysia</t>
        </is>
      </c>
      <c r="F93" s="31" t="inlineStr">
        <is>
          <t>Income</t>
        </is>
      </c>
      <c r="G93" s="32" t="n">
        <v>2</v>
      </c>
      <c r="H93" s="31" t="inlineStr">
        <is>
          <t>Annual</t>
        </is>
      </c>
      <c r="I93" s="33" t="n">
        <v>420.97</v>
      </c>
      <c r="J93" s="34" t="inlineStr">
        <is>
          <t>11.05.2010</t>
        </is>
      </c>
      <c r="K93" s="34" t="inlineStr">
        <is>
          <t>Qualified</t>
        </is>
      </c>
      <c r="L93" s="35" t="n">
        <v>80</v>
      </c>
      <c r="M93" s="34" t="inlineStr">
        <is>
          <t>4/5</t>
        </is>
      </c>
      <c r="N93" s="36" t="n">
        <v>0.24</v>
      </c>
      <c r="O93" s="36" t="n">
        <v>0.32</v>
      </c>
      <c r="P93" s="36" t="n">
        <v>-0.08</v>
      </c>
      <c r="Q93" s="36" t="n">
        <v>4.61</v>
      </c>
      <c r="R93" s="36" t="n">
        <v>2.21</v>
      </c>
      <c r="S93" s="36" t="n">
        <v>2.4</v>
      </c>
      <c r="T93" s="36" t="n">
        <v>5.44</v>
      </c>
      <c r="U93" s="36" t="n">
        <v>2.5</v>
      </c>
      <c r="V93" s="36" t="n">
        <v>2.94</v>
      </c>
      <c r="W93" s="36" t="n">
        <v>3.65</v>
      </c>
      <c r="X93" s="36" t="n">
        <v>2.35</v>
      </c>
      <c r="Y93" s="36" t="n">
        <v>1.3</v>
      </c>
      <c r="Z93" s="36" t="n">
        <v>4.28</v>
      </c>
      <c r="AA93" s="36" t="n">
        <v>2.65</v>
      </c>
      <c r="AB93" s="36" t="n">
        <v>1.63</v>
      </c>
      <c r="AC93" s="36">
        <f>IF(OR(P93="",BL93="",BL93=0),"",P93/BL93)</f>
        <v/>
      </c>
      <c r="AD93" s="36">
        <f>IF(OR(S93="",BL93="",BL93=0),"",S93/BL93)</f>
        <v/>
      </c>
      <c r="AE93" s="36">
        <f>IF(OR(V93="",BL93="",BL93=0),"",V93/BL93)</f>
        <v/>
      </c>
      <c r="AF93" s="36">
        <f>IF(OR(Y93="",BL93="",BL93=0),"",Y93/BL93)</f>
        <v/>
      </c>
      <c r="AG93" s="36">
        <f>IF(OR(AB93="",BL93="",BL93=0),"",AB93/BL93)</f>
        <v/>
      </c>
      <c r="AH93" s="35" t="n"/>
      <c r="AI93" s="35" t="n"/>
      <c r="AJ93" s="35" t="n">
        <v>70.8</v>
      </c>
      <c r="AK93" s="35" t="n">
        <v>29.2</v>
      </c>
      <c r="AL93" s="35" t="n"/>
      <c r="AM93" s="35" t="n"/>
      <c r="AN93" s="35" t="n"/>
      <c r="AO93" s="35" t="n"/>
      <c r="AP93" s="35" t="n"/>
      <c r="AQ93" s="35" t="n"/>
      <c r="AR93" s="35" t="n"/>
      <c r="AS93" s="35" t="n"/>
      <c r="AT93" s="35" t="n"/>
      <c r="AU93" s="35" t="n"/>
      <c r="AV93" s="35" t="n"/>
      <c r="AW93" s="35" t="n"/>
      <c r="AX93" s="35" t="n"/>
      <c r="AY93" s="35" t="n"/>
      <c r="AZ93" s="35" t="n"/>
      <c r="BA93" s="35" t="n"/>
      <c r="BB93" s="35" t="n"/>
      <c r="BC93" s="35" t="n"/>
      <c r="BD93" s="35" t="n"/>
      <c r="BE93" s="35" t="n"/>
      <c r="BF93" s="35" t="n"/>
      <c r="BG93" s="35" t="n"/>
      <c r="BH93" s="35" t="n"/>
      <c r="BI93" s="35" t="n"/>
      <c r="BJ93" s="35" t="n"/>
      <c r="BK93" s="31" t="inlineStr">
        <is>
          <t>Sarawak Energy Berhad - 3.88% / 2040* | Pengurusan Air Selangor Sdn Bhd - 4.26% / 2049* | YTL Power International Berhad - 4.74% / 2038* | Pengurusan Air SPV Berhad - 4.06% / 2039* | Prasarana Malaysia Berhad - 4.12% / 2046*</t>
        </is>
      </c>
      <c r="BL93" s="35" t="n">
        <v>1.8</v>
      </c>
      <c r="BM93" s="34" t="inlineStr">
        <is>
          <t>Very Low</t>
        </is>
      </c>
      <c r="BN93" s="31" t="inlineStr">
        <is>
          <t>Bond MYR</t>
        </is>
      </c>
      <c r="BO93" s="31" t="n"/>
      <c r="BP93" s="37" t="n">
        <v>1.1814</v>
      </c>
      <c r="BQ93" s="34" t="inlineStr">
        <is>
          <t>2025-06-30</t>
        </is>
      </c>
      <c r="BR93" s="37" t="n">
        <v>1.1434</v>
      </c>
      <c r="BS93" s="36" t="n">
        <v>-3.22</v>
      </c>
      <c r="BT93" s="32" t="n">
        <v>280</v>
      </c>
    </row>
    <row r="94" ht="16" customHeight="1">
      <c r="A94" s="26" t="inlineStr">
        <is>
          <t>PB BOND FUND</t>
        </is>
      </c>
      <c r="B94" s="26" t="inlineStr">
        <is>
          <t>PBBOND</t>
        </is>
      </c>
      <c r="C94" s="26" t="inlineStr">
        <is>
          <t>Conventional</t>
        </is>
      </c>
      <c r="D94" s="26" t="inlineStr">
        <is>
          <t>Fixed Income</t>
        </is>
      </c>
      <c r="E94" s="26" t="inlineStr">
        <is>
          <t>Malaysia</t>
        </is>
      </c>
      <c r="F94" s="23" t="inlineStr">
        <is>
          <t>Income</t>
        </is>
      </c>
      <c r="G94" s="24" t="n">
        <v>2</v>
      </c>
      <c r="H94" s="23" t="inlineStr">
        <is>
          <t>Annual</t>
        </is>
      </c>
      <c r="I94" s="25" t="n">
        <v>242.68</v>
      </c>
      <c r="J94" s="26" t="inlineStr">
        <is>
          <t>06.09.2011</t>
        </is>
      </c>
      <c r="K94" s="26" t="inlineStr">
        <is>
          <t>Qualified</t>
        </is>
      </c>
      <c r="L94" s="27" t="n">
        <v>80</v>
      </c>
      <c r="M94" s="26" t="inlineStr">
        <is>
          <t>4/5</t>
        </is>
      </c>
      <c r="N94" s="28" t="n">
        <v>0.2</v>
      </c>
      <c r="O94" s="28" t="n">
        <v>0.32</v>
      </c>
      <c r="P94" s="28" t="n">
        <v>-0.12</v>
      </c>
      <c r="Q94" s="28" t="n">
        <v>4.31</v>
      </c>
      <c r="R94" s="28" t="n">
        <v>2.21</v>
      </c>
      <c r="S94" s="28" t="n">
        <v>2.1</v>
      </c>
      <c r="T94" s="28" t="n">
        <v>4.93</v>
      </c>
      <c r="U94" s="28" t="n">
        <v>2.5</v>
      </c>
      <c r="V94" s="28" t="n">
        <v>2.43</v>
      </c>
      <c r="W94" s="28" t="n">
        <v>3.67</v>
      </c>
      <c r="X94" s="28" t="n">
        <v>2.35</v>
      </c>
      <c r="Y94" s="28" t="n">
        <v>1.32</v>
      </c>
      <c r="Z94" s="28" t="n">
        <v>4.19</v>
      </c>
      <c r="AA94" s="28" t="n">
        <v>2.65</v>
      </c>
      <c r="AB94" s="28" t="n">
        <v>1.54</v>
      </c>
      <c r="AC94" s="28">
        <f>IF(OR(P94="",BL94="",BL94=0),"",P94/BL94)</f>
        <v/>
      </c>
      <c r="AD94" s="28">
        <f>IF(OR(S94="",BL94="",BL94=0),"",S94/BL94)</f>
        <v/>
      </c>
      <c r="AE94" s="28">
        <f>IF(OR(V94="",BL94="",BL94=0),"",V94/BL94)</f>
        <v/>
      </c>
      <c r="AF94" s="28">
        <f>IF(OR(Y94="",BL94="",BL94=0),"",Y94/BL94)</f>
        <v/>
      </c>
      <c r="AG94" s="28">
        <f>IF(OR(AB94="",BL94="",BL94=0),"",AB94/BL94)</f>
        <v/>
      </c>
      <c r="AH94" s="27" t="n"/>
      <c r="AI94" s="27" t="n"/>
      <c r="AJ94" s="27" t="n">
        <v>80.59999999999999</v>
      </c>
      <c r="AK94" s="27" t="n">
        <v>19.4</v>
      </c>
      <c r="AL94" s="27" t="n"/>
      <c r="AM94" s="27" t="n"/>
      <c r="AN94" s="27" t="n"/>
      <c r="AO94" s="27" t="n"/>
      <c r="AP94" s="27" t="n"/>
      <c r="AQ94" s="27" t="n"/>
      <c r="AR94" s="27" t="n"/>
      <c r="AS94" s="27" t="n"/>
      <c r="AT94" s="27" t="n"/>
      <c r="AU94" s="27" t="n"/>
      <c r="AV94" s="27" t="n"/>
      <c r="AW94" s="27" t="n"/>
      <c r="AX94" s="27" t="n"/>
      <c r="AY94" s="27" t="n"/>
      <c r="AZ94" s="27" t="n"/>
      <c r="BA94" s="27" t="n"/>
      <c r="BB94" s="27" t="n"/>
      <c r="BC94" s="27" t="n"/>
      <c r="BD94" s="27" t="n"/>
      <c r="BE94" s="27" t="n"/>
      <c r="BF94" s="27" t="n"/>
      <c r="BG94" s="27" t="n"/>
      <c r="BH94" s="27" t="n"/>
      <c r="BI94" s="27" t="n"/>
      <c r="BJ94" s="27" t="n"/>
      <c r="BK94" s="23" t="inlineStr">
        <is>
          <t>Government Investment Issue - 3.775% / 2045* | Government Investment Issue - 4.291% / 2043* | IJM Treasury Management Sdn Bhd - 20/05/2026** | Projek Lebuhraya Usahasama Berhad - 5.00% / 2038* | Johor Plantations Group Berhad - 4.19% / 2039*</t>
        </is>
      </c>
      <c r="BL94" s="27" t="n">
        <v>1.5</v>
      </c>
      <c r="BM94" s="26" t="inlineStr">
        <is>
          <t>Very Low</t>
        </is>
      </c>
      <c r="BN94" s="23" t="inlineStr">
        <is>
          <t>Bond MYR</t>
        </is>
      </c>
      <c r="BO94" s="23" t="n"/>
      <c r="BP94" s="29" t="n">
        <v>1.1466</v>
      </c>
      <c r="BQ94" s="26" t="inlineStr">
        <is>
          <t>2020-08-25</t>
        </is>
      </c>
      <c r="BR94" s="29" t="n">
        <v>1.0716</v>
      </c>
      <c r="BS94" s="28" t="n">
        <v>-6.54</v>
      </c>
      <c r="BT94" s="24" t="n">
        <v>2050</v>
      </c>
    </row>
    <row r="95" ht="16" customHeight="1">
      <c r="A95" s="34" t="inlineStr">
        <is>
          <t>PB AIMAN SUKUK FUND</t>
        </is>
      </c>
      <c r="B95" s="34" t="inlineStr">
        <is>
          <t>PBASF</t>
        </is>
      </c>
      <c r="C95" s="34" t="inlineStr">
        <is>
          <t>Conventional</t>
        </is>
      </c>
      <c r="D95" s="34" t="inlineStr">
        <is>
          <t>Fixed Income</t>
        </is>
      </c>
      <c r="E95" s="34" t="inlineStr">
        <is>
          <t>Malaysia</t>
        </is>
      </c>
      <c r="F95" s="31" t="inlineStr">
        <is>
          <t>Income</t>
        </is>
      </c>
      <c r="G95" s="32" t="n">
        <v>2</v>
      </c>
      <c r="H95" s="31" t="inlineStr">
        <is>
          <t>Annual</t>
        </is>
      </c>
      <c r="I95" s="33" t="n">
        <v>817.91</v>
      </c>
      <c r="J95" s="34" t="inlineStr">
        <is>
          <t>10.09.2013</t>
        </is>
      </c>
      <c r="K95" s="34" t="inlineStr">
        <is>
          <t>Qualified</t>
        </is>
      </c>
      <c r="L95" s="35" t="n">
        <v>80</v>
      </c>
      <c r="M95" s="34" t="inlineStr">
        <is>
          <t>4/5</t>
        </is>
      </c>
      <c r="N95" s="36" t="n">
        <v>0.23</v>
      </c>
      <c r="O95" s="36" t="n">
        <v>0.32</v>
      </c>
      <c r="P95" s="36" t="n">
        <v>-0.09</v>
      </c>
      <c r="Q95" s="36" t="n">
        <v>4.79</v>
      </c>
      <c r="R95" s="36" t="n">
        <v>2.59</v>
      </c>
      <c r="S95" s="36" t="n">
        <v>2.2</v>
      </c>
      <c r="T95" s="36" t="n">
        <v>5.52</v>
      </c>
      <c r="U95" s="36" t="n">
        <v>3.13</v>
      </c>
      <c r="V95" s="36" t="n">
        <v>2.39</v>
      </c>
      <c r="W95" s="36" t="n">
        <v>4.07</v>
      </c>
      <c r="X95" s="36" t="n">
        <v>2.91</v>
      </c>
      <c r="Y95" s="36" t="n">
        <v>1.16</v>
      </c>
      <c r="Z95" s="36" t="n">
        <v>4.95</v>
      </c>
      <c r="AA95" s="36" t="n">
        <v>3.06</v>
      </c>
      <c r="AB95" s="36" t="n">
        <v>1.89</v>
      </c>
      <c r="AC95" s="36">
        <f>IF(OR(P95="",BL95="",BL95=0),"",P95/BL95)</f>
        <v/>
      </c>
      <c r="AD95" s="36">
        <f>IF(OR(S95="",BL95="",BL95=0),"",S95/BL95)</f>
        <v/>
      </c>
      <c r="AE95" s="36">
        <f>IF(OR(V95="",BL95="",BL95=0),"",V95/BL95)</f>
        <v/>
      </c>
      <c r="AF95" s="36">
        <f>IF(OR(Y95="",BL95="",BL95=0),"",Y95/BL95)</f>
        <v/>
      </c>
      <c r="AG95" s="36">
        <f>IF(OR(AB95="",BL95="",BL95=0),"",AB95/BL95)</f>
        <v/>
      </c>
      <c r="AH95" s="35" t="n"/>
      <c r="AI95" s="35" t="n"/>
      <c r="AJ95" s="35" t="n">
        <v>80.3</v>
      </c>
      <c r="AK95" s="35" t="n">
        <v>19.7</v>
      </c>
      <c r="AL95" s="35" t="n"/>
      <c r="AM95" s="35" t="n"/>
      <c r="AN95" s="35" t="n"/>
      <c r="AO95" s="35" t="n"/>
      <c r="AP95" s="35" t="n"/>
      <c r="AQ95" s="35" t="n"/>
      <c r="AR95" s="35" t="n"/>
      <c r="AS95" s="35" t="n"/>
      <c r="AT95" s="35" t="n"/>
      <c r="AU95" s="35" t="n"/>
      <c r="AV95" s="35" t="n"/>
      <c r="AW95" s="35" t="n"/>
      <c r="AX95" s="35" t="n"/>
      <c r="AY95" s="35" t="n"/>
      <c r="AZ95" s="35" t="n"/>
      <c r="BA95" s="35" t="n"/>
      <c r="BB95" s="35" t="n"/>
      <c r="BC95" s="35" t="n"/>
      <c r="BD95" s="35" t="n"/>
      <c r="BE95" s="35" t="n"/>
      <c r="BF95" s="35" t="n"/>
      <c r="BG95" s="35" t="n"/>
      <c r="BH95" s="35" t="n"/>
      <c r="BI95" s="35" t="n"/>
      <c r="BJ95" s="35" t="n"/>
      <c r="BK95" s="31" t="inlineStr">
        <is>
          <t>Government Investment Issue - 3.775% / 2045* | Sarawak Energy Berhad - 3.88% / 2040* | Pengurusan Air SPV Berhad - 4.06% / 2039* | S P Setia Berhad - 4.00% / 2036* | Government Investment Issue - 4.291% / 2043*</t>
        </is>
      </c>
      <c r="BL95" s="35" t="n">
        <v>1.5</v>
      </c>
      <c r="BM95" s="34" t="inlineStr">
        <is>
          <t>Very Low</t>
        </is>
      </c>
      <c r="BN95" s="31" t="inlineStr">
        <is>
          <t>Bond Sukuk Malaysia</t>
        </is>
      </c>
      <c r="BO95" s="31" t="inlineStr">
        <is>
          <t>12-Month General Investment Account (GIA) rate (prior to 1 July 2025). Public Islamic Bank 12-Month Term Deposit-i (w.e.f. 1 July 2025).</t>
        </is>
      </c>
      <c r="BP95" s="37" t="n">
        <v>1.1679</v>
      </c>
      <c r="BQ95" s="34" t="inlineStr">
        <is>
          <t>2020-08-06</t>
        </is>
      </c>
      <c r="BR95" s="37" t="n">
        <v>1.1025</v>
      </c>
      <c r="BS95" s="36" t="n">
        <v>-5.6</v>
      </c>
      <c r="BT95" s="32" t="n">
        <v>2069</v>
      </c>
    </row>
    <row r="96" ht="16" customHeight="1">
      <c r="A96" s="26" t="inlineStr">
        <is>
          <t>PUBLIC ENTERPRISES BOND FUND</t>
        </is>
      </c>
      <c r="B96" s="26" t="inlineStr">
        <is>
          <t>PENTBF</t>
        </is>
      </c>
      <c r="C96" s="26" t="inlineStr">
        <is>
          <t>Conventional</t>
        </is>
      </c>
      <c r="D96" s="26" t="inlineStr">
        <is>
          <t>Fixed Income</t>
        </is>
      </c>
      <c r="E96" s="26" t="inlineStr">
        <is>
          <t>Malaysia</t>
        </is>
      </c>
      <c r="F96" s="23" t="inlineStr">
        <is>
          <t>Income</t>
        </is>
      </c>
      <c r="G96" s="24" t="n">
        <v>2</v>
      </c>
      <c r="H96" s="23" t="inlineStr">
        <is>
          <t>Annual</t>
        </is>
      </c>
      <c r="I96" s="25" t="n">
        <v>1280.73</v>
      </c>
      <c r="J96" s="26" t="inlineStr">
        <is>
          <t>20.03.2012</t>
        </is>
      </c>
      <c r="K96" s="26" t="inlineStr">
        <is>
          <t>Qualified</t>
        </is>
      </c>
      <c r="L96" s="27" t="n">
        <v>80</v>
      </c>
      <c r="M96" s="26" t="inlineStr">
        <is>
          <t>4/5</t>
        </is>
      </c>
      <c r="N96" s="28" t="n">
        <v>0.31</v>
      </c>
      <c r="O96" s="28" t="n">
        <v>0.32</v>
      </c>
      <c r="P96" s="28" t="n">
        <v>-0.01</v>
      </c>
      <c r="Q96" s="28" t="n">
        <v>4.05</v>
      </c>
      <c r="R96" s="28" t="n">
        <v>2.21</v>
      </c>
      <c r="S96" s="28" t="n">
        <v>1.84</v>
      </c>
      <c r="T96" s="28" t="n">
        <v>4.8</v>
      </c>
      <c r="U96" s="28" t="n">
        <v>2.5</v>
      </c>
      <c r="V96" s="28" t="n">
        <v>2.3</v>
      </c>
      <c r="W96" s="28" t="n">
        <v>3.52</v>
      </c>
      <c r="X96" s="28" t="n">
        <v>2.35</v>
      </c>
      <c r="Y96" s="28" t="n">
        <v>1.17</v>
      </c>
      <c r="Z96" s="28" t="n">
        <v>4.45</v>
      </c>
      <c r="AA96" s="28" t="n">
        <v>2.65</v>
      </c>
      <c r="AB96" s="28" t="n">
        <v>1.8</v>
      </c>
      <c r="AC96" s="28">
        <f>IF(OR(P96="",BL96="",BL96=0),"",P96/BL96)</f>
        <v/>
      </c>
      <c r="AD96" s="28">
        <f>IF(OR(S96="",BL96="",BL96=0),"",S96/BL96)</f>
        <v/>
      </c>
      <c r="AE96" s="28">
        <f>IF(OR(V96="",BL96="",BL96=0),"",V96/BL96)</f>
        <v/>
      </c>
      <c r="AF96" s="28">
        <f>IF(OR(Y96="",BL96="",BL96=0),"",Y96/BL96)</f>
        <v/>
      </c>
      <c r="AG96" s="28">
        <f>IF(OR(AB96="",BL96="",BL96=0),"",AB96/BL96)</f>
        <v/>
      </c>
      <c r="AH96" s="27" t="n"/>
      <c r="AI96" s="27" t="n"/>
      <c r="AJ96" s="27" t="n">
        <v>79.90000000000001</v>
      </c>
      <c r="AK96" s="27" t="n">
        <v>20.1</v>
      </c>
      <c r="AL96" s="27" t="n"/>
      <c r="AM96" s="27" t="n"/>
      <c r="AN96" s="27" t="n"/>
      <c r="AO96" s="27" t="n"/>
      <c r="AP96" s="27" t="n"/>
      <c r="AQ96" s="27" t="n"/>
      <c r="AR96" s="27" t="n"/>
      <c r="AS96" s="27" t="n"/>
      <c r="AT96" s="27" t="n"/>
      <c r="AU96" s="27" t="n"/>
      <c r="AV96" s="27" t="n"/>
      <c r="AW96" s="27" t="n"/>
      <c r="AX96" s="27" t="n"/>
      <c r="AY96" s="27" t="n"/>
      <c r="AZ96" s="27" t="n"/>
      <c r="BA96" s="27" t="n"/>
      <c r="BB96" s="27" t="n"/>
      <c r="BC96" s="27" t="n"/>
      <c r="BD96" s="27" t="n"/>
      <c r="BE96" s="27" t="n"/>
      <c r="BF96" s="27" t="n"/>
      <c r="BG96" s="27" t="n"/>
      <c r="BH96" s="27" t="n"/>
      <c r="BI96" s="27" t="n"/>
      <c r="BJ96" s="27" t="n"/>
      <c r="BK96" s="23" t="inlineStr">
        <is>
          <t>Bank Islam Malaysia Berhad - 3.85% / 2032** | Tenaga Nasional Berhad - 4.98% / 2038** | Public Bank Berhad - 3.73% / 2032* | Petroleum Sarawak E&amp;P Sdn Bhd - 3.70% / 2035** | CIMB Islamic Bank Berhad - 4.07% / 2035**</t>
        </is>
      </c>
      <c r="BL96" s="27" t="n">
        <v>1.3</v>
      </c>
      <c r="BM96" s="26" t="inlineStr">
        <is>
          <t>Very Low</t>
        </is>
      </c>
      <c r="BN96" s="23" t="inlineStr">
        <is>
          <t>Bond MYR</t>
        </is>
      </c>
      <c r="BO96" s="23" t="n"/>
      <c r="BP96" s="29" t="n">
        <v>1.1489</v>
      </c>
      <c r="BQ96" s="26" t="inlineStr">
        <is>
          <t>2020-08-25</t>
        </is>
      </c>
      <c r="BR96" s="29" t="n">
        <v>1.0909</v>
      </c>
      <c r="BS96" s="28" t="n">
        <v>-5.05</v>
      </c>
      <c r="BT96" s="24" t="n">
        <v>2050</v>
      </c>
    </row>
    <row r="97" ht="16" customHeight="1">
      <c r="A97" s="30" t="inlineStr">
        <is>
          <t>PUBLIC ISLAMIC INFRASTRUCTURE BOND FUND</t>
        </is>
      </c>
      <c r="B97" s="30" t="inlineStr">
        <is>
          <t>PIINFBF</t>
        </is>
      </c>
      <c r="C97" s="30" t="inlineStr">
        <is>
          <t>Shariah</t>
        </is>
      </c>
      <c r="D97" s="30" t="inlineStr">
        <is>
          <t>Fixed Income</t>
        </is>
      </c>
      <c r="E97" s="30" t="inlineStr">
        <is>
          <t>Malaysia</t>
        </is>
      </c>
      <c r="F97" s="31" t="inlineStr">
        <is>
          <t>Income</t>
        </is>
      </c>
      <c r="G97" s="32" t="n">
        <v>2</v>
      </c>
      <c r="H97" s="31" t="inlineStr">
        <is>
          <t>Annual</t>
        </is>
      </c>
      <c r="I97" s="33" t="n">
        <v>1199.86</v>
      </c>
      <c r="J97" s="34" t="inlineStr">
        <is>
          <t>16.11.2010</t>
        </is>
      </c>
      <c r="K97" s="34" t="inlineStr">
        <is>
          <t>Qualified</t>
        </is>
      </c>
      <c r="L97" s="35" t="n">
        <v>80</v>
      </c>
      <c r="M97" s="34" t="inlineStr">
        <is>
          <t>4/5</t>
        </is>
      </c>
      <c r="N97" s="36" t="n">
        <v>0.14</v>
      </c>
      <c r="O97" s="36" t="n">
        <v>0.32</v>
      </c>
      <c r="P97" s="36" t="n">
        <v>-0.18</v>
      </c>
      <c r="Q97" s="36" t="n">
        <v>4.49</v>
      </c>
      <c r="R97" s="36" t="n">
        <v>2.59</v>
      </c>
      <c r="S97" s="36" t="n">
        <v>1.9</v>
      </c>
      <c r="T97" s="36" t="n">
        <v>5.37</v>
      </c>
      <c r="U97" s="36" t="n">
        <v>3.13</v>
      </c>
      <c r="V97" s="36" t="n">
        <v>2.24</v>
      </c>
      <c r="W97" s="36" t="n">
        <v>3.62</v>
      </c>
      <c r="X97" s="36" t="n">
        <v>2.91</v>
      </c>
      <c r="Y97" s="36" t="n">
        <v>0.71</v>
      </c>
      <c r="Z97" s="36" t="n">
        <v>4.16</v>
      </c>
      <c r="AA97" s="36" t="n">
        <v>3.06</v>
      </c>
      <c r="AB97" s="36" t="n">
        <v>1.1</v>
      </c>
      <c r="AC97" s="36">
        <f>IF(OR(P97="",BL97="",BL97=0),"",P97/BL97)</f>
        <v/>
      </c>
      <c r="AD97" s="36">
        <f>IF(OR(S97="",BL97="",BL97=0),"",S97/BL97)</f>
        <v/>
      </c>
      <c r="AE97" s="36">
        <f>IF(OR(V97="",BL97="",BL97=0),"",V97/BL97)</f>
        <v/>
      </c>
      <c r="AF97" s="36">
        <f>IF(OR(Y97="",BL97="",BL97=0),"",Y97/BL97)</f>
        <v/>
      </c>
      <c r="AG97" s="36">
        <f>IF(OR(AB97="",BL97="",BL97=0),"",AB97/BL97)</f>
        <v/>
      </c>
      <c r="AH97" s="35" t="n"/>
      <c r="AI97" s="35" t="n"/>
      <c r="AJ97" s="35" t="n">
        <v>79.3</v>
      </c>
      <c r="AK97" s="35" t="n">
        <v>20.7</v>
      </c>
      <c r="AL97" s="35" t="n"/>
      <c r="AM97" s="35" t="n"/>
      <c r="AN97" s="35" t="n"/>
      <c r="AO97" s="35" t="n"/>
      <c r="AP97" s="35" t="n"/>
      <c r="AQ97" s="35" t="n"/>
      <c r="AR97" s="35" t="n"/>
      <c r="AS97" s="35" t="n"/>
      <c r="AT97" s="35" t="n"/>
      <c r="AU97" s="35" t="n"/>
      <c r="AV97" s="35" t="n"/>
      <c r="AW97" s="35" t="n"/>
      <c r="AX97" s="35" t="n"/>
      <c r="AY97" s="35" t="n"/>
      <c r="AZ97" s="35" t="n"/>
      <c r="BA97" s="35" t="n"/>
      <c r="BB97" s="35" t="n"/>
      <c r="BC97" s="35" t="n"/>
      <c r="BD97" s="35" t="n"/>
      <c r="BE97" s="35" t="n"/>
      <c r="BF97" s="35" t="n"/>
      <c r="BG97" s="35" t="n"/>
      <c r="BH97" s="35" t="n"/>
      <c r="BI97" s="35" t="n"/>
      <c r="BJ97" s="35" t="n"/>
      <c r="BK97" s="31" t="inlineStr">
        <is>
          <t>TNB Power Generation Sdn Bhd - 4.84% / 2043* | Manjung Island Energy Berhad - 4.90% / 2031* | Sarawak Energy Berhad - 3.88% / 2040* | Government Investment Issue - 3.775% / 2045* | YTL Power International Berhad - 4.21% / 2037*</t>
        </is>
      </c>
      <c r="BL97" s="35" t="n">
        <v>1.9</v>
      </c>
      <c r="BM97" s="34" t="inlineStr">
        <is>
          <t>Very Low</t>
        </is>
      </c>
      <c r="BN97" s="31" t="inlineStr">
        <is>
          <t>Bond Sukuk Malaysia</t>
        </is>
      </c>
      <c r="BO97" s="31" t="inlineStr">
        <is>
          <t>12-Month General Investment Account (GIA) rate (prior to 1 July 2025). Public Islamic Bank 12-Month Term Deposit-i (w.e.f. 1 July 2025).</t>
        </is>
      </c>
      <c r="BP97" s="37" t="n">
        <v>1.1604</v>
      </c>
      <c r="BQ97" s="34" t="inlineStr">
        <is>
          <t>2020-08-06</t>
        </is>
      </c>
      <c r="BR97" s="37" t="n">
        <v>1.1062</v>
      </c>
      <c r="BS97" s="36" t="n">
        <v>-4.67</v>
      </c>
      <c r="BT97" s="32" t="n">
        <v>2069</v>
      </c>
    </row>
    <row r="98" ht="16" customHeight="1">
      <c r="A98" s="26" t="inlineStr">
        <is>
          <t>PUBLIC STRATEGIC BOND FUND</t>
        </is>
      </c>
      <c r="B98" s="26" t="inlineStr">
        <is>
          <t>PSTBF</t>
        </is>
      </c>
      <c r="C98" s="26" t="inlineStr">
        <is>
          <t>Conventional</t>
        </is>
      </c>
      <c r="D98" s="26" t="inlineStr">
        <is>
          <t>Fixed Income</t>
        </is>
      </c>
      <c r="E98" s="26" t="inlineStr">
        <is>
          <t>Malaysia</t>
        </is>
      </c>
      <c r="F98" s="23" t="inlineStr">
        <is>
          <t>Income</t>
        </is>
      </c>
      <c r="G98" s="24" t="n">
        <v>2</v>
      </c>
      <c r="H98" s="23" t="inlineStr">
        <is>
          <t>Annual</t>
        </is>
      </c>
      <c r="I98" s="25" t="n">
        <v>452.4</v>
      </c>
      <c r="J98" s="26" t="inlineStr">
        <is>
          <t>30.12.2010</t>
        </is>
      </c>
      <c r="K98" s="26" t="inlineStr">
        <is>
          <t>Qualified</t>
        </is>
      </c>
      <c r="L98" s="27" t="n">
        <v>80</v>
      </c>
      <c r="M98" s="26" t="inlineStr">
        <is>
          <t>4/5</t>
        </is>
      </c>
      <c r="N98" s="28" t="n">
        <v>0.31</v>
      </c>
      <c r="O98" s="28" t="n">
        <v>0.32</v>
      </c>
      <c r="P98" s="28" t="n">
        <v>-0.01</v>
      </c>
      <c r="Q98" s="28" t="n">
        <v>3.93</v>
      </c>
      <c r="R98" s="28" t="n">
        <v>2.21</v>
      </c>
      <c r="S98" s="28" t="n">
        <v>1.72</v>
      </c>
      <c r="T98" s="28" t="n">
        <v>4.46</v>
      </c>
      <c r="U98" s="28" t="n">
        <v>2.5</v>
      </c>
      <c r="V98" s="28" t="n">
        <v>1.96</v>
      </c>
      <c r="W98" s="28" t="n">
        <v>3.4</v>
      </c>
      <c r="X98" s="28" t="n">
        <v>2.35</v>
      </c>
      <c r="Y98" s="28" t="n">
        <v>1.05</v>
      </c>
      <c r="Z98" s="28" t="n">
        <v>4.01</v>
      </c>
      <c r="AA98" s="28" t="n">
        <v>2.65</v>
      </c>
      <c r="AB98" s="28" t="n">
        <v>1.36</v>
      </c>
      <c r="AC98" s="28">
        <f>IF(OR(P98="",BL98="",BL98=0),"",P98/BL98)</f>
        <v/>
      </c>
      <c r="AD98" s="28">
        <f>IF(OR(S98="",BL98="",BL98=0),"",S98/BL98)</f>
        <v/>
      </c>
      <c r="AE98" s="28">
        <f>IF(OR(V98="",BL98="",BL98=0),"",V98/BL98)</f>
        <v/>
      </c>
      <c r="AF98" s="28">
        <f>IF(OR(Y98="",BL98="",BL98=0),"",Y98/BL98)</f>
        <v/>
      </c>
      <c r="AG98" s="28">
        <f>IF(OR(AB98="",BL98="",BL98=0),"",AB98/BL98)</f>
        <v/>
      </c>
      <c r="AH98" s="27" t="n"/>
      <c r="AI98" s="27" t="n"/>
      <c r="AJ98" s="27" t="n">
        <v>80.8</v>
      </c>
      <c r="AK98" s="27" t="n">
        <v>19.2</v>
      </c>
      <c r="AL98" s="27" t="n"/>
      <c r="AM98" s="27" t="n"/>
      <c r="AN98" s="27" t="n"/>
      <c r="AO98" s="27" t="n"/>
      <c r="AP98" s="27" t="n"/>
      <c r="AQ98" s="27" t="n"/>
      <c r="AR98" s="27" t="n"/>
      <c r="AS98" s="27" t="n"/>
      <c r="AT98" s="27" t="n"/>
      <c r="AU98" s="27" t="n"/>
      <c r="AV98" s="27" t="n"/>
      <c r="AW98" s="27" t="n"/>
      <c r="AX98" s="27" t="n"/>
      <c r="AY98" s="27" t="n"/>
      <c r="AZ98" s="27" t="n"/>
      <c r="BA98" s="27" t="n"/>
      <c r="BB98" s="27" t="n"/>
      <c r="BC98" s="27" t="n"/>
      <c r="BD98" s="27" t="n"/>
      <c r="BE98" s="27" t="n"/>
      <c r="BF98" s="27" t="n"/>
      <c r="BG98" s="27" t="n"/>
      <c r="BH98" s="27" t="n"/>
      <c r="BI98" s="27" t="n"/>
      <c r="BJ98" s="27" t="n"/>
      <c r="BK98" s="23" t="inlineStr">
        <is>
          <t>PNB Merdeka Ventures Sdn Bhd - 3.64% / 2030** | Danum Capital Berhad - 3.82% / 2036** | Government Investment Issue - 4.638% / 2049** | Affin Bank Berhad - 4.10% / 2029* | Saracap Ventures Sdn Bhd - 3.81% / 2035*</t>
        </is>
      </c>
      <c r="BL98" s="27" t="n">
        <v>1.1</v>
      </c>
      <c r="BM98" s="26" t="inlineStr">
        <is>
          <t>Very Low</t>
        </is>
      </c>
      <c r="BN98" s="23" t="inlineStr">
        <is>
          <t>Bond MYR</t>
        </is>
      </c>
      <c r="BO98" s="23" t="n"/>
      <c r="BP98" s="29" t="n">
        <v>1.1253</v>
      </c>
      <c r="BQ98" s="26" t="inlineStr">
        <is>
          <t>2020-11-09</t>
        </is>
      </c>
      <c r="BR98" s="29" t="n">
        <v>1.0636</v>
      </c>
      <c r="BS98" s="28" t="n">
        <v>-5.48</v>
      </c>
      <c r="BT98" s="24" t="n">
        <v>1974</v>
      </c>
    </row>
    <row r="99" ht="16" customHeight="1">
      <c r="A99" s="30" t="inlineStr">
        <is>
          <t>PUBLIC SUKUK FUND</t>
        </is>
      </c>
      <c r="B99" s="30" t="inlineStr">
        <is>
          <t>PSKF</t>
        </is>
      </c>
      <c r="C99" s="30" t="inlineStr">
        <is>
          <t>Shariah</t>
        </is>
      </c>
      <c r="D99" s="30" t="inlineStr">
        <is>
          <t>Fixed Income</t>
        </is>
      </c>
      <c r="E99" s="30" t="inlineStr">
        <is>
          <t>Malaysia</t>
        </is>
      </c>
      <c r="F99" s="31" t="inlineStr">
        <is>
          <t>Income</t>
        </is>
      </c>
      <c r="G99" s="32" t="n">
        <v>2</v>
      </c>
      <c r="H99" s="31" t="inlineStr">
        <is>
          <t>Annual</t>
        </is>
      </c>
      <c r="I99" s="33" t="n">
        <v>668.12</v>
      </c>
      <c r="J99" s="34" t="inlineStr">
        <is>
          <t>19.07.2011</t>
        </is>
      </c>
      <c r="K99" s="34" t="inlineStr">
        <is>
          <t>Qualified</t>
        </is>
      </c>
      <c r="L99" s="35" t="n">
        <v>80</v>
      </c>
      <c r="M99" s="34" t="inlineStr">
        <is>
          <t>4/5</t>
        </is>
      </c>
      <c r="N99" s="36" t="n">
        <v>0.25</v>
      </c>
      <c r="O99" s="36" t="n">
        <v>0.32</v>
      </c>
      <c r="P99" s="36" t="n">
        <v>-0.07000000000000001</v>
      </c>
      <c r="Q99" s="36" t="n">
        <v>4.4</v>
      </c>
      <c r="R99" s="36" t="n">
        <v>2.59</v>
      </c>
      <c r="S99" s="36" t="n">
        <v>1.81</v>
      </c>
      <c r="T99" s="36" t="n">
        <v>5.06</v>
      </c>
      <c r="U99" s="36" t="n">
        <v>3.13</v>
      </c>
      <c r="V99" s="36" t="n">
        <v>1.93</v>
      </c>
      <c r="W99" s="36" t="n">
        <v>3.52</v>
      </c>
      <c r="X99" s="36" t="n">
        <v>2.91</v>
      </c>
      <c r="Y99" s="36" t="n">
        <v>0.61</v>
      </c>
      <c r="Z99" s="36" t="n">
        <v>4.06</v>
      </c>
      <c r="AA99" s="36" t="n">
        <v>3.06</v>
      </c>
      <c r="AB99" s="36" t="n">
        <v>1</v>
      </c>
      <c r="AC99" s="36">
        <f>IF(OR(P99="",BL99="",BL99=0),"",P99/BL99)</f>
        <v/>
      </c>
      <c r="AD99" s="36">
        <f>IF(OR(S99="",BL99="",BL99=0),"",S99/BL99)</f>
        <v/>
      </c>
      <c r="AE99" s="36">
        <f>IF(OR(V99="",BL99="",BL99=0),"",V99/BL99)</f>
        <v/>
      </c>
      <c r="AF99" s="36">
        <f>IF(OR(Y99="",BL99="",BL99=0),"",Y99/BL99)</f>
        <v/>
      </c>
      <c r="AG99" s="36">
        <f>IF(OR(AB99="",BL99="",BL99=0),"",AB99/BL99)</f>
        <v/>
      </c>
      <c r="AH99" s="35" t="n"/>
      <c r="AI99" s="35" t="n"/>
      <c r="AJ99" s="35" t="n">
        <v>83.40000000000001</v>
      </c>
      <c r="AK99" s="35" t="n">
        <v>16.6</v>
      </c>
      <c r="AL99" s="35" t="n"/>
      <c r="AM99" s="35" t="n"/>
      <c r="AN99" s="35" t="n"/>
      <c r="AO99" s="35" t="n"/>
      <c r="AP99" s="35" t="n"/>
      <c r="AQ99" s="35" t="n"/>
      <c r="AR99" s="35" t="n"/>
      <c r="AS99" s="35" t="n"/>
      <c r="AT99" s="35" t="n"/>
      <c r="AU99" s="35" t="n"/>
      <c r="AV99" s="35" t="n"/>
      <c r="AW99" s="35" t="n"/>
      <c r="AX99" s="35" t="n"/>
      <c r="AY99" s="35" t="n"/>
      <c r="AZ99" s="35" t="n"/>
      <c r="BA99" s="35" t="n"/>
      <c r="BB99" s="35" t="n"/>
      <c r="BC99" s="35" t="n"/>
      <c r="BD99" s="35" t="n"/>
      <c r="BE99" s="35" t="n"/>
      <c r="BF99" s="35" t="n"/>
      <c r="BG99" s="35" t="n"/>
      <c r="BH99" s="35" t="n"/>
      <c r="BI99" s="35" t="n"/>
      <c r="BJ99" s="35" t="n"/>
      <c r="BK99" s="31" t="inlineStr">
        <is>
          <t>Government Investment Issue - 3.775% / 2045* | Projek Lebuhraya Usahasama Berhad - 5.00% / 2038* | Government Investment Issue - 4.291% / 2043* | Johor Plantations Group Berhad - 4.19% / 2039* | IJM Treasury Management Sdn Bhd - 20/05/2026**</t>
        </is>
      </c>
      <c r="BL99" s="35" t="n">
        <v>1.7</v>
      </c>
      <c r="BM99" s="34" t="inlineStr">
        <is>
          <t>Very Low</t>
        </is>
      </c>
      <c r="BN99" s="31" t="inlineStr">
        <is>
          <t>Bond Sukuk Malaysia</t>
        </is>
      </c>
      <c r="BO99" s="31" t="inlineStr">
        <is>
          <t>12-Month General Investment Account (GIA) rate (prior to 1 July 2025). Public Islamic Bank 12-Month Term Deposit-i (w.e.f. 1 July 2025).</t>
        </is>
      </c>
      <c r="BP99" s="37" t="n">
        <v>1.1584</v>
      </c>
      <c r="BQ99" s="34" t="inlineStr">
        <is>
          <t>2020-08-06</t>
        </is>
      </c>
      <c r="BR99" s="37" t="n">
        <v>1.0984</v>
      </c>
      <c r="BS99" s="36" t="n">
        <v>-5.18</v>
      </c>
      <c r="BT99" s="32" t="n">
        <v>2069</v>
      </c>
    </row>
    <row r="100" ht="16" customHeight="1">
      <c r="A100" s="22" t="inlineStr">
        <is>
          <t>PUBLIC ISLAMIC BOND FUND</t>
        </is>
      </c>
      <c r="B100" s="22" t="inlineStr">
        <is>
          <t>PI BOND</t>
        </is>
      </c>
      <c r="C100" s="22" t="inlineStr">
        <is>
          <t>Shariah</t>
        </is>
      </c>
      <c r="D100" s="22" t="inlineStr">
        <is>
          <t>Fixed Income</t>
        </is>
      </c>
      <c r="E100" s="22" t="inlineStr">
        <is>
          <t>Malaysia</t>
        </is>
      </c>
      <c r="F100" s="23" t="inlineStr">
        <is>
          <t>Income</t>
        </is>
      </c>
      <c r="G100" s="24" t="n">
        <v>2</v>
      </c>
      <c r="H100" s="23" t="inlineStr">
        <is>
          <t>Annual</t>
        </is>
      </c>
      <c r="I100" s="25" t="n">
        <v>908.98</v>
      </c>
      <c r="J100" s="26" t="inlineStr">
        <is>
          <t>15.08.2001</t>
        </is>
      </c>
      <c r="K100" s="26" t="inlineStr">
        <is>
          <t>Qualified</t>
        </is>
      </c>
      <c r="L100" s="27" t="n">
        <v>80</v>
      </c>
      <c r="M100" s="26" t="inlineStr">
        <is>
          <t>4/5</t>
        </is>
      </c>
      <c r="N100" s="28" t="n">
        <v>0.29</v>
      </c>
      <c r="O100" s="28" t="n">
        <v>0.32</v>
      </c>
      <c r="P100" s="28" t="n">
        <v>-0.03</v>
      </c>
      <c r="Q100" s="28" t="n">
        <v>4.29</v>
      </c>
      <c r="R100" s="28" t="n">
        <v>2.59</v>
      </c>
      <c r="S100" s="28" t="n">
        <v>1.7</v>
      </c>
      <c r="T100" s="28" t="n">
        <v>5.04</v>
      </c>
      <c r="U100" s="28" t="n">
        <v>3.13</v>
      </c>
      <c r="V100" s="28" t="n">
        <v>1.91</v>
      </c>
      <c r="W100" s="28" t="n">
        <v>3.78</v>
      </c>
      <c r="X100" s="28" t="n">
        <v>2.91</v>
      </c>
      <c r="Y100" s="28" t="n">
        <v>0.87</v>
      </c>
      <c r="Z100" s="28" t="n">
        <v>4.37</v>
      </c>
      <c r="AA100" s="28" t="n">
        <v>3.06</v>
      </c>
      <c r="AB100" s="28" t="n">
        <v>1.31</v>
      </c>
      <c r="AC100" s="28">
        <f>IF(OR(P100="",BL100="",BL100=0),"",P100/BL100)</f>
        <v/>
      </c>
      <c r="AD100" s="28">
        <f>IF(OR(S100="",BL100="",BL100=0),"",S100/BL100)</f>
        <v/>
      </c>
      <c r="AE100" s="28">
        <f>IF(OR(V100="",BL100="",BL100=0),"",V100/BL100)</f>
        <v/>
      </c>
      <c r="AF100" s="28">
        <f>IF(OR(Y100="",BL100="",BL100=0),"",Y100/BL100)</f>
        <v/>
      </c>
      <c r="AG100" s="28">
        <f>IF(OR(AB100="",BL100="",BL100=0),"",AB100/BL100)</f>
        <v/>
      </c>
      <c r="AH100" s="27" t="n"/>
      <c r="AI100" s="27" t="n"/>
      <c r="AJ100" s="27" t="n">
        <v>80.09999999999999</v>
      </c>
      <c r="AK100" s="27" t="n">
        <v>19.9</v>
      </c>
      <c r="AL100" s="27" t="n"/>
      <c r="AM100" s="27" t="n"/>
      <c r="AN100" s="27" t="n"/>
      <c r="AO100" s="27" t="n"/>
      <c r="AP100" s="27" t="n"/>
      <c r="AQ100" s="27" t="n"/>
      <c r="AR100" s="27" t="n"/>
      <c r="AS100" s="27" t="n"/>
      <c r="AT100" s="27" t="n"/>
      <c r="AU100" s="27" t="n"/>
      <c r="AV100" s="27" t="n"/>
      <c r="AW100" s="27" t="n"/>
      <c r="AX100" s="27" t="n"/>
      <c r="AY100" s="27" t="n"/>
      <c r="AZ100" s="27" t="n"/>
      <c r="BA100" s="27" t="n"/>
      <c r="BB100" s="27" t="n"/>
      <c r="BC100" s="27" t="n"/>
      <c r="BD100" s="27" t="n"/>
      <c r="BE100" s="27" t="n"/>
      <c r="BF100" s="27" t="n"/>
      <c r="BG100" s="27" t="n"/>
      <c r="BH100" s="27" t="n"/>
      <c r="BI100" s="27" t="n"/>
      <c r="BJ100" s="27" t="n"/>
      <c r="BK100" s="23" t="inlineStr">
        <is>
          <t>CIMB Islamic Bank Berhad - 4.07% / 2035* | Government Investment Issue - 3.775% / 2045* | Government Investment Issue - 4.291% / 2043* | Pengurusan Air SPV Berhad - 4.06% / 2039* | Petroleum Sarawak E&amp;P Sdn Bhd - 3.70% / 2035*</t>
        </is>
      </c>
      <c r="BL100" s="27" t="n">
        <v>1.6</v>
      </c>
      <c r="BM100" s="26" t="inlineStr">
        <is>
          <t>Very Low</t>
        </is>
      </c>
      <c r="BN100" s="23" t="inlineStr">
        <is>
          <t>Bond Sukuk Malaysia</t>
        </is>
      </c>
      <c r="BO100" s="23" t="inlineStr">
        <is>
          <t>12-Month General Investment Account (GIA) rate (prior to 1 July 2025). Public Islamic Bank 12-Month Term Deposit-i (w.e.f. 1 July 2025).</t>
        </is>
      </c>
      <c r="BP100" s="29" t="n">
        <v>1.108</v>
      </c>
      <c r="BQ100" s="26" t="inlineStr">
        <is>
          <t>2010-10-26</t>
        </is>
      </c>
      <c r="BR100" s="29" t="n">
        <v>0.9679</v>
      </c>
      <c r="BS100" s="28" t="n">
        <v>-12.64</v>
      </c>
      <c r="BT100" s="24" t="n">
        <v>5641</v>
      </c>
    </row>
    <row r="101" ht="16" customHeight="1">
      <c r="A101" s="34" t="inlineStr">
        <is>
          <t>PUBLIC BOND FUND</t>
        </is>
      </c>
      <c r="B101" s="34" t="inlineStr">
        <is>
          <t>P BOND</t>
        </is>
      </c>
      <c r="C101" s="34" t="inlineStr">
        <is>
          <t>Conventional</t>
        </is>
      </c>
      <c r="D101" s="34" t="inlineStr">
        <is>
          <t>Fixed Income</t>
        </is>
      </c>
      <c r="E101" s="34" t="inlineStr">
        <is>
          <t>Malaysia</t>
        </is>
      </c>
      <c r="F101" s="31" t="inlineStr">
        <is>
          <t>Income</t>
        </is>
      </c>
      <c r="G101" s="32" t="n">
        <v>2</v>
      </c>
      <c r="H101" s="31" t="inlineStr">
        <is>
          <t>Annual</t>
        </is>
      </c>
      <c r="I101" s="33" t="n">
        <v>1552.72</v>
      </c>
      <c r="J101" s="34" t="inlineStr">
        <is>
          <t>11.06.1996</t>
        </is>
      </c>
      <c r="K101" s="34" t="inlineStr">
        <is>
          <t>Qualified</t>
        </is>
      </c>
      <c r="L101" s="35" t="n">
        <v>80</v>
      </c>
      <c r="M101" s="34" t="inlineStr">
        <is>
          <t>4/5</t>
        </is>
      </c>
      <c r="N101" s="36" t="n">
        <v>0.25</v>
      </c>
      <c r="O101" s="36" t="n">
        <v>0.32</v>
      </c>
      <c r="P101" s="36" t="n">
        <v>-0.07000000000000001</v>
      </c>
      <c r="Q101" s="36" t="n">
        <v>3.7</v>
      </c>
      <c r="R101" s="36" t="n">
        <v>2.22</v>
      </c>
      <c r="S101" s="36" t="n">
        <v>1.48</v>
      </c>
      <c r="T101" s="36" t="n">
        <v>4.41</v>
      </c>
      <c r="U101" s="36" t="n">
        <v>2.55</v>
      </c>
      <c r="V101" s="36" t="n">
        <v>1.86</v>
      </c>
      <c r="W101" s="36" t="n">
        <v>3.43</v>
      </c>
      <c r="X101" s="36" t="n">
        <v>2.38</v>
      </c>
      <c r="Y101" s="36" t="n">
        <v>1.05</v>
      </c>
      <c r="Z101" s="36" t="n">
        <v>4.04</v>
      </c>
      <c r="AA101" s="36" t="n">
        <v>2.67</v>
      </c>
      <c r="AB101" s="36" t="n">
        <v>1.37</v>
      </c>
      <c r="AC101" s="36">
        <f>IF(OR(P101="",BL101="",BL101=0),"",P101/BL101)</f>
        <v/>
      </c>
      <c r="AD101" s="36">
        <f>IF(OR(S101="",BL101="",BL101=0),"",S101/BL101)</f>
        <v/>
      </c>
      <c r="AE101" s="36">
        <f>IF(OR(V101="",BL101="",BL101=0),"",V101/BL101)</f>
        <v/>
      </c>
      <c r="AF101" s="36">
        <f>IF(OR(Y101="",BL101="",BL101=0),"",Y101/BL101)</f>
        <v/>
      </c>
      <c r="AG101" s="36">
        <f>IF(OR(AB101="",BL101="",BL101=0),"",AB101/BL101)</f>
        <v/>
      </c>
      <c r="AH101" s="35" t="n"/>
      <c r="AI101" s="35" t="n"/>
      <c r="AJ101" s="35" t="n">
        <v>80.2</v>
      </c>
      <c r="AK101" s="35" t="n">
        <v>19.8</v>
      </c>
      <c r="AL101" s="35" t="n"/>
      <c r="AM101" s="35" t="n"/>
      <c r="AN101" s="35" t="n"/>
      <c r="AO101" s="35" t="n"/>
      <c r="AP101" s="35" t="n"/>
      <c r="AQ101" s="35" t="n"/>
      <c r="AR101" s="35" t="n"/>
      <c r="AS101" s="35" t="n"/>
      <c r="AT101" s="35" t="n"/>
      <c r="AU101" s="35" t="n"/>
      <c r="AV101" s="35" t="n"/>
      <c r="AW101" s="35" t="n"/>
      <c r="AX101" s="35" t="n"/>
      <c r="AY101" s="35" t="n"/>
      <c r="AZ101" s="35" t="n"/>
      <c r="BA101" s="35" t="n"/>
      <c r="BB101" s="35" t="n"/>
      <c r="BC101" s="35" t="n"/>
      <c r="BD101" s="35" t="n"/>
      <c r="BE101" s="35" t="n"/>
      <c r="BF101" s="35" t="n"/>
      <c r="BG101" s="35" t="n"/>
      <c r="BH101" s="35" t="n"/>
      <c r="BI101" s="35" t="n"/>
      <c r="BJ101" s="35" t="n"/>
      <c r="BK101" s="31" t="inlineStr">
        <is>
          <t>CIMB Islamic Bank Berhad - 4.07% / 2035* | Danum Capital Berhad - 3.82% / 2036* | CIMB Islamic Bank Berhad - 4.13% / 2034* | Government Investment Issue - 4.291% / 2043* | Pengurusan Air SPV Berhad - 4.06% / 2039*</t>
        </is>
      </c>
      <c r="BL101" s="35" t="n">
        <v>1.3</v>
      </c>
      <c r="BM101" s="34" t="inlineStr">
        <is>
          <t>Very Low</t>
        </is>
      </c>
      <c r="BN101" s="31" t="inlineStr">
        <is>
          <t>Bond MYR</t>
        </is>
      </c>
      <c r="BO101" s="31" t="n"/>
      <c r="BP101" s="37" t="n">
        <v>1.1499</v>
      </c>
      <c r="BQ101" s="34" t="inlineStr">
        <is>
          <t>2002-07-31</t>
        </is>
      </c>
      <c r="BR101" s="37" t="n">
        <v>0.9520999999999999</v>
      </c>
      <c r="BS101" s="36" t="n">
        <v>-17.2</v>
      </c>
      <c r="BT101" s="32" t="n">
        <v>8650</v>
      </c>
    </row>
    <row r="102" ht="16" customHeight="1">
      <c r="A102" s="26" t="inlineStr">
        <is>
          <t>PB ISLAMIC BOND FUND</t>
        </is>
      </c>
      <c r="B102" s="26" t="inlineStr">
        <is>
          <t>PBIBF</t>
        </is>
      </c>
      <c r="C102" s="26" t="inlineStr">
        <is>
          <t>Conventional</t>
        </is>
      </c>
      <c r="D102" s="26" t="inlineStr">
        <is>
          <t>Fixed Income</t>
        </is>
      </c>
      <c r="E102" s="26" t="inlineStr">
        <is>
          <t>Malaysia</t>
        </is>
      </c>
      <c r="F102" s="23" t="inlineStr">
        <is>
          <t>Income</t>
        </is>
      </c>
      <c r="G102" s="24" t="n">
        <v>2</v>
      </c>
      <c r="H102" s="23" t="inlineStr">
        <is>
          <t>Annual</t>
        </is>
      </c>
      <c r="I102" s="25" t="n">
        <v>617.85</v>
      </c>
      <c r="J102" s="26" t="inlineStr">
        <is>
          <t>16.03.2006</t>
        </is>
      </c>
      <c r="K102" s="26" t="inlineStr">
        <is>
          <t>Qualified</t>
        </is>
      </c>
      <c r="L102" s="27" t="n">
        <v>80</v>
      </c>
      <c r="M102" s="26" t="inlineStr">
        <is>
          <t>4/5</t>
        </is>
      </c>
      <c r="N102" s="28" t="n">
        <v>0.24</v>
      </c>
      <c r="O102" s="28" t="n">
        <v>0.32</v>
      </c>
      <c r="P102" s="28" t="n">
        <v>-0.08</v>
      </c>
      <c r="Q102" s="28" t="n">
        <v>4.18</v>
      </c>
      <c r="R102" s="28" t="n">
        <v>2.59</v>
      </c>
      <c r="S102" s="28" t="n">
        <v>1.59</v>
      </c>
      <c r="T102" s="28" t="n">
        <v>4.97</v>
      </c>
      <c r="U102" s="28" t="n">
        <v>3.13</v>
      </c>
      <c r="V102" s="28" t="n">
        <v>1.84</v>
      </c>
      <c r="W102" s="28" t="n">
        <v>3.59</v>
      </c>
      <c r="X102" s="28" t="n">
        <v>2.91</v>
      </c>
      <c r="Y102" s="28" t="n">
        <v>0.68</v>
      </c>
      <c r="Z102" s="28" t="n">
        <v>4.3</v>
      </c>
      <c r="AA102" s="28" t="n">
        <v>3.06</v>
      </c>
      <c r="AB102" s="28" t="n">
        <v>1.24</v>
      </c>
      <c r="AC102" s="28">
        <f>IF(OR(P102="",BL102="",BL102=0),"",P102/BL102)</f>
        <v/>
      </c>
      <c r="AD102" s="28">
        <f>IF(OR(S102="",BL102="",BL102=0),"",S102/BL102)</f>
        <v/>
      </c>
      <c r="AE102" s="28">
        <f>IF(OR(V102="",BL102="",BL102=0),"",V102/BL102)</f>
        <v/>
      </c>
      <c r="AF102" s="28">
        <f>IF(OR(Y102="",BL102="",BL102=0),"",Y102/BL102)</f>
        <v/>
      </c>
      <c r="AG102" s="28">
        <f>IF(OR(AB102="",BL102="",BL102=0),"",AB102/BL102)</f>
        <v/>
      </c>
      <c r="AH102" s="27" t="n"/>
      <c r="AI102" s="27" t="n"/>
      <c r="AJ102" s="27" t="n">
        <v>78.59999999999999</v>
      </c>
      <c r="AK102" s="27" t="n">
        <v>21.4</v>
      </c>
      <c r="AL102" s="27" t="n"/>
      <c r="AM102" s="27" t="n"/>
      <c r="AN102" s="27" t="n"/>
      <c r="AO102" s="27" t="n"/>
      <c r="AP102" s="27" t="n"/>
      <c r="AQ102" s="27" t="n"/>
      <c r="AR102" s="27" t="n"/>
      <c r="AS102" s="27" t="n"/>
      <c r="AT102" s="27" t="n"/>
      <c r="AU102" s="27" t="n"/>
      <c r="AV102" s="27" t="n"/>
      <c r="AW102" s="27" t="n"/>
      <c r="AX102" s="27" t="n"/>
      <c r="AY102" s="27" t="n"/>
      <c r="AZ102" s="27" t="n"/>
      <c r="BA102" s="27" t="n"/>
      <c r="BB102" s="27" t="n"/>
      <c r="BC102" s="27" t="n"/>
      <c r="BD102" s="27" t="n"/>
      <c r="BE102" s="27" t="n"/>
      <c r="BF102" s="27" t="n"/>
      <c r="BG102" s="27" t="n"/>
      <c r="BH102" s="27" t="n"/>
      <c r="BI102" s="27" t="n"/>
      <c r="BJ102" s="27" t="n"/>
      <c r="BK102" s="23" t="inlineStr">
        <is>
          <t>CIMB Islamic Bank Berhad - 4.07% / 2035* | Government Investment Issue - 3.775% / 2045* | Government Investment Issue - 4.291% / 2043* | Petroleum Sarawak E&amp;P Sdn Bhd - 3.70% / 2035* | CIMB Islamic Bank Berhad - 4.13% / 2034*</t>
        </is>
      </c>
      <c r="BL102" s="27" t="n">
        <v>1.5</v>
      </c>
      <c r="BM102" s="26" t="inlineStr">
        <is>
          <t>Very Low</t>
        </is>
      </c>
      <c r="BN102" s="23" t="inlineStr">
        <is>
          <t>Bond Sukuk Malaysia</t>
        </is>
      </c>
      <c r="BO102" s="23" t="inlineStr">
        <is>
          <t>12-Month General Investment Account (GIA) rate (prior to 1 July 2025). Public Islamic Bank 12-Month Term Deposit-i (w.e.f. 1 July 2025).</t>
        </is>
      </c>
      <c r="BP102" s="29" t="n">
        <v>1.2359</v>
      </c>
      <c r="BQ102" s="26" t="inlineStr">
        <is>
          <t>2013-06-18</t>
        </is>
      </c>
      <c r="BR102" s="29" t="n">
        <v>1.1535</v>
      </c>
      <c r="BS102" s="28" t="n">
        <v>-6.67</v>
      </c>
      <c r="BT102" s="24" t="n">
        <v>4675</v>
      </c>
    </row>
    <row r="103" ht="16" customHeight="1">
      <c r="A103" s="34" t="inlineStr">
        <is>
          <t>PB SUKUK FUND</t>
        </is>
      </c>
      <c r="B103" s="34" t="inlineStr">
        <is>
          <t>PBSKF</t>
        </is>
      </c>
      <c r="C103" s="34" t="inlineStr">
        <is>
          <t>Conventional</t>
        </is>
      </c>
      <c r="D103" s="34" t="inlineStr">
        <is>
          <t>Fixed Income</t>
        </is>
      </c>
      <c r="E103" s="34" t="inlineStr">
        <is>
          <t>Malaysia</t>
        </is>
      </c>
      <c r="F103" s="31" t="inlineStr">
        <is>
          <t>Income</t>
        </is>
      </c>
      <c r="G103" s="32" t="n">
        <v>2</v>
      </c>
      <c r="H103" s="31" t="inlineStr">
        <is>
          <t>Annual</t>
        </is>
      </c>
      <c r="I103" s="33" t="n">
        <v>395.26</v>
      </c>
      <c r="J103" s="34" t="inlineStr">
        <is>
          <t>06.09.2011</t>
        </is>
      </c>
      <c r="K103" s="34" t="inlineStr">
        <is>
          <t>Qualified</t>
        </is>
      </c>
      <c r="L103" s="35" t="n">
        <v>80</v>
      </c>
      <c r="M103" s="34" t="inlineStr">
        <is>
          <t>4/5</t>
        </is>
      </c>
      <c r="N103" s="36" t="n">
        <v>0.3</v>
      </c>
      <c r="O103" s="36" t="n">
        <v>0.32</v>
      </c>
      <c r="P103" s="36" t="n">
        <v>-0.02</v>
      </c>
      <c r="Q103" s="36" t="n">
        <v>4.27</v>
      </c>
      <c r="R103" s="36" t="n">
        <v>2.59</v>
      </c>
      <c r="S103" s="36" t="n">
        <v>1.68</v>
      </c>
      <c r="T103" s="36" t="n">
        <v>4.92</v>
      </c>
      <c r="U103" s="36" t="n">
        <v>3.13</v>
      </c>
      <c r="V103" s="36" t="n">
        <v>1.79</v>
      </c>
      <c r="W103" s="36" t="n">
        <v>3.54</v>
      </c>
      <c r="X103" s="36" t="n">
        <v>2.91</v>
      </c>
      <c r="Y103" s="36" t="n">
        <v>0.63</v>
      </c>
      <c r="Z103" s="36" t="n">
        <v>4.15</v>
      </c>
      <c r="AA103" s="36" t="n">
        <v>3.06</v>
      </c>
      <c r="AB103" s="36" t="n">
        <v>1.09</v>
      </c>
      <c r="AC103" s="36">
        <f>IF(OR(P103="",BL103="",BL103=0),"",P103/BL103)</f>
        <v/>
      </c>
      <c r="AD103" s="36">
        <f>IF(OR(S103="",BL103="",BL103=0),"",S103/BL103)</f>
        <v/>
      </c>
      <c r="AE103" s="36">
        <f>IF(OR(V103="",BL103="",BL103=0),"",V103/BL103)</f>
        <v/>
      </c>
      <c r="AF103" s="36">
        <f>IF(OR(Y103="",BL103="",BL103=0),"",Y103/BL103)</f>
        <v/>
      </c>
      <c r="AG103" s="36">
        <f>IF(OR(AB103="",BL103="",BL103=0),"",AB103/BL103)</f>
        <v/>
      </c>
      <c r="AH103" s="35" t="n"/>
      <c r="AI103" s="35" t="n"/>
      <c r="AJ103" s="35" t="n">
        <v>87.2</v>
      </c>
      <c r="AK103" s="35" t="n">
        <v>12.8</v>
      </c>
      <c r="AL103" s="35" t="n"/>
      <c r="AM103" s="35" t="n"/>
      <c r="AN103" s="35" t="n"/>
      <c r="AO103" s="35" t="n"/>
      <c r="AP103" s="35" t="n"/>
      <c r="AQ103" s="35" t="n"/>
      <c r="AR103" s="35" t="n"/>
      <c r="AS103" s="35" t="n"/>
      <c r="AT103" s="35" t="n"/>
      <c r="AU103" s="35" t="n"/>
      <c r="AV103" s="35" t="n"/>
      <c r="AW103" s="35" t="n"/>
      <c r="AX103" s="35" t="n"/>
      <c r="AY103" s="35" t="n"/>
      <c r="AZ103" s="35" t="n"/>
      <c r="BA103" s="35" t="n"/>
      <c r="BB103" s="35" t="n"/>
      <c r="BC103" s="35" t="n"/>
      <c r="BD103" s="35" t="n"/>
      <c r="BE103" s="35" t="n"/>
      <c r="BF103" s="35" t="n"/>
      <c r="BG103" s="35" t="n"/>
      <c r="BH103" s="35" t="n"/>
      <c r="BI103" s="35" t="n"/>
      <c r="BJ103" s="35" t="n"/>
      <c r="BK103" s="31" t="inlineStr">
        <is>
          <t>Danum Capital Berhad - 3.82% / 2036* | Projek Lebuhraya Usahasama Berhad - 4.954% / 2037* | Tenaga Nasional Berhad - 4.98% / 2038* | Petroleum Sarawak E&amp;P Sdn Bhd - 3.70% / 2035* | Government Investment Issue - 4.638% / 2049*</t>
        </is>
      </c>
      <c r="BL103" s="35" t="n">
        <v>1.4</v>
      </c>
      <c r="BM103" s="34" t="inlineStr">
        <is>
          <t>Very Low</t>
        </is>
      </c>
      <c r="BN103" s="31" t="inlineStr">
        <is>
          <t>Bond Sukuk Malaysia</t>
        </is>
      </c>
      <c r="BO103" s="31" t="inlineStr">
        <is>
          <t>12-Month General Investment Account (GIA) rate (prior to 1 July 2025). Public Islamic Bank 12-Month Term Deposit-i (w.e.f. 1 July 2025).</t>
        </is>
      </c>
      <c r="BP103" s="37" t="n">
        <v>1.1466</v>
      </c>
      <c r="BQ103" s="34" t="inlineStr">
        <is>
          <t>2020-08-06</t>
        </is>
      </c>
      <c r="BR103" s="37" t="n">
        <v>1.0727</v>
      </c>
      <c r="BS103" s="36" t="n">
        <v>-6.45</v>
      </c>
      <c r="BT103" s="32" t="n">
        <v>2069</v>
      </c>
    </row>
    <row r="104" ht="16" customHeight="1">
      <c r="A104" s="22" t="inlineStr">
        <is>
          <t>PUBLIC ISLAMIC STRATEGIC BOND FUND</t>
        </is>
      </c>
      <c r="B104" s="22" t="inlineStr">
        <is>
          <t>PISTBF</t>
        </is>
      </c>
      <c r="C104" s="22" t="inlineStr">
        <is>
          <t>Shariah</t>
        </is>
      </c>
      <c r="D104" s="22" t="inlineStr">
        <is>
          <t>Fixed Income</t>
        </is>
      </c>
      <c r="E104" s="22" t="inlineStr">
        <is>
          <t>Malaysia</t>
        </is>
      </c>
      <c r="F104" s="23" t="inlineStr">
        <is>
          <t>Income</t>
        </is>
      </c>
      <c r="G104" s="24" t="n">
        <v>2</v>
      </c>
      <c r="H104" s="23" t="inlineStr">
        <is>
          <t>Annual</t>
        </is>
      </c>
      <c r="I104" s="25" t="n">
        <v>251.45</v>
      </c>
      <c r="J104" s="26" t="inlineStr">
        <is>
          <t>30.12.2010</t>
        </is>
      </c>
      <c r="K104" s="26" t="inlineStr">
        <is>
          <t>Qualified</t>
        </is>
      </c>
      <c r="L104" s="27" t="n">
        <v>80</v>
      </c>
      <c r="M104" s="26" t="inlineStr">
        <is>
          <t>4/5</t>
        </is>
      </c>
      <c r="N104" s="28" t="n">
        <v>0.3</v>
      </c>
      <c r="O104" s="28" t="n">
        <v>0.32</v>
      </c>
      <c r="P104" s="28" t="n">
        <v>-0.02</v>
      </c>
      <c r="Q104" s="28" t="n">
        <v>4.41</v>
      </c>
      <c r="R104" s="28" t="n">
        <v>2.59</v>
      </c>
      <c r="S104" s="28" t="n">
        <v>1.82</v>
      </c>
      <c r="T104" s="28" t="n">
        <v>4.72</v>
      </c>
      <c r="U104" s="28" t="n">
        <v>3.13</v>
      </c>
      <c r="V104" s="28" t="n">
        <v>1.59</v>
      </c>
      <c r="W104" s="28" t="n">
        <v>3.51</v>
      </c>
      <c r="X104" s="28" t="n">
        <v>2.91</v>
      </c>
      <c r="Y104" s="28" t="n">
        <v>0.6</v>
      </c>
      <c r="Z104" s="28" t="n">
        <v>3.95</v>
      </c>
      <c r="AA104" s="28" t="n">
        <v>3.06</v>
      </c>
      <c r="AB104" s="28" t="n">
        <v>0.89</v>
      </c>
      <c r="AC104" s="28">
        <f>IF(OR(P104="",BL104="",BL104=0),"",P104/BL104)</f>
        <v/>
      </c>
      <c r="AD104" s="28">
        <f>IF(OR(S104="",BL104="",BL104=0),"",S104/BL104)</f>
        <v/>
      </c>
      <c r="AE104" s="28">
        <f>IF(OR(V104="",BL104="",BL104=0),"",V104/BL104)</f>
        <v/>
      </c>
      <c r="AF104" s="28">
        <f>IF(OR(Y104="",BL104="",BL104=0),"",Y104/BL104)</f>
        <v/>
      </c>
      <c r="AG104" s="28">
        <f>IF(OR(AB104="",BL104="",BL104=0),"",AB104/BL104)</f>
        <v/>
      </c>
      <c r="AH104" s="27" t="n"/>
      <c r="AI104" s="27" t="n"/>
      <c r="AJ104" s="27" t="n">
        <v>87.5</v>
      </c>
      <c r="AK104" s="27" t="n">
        <v>12.5</v>
      </c>
      <c r="AL104" s="27" t="n"/>
      <c r="AM104" s="27" t="n"/>
      <c r="AN104" s="27" t="n"/>
      <c r="AO104" s="27" t="n"/>
      <c r="AP104" s="27" t="n"/>
      <c r="AQ104" s="27" t="n"/>
      <c r="AR104" s="27" t="n"/>
      <c r="AS104" s="27" t="n"/>
      <c r="AT104" s="27" t="n"/>
      <c r="AU104" s="27" t="n"/>
      <c r="AV104" s="27" t="n"/>
      <c r="AW104" s="27" t="n"/>
      <c r="AX104" s="27" t="n"/>
      <c r="AY104" s="27" t="n"/>
      <c r="AZ104" s="27" t="n"/>
      <c r="BA104" s="27" t="n"/>
      <c r="BB104" s="27" t="n"/>
      <c r="BC104" s="27" t="n"/>
      <c r="BD104" s="27" t="n"/>
      <c r="BE104" s="27" t="n"/>
      <c r="BF104" s="27" t="n"/>
      <c r="BG104" s="27" t="n"/>
      <c r="BH104" s="27" t="n"/>
      <c r="BI104" s="27" t="n"/>
      <c r="BJ104" s="27" t="n"/>
      <c r="BK104" s="23" t="inlineStr">
        <is>
          <t>CIMB Islamic Bank Berhad - 4.07% / 2035*</t>
        </is>
      </c>
      <c r="BL104" s="27" t="n">
        <v>1.3</v>
      </c>
      <c r="BM104" s="26" t="inlineStr">
        <is>
          <t>Very Low</t>
        </is>
      </c>
      <c r="BN104" s="23" t="inlineStr">
        <is>
          <t>Bond Sukuk Malaysia</t>
        </is>
      </c>
      <c r="BO104" s="23" t="inlineStr">
        <is>
          <t>12-Month General Investment Account (GIA) rate (prior to 1 July 2025). Public Islamic Bank 12-Month Term Deposit-i (w.e.f. 1 July 2025).</t>
        </is>
      </c>
      <c r="BP104" s="29" t="n">
        <v>1.111</v>
      </c>
      <c r="BQ104" s="26" t="inlineStr">
        <is>
          <t>2020-11-09</t>
        </is>
      </c>
      <c r="BR104" s="29" t="n">
        <v>1.0495</v>
      </c>
      <c r="BS104" s="28" t="n">
        <v>-5.54</v>
      </c>
      <c r="BT104" s="24" t="n">
        <v>1974</v>
      </c>
    </row>
    <row r="105" ht="16" customHeight="1">
      <c r="A105" s="30" t="inlineStr">
        <is>
          <t>PUBLICINSTITUTIONAL BOND FUND</t>
        </is>
      </c>
      <c r="B105" s="30" t="inlineStr">
        <is>
          <t>PIN BOND</t>
        </is>
      </c>
      <c r="C105" s="30" t="inlineStr">
        <is>
          <t>Shariah</t>
        </is>
      </c>
      <c r="D105" s="30" t="inlineStr">
        <is>
          <t>Fixed Income</t>
        </is>
      </c>
      <c r="E105" s="30" t="inlineStr">
        <is>
          <t>Malaysia</t>
        </is>
      </c>
      <c r="F105" s="31" t="inlineStr">
        <is>
          <t>Income</t>
        </is>
      </c>
      <c r="G105" s="32" t="n">
        <v>2</v>
      </c>
      <c r="H105" s="31" t="inlineStr">
        <is>
          <t>Annual</t>
        </is>
      </c>
      <c r="I105" s="33" t="n">
        <v>2842.03</v>
      </c>
      <c r="J105" s="34" t="inlineStr">
        <is>
          <t>30.04.2003</t>
        </is>
      </c>
      <c r="K105" s="34" t="inlineStr">
        <is>
          <t>Qualified</t>
        </is>
      </c>
      <c r="L105" s="35" t="n">
        <v>80</v>
      </c>
      <c r="M105" s="34" t="inlineStr">
        <is>
          <t>4/5</t>
        </is>
      </c>
      <c r="N105" s="36" t="n">
        <v>0.52</v>
      </c>
      <c r="O105" s="36" t="n">
        <v>0.32</v>
      </c>
      <c r="P105" s="36" t="n">
        <v>0.2</v>
      </c>
      <c r="Q105" s="36" t="n">
        <v>3.89</v>
      </c>
      <c r="R105" s="36" t="n">
        <v>2.21</v>
      </c>
      <c r="S105" s="36" t="n">
        <v>1.68</v>
      </c>
      <c r="T105" s="36" t="n">
        <v>4.03</v>
      </c>
      <c r="U105" s="36" t="n">
        <v>2.5</v>
      </c>
      <c r="V105" s="36" t="n">
        <v>1.53</v>
      </c>
      <c r="W105" s="36" t="n">
        <v>3.11</v>
      </c>
      <c r="X105" s="36" t="n">
        <v>2.35</v>
      </c>
      <c r="Y105" s="36" t="n">
        <v>0.76</v>
      </c>
      <c r="Z105" s="36" t="n">
        <v>3.87</v>
      </c>
      <c r="AA105" s="36" t="n">
        <v>4.72</v>
      </c>
      <c r="AB105" s="36" t="n">
        <v>-0.85</v>
      </c>
      <c r="AC105" s="36">
        <f>IF(OR(P105="",BL105="",BL105=0),"",P105/BL105)</f>
        <v/>
      </c>
      <c r="AD105" s="36">
        <f>IF(OR(S105="",BL105="",BL105=0),"",S105/BL105)</f>
        <v/>
      </c>
      <c r="AE105" s="36">
        <f>IF(OR(V105="",BL105="",BL105=0),"",V105/BL105)</f>
        <v/>
      </c>
      <c r="AF105" s="36">
        <f>IF(OR(Y105="",BL105="",BL105=0),"",Y105/BL105)</f>
        <v/>
      </c>
      <c r="AG105" s="36">
        <f>IF(OR(AB105="",BL105="",BL105=0),"",AB105/BL105)</f>
        <v/>
      </c>
      <c r="AH105" s="35" t="n"/>
      <c r="AI105" s="35" t="n"/>
      <c r="AJ105" s="35" t="n">
        <v>79.59999999999999</v>
      </c>
      <c r="AK105" s="35" t="n">
        <v>20.4</v>
      </c>
      <c r="AL105" s="35" t="n"/>
      <c r="AM105" s="35" t="n"/>
      <c r="AN105" s="35" t="n"/>
      <c r="AO105" s="35" t="n"/>
      <c r="AP105" s="35" t="n"/>
      <c r="AQ105" s="35" t="n"/>
      <c r="AR105" s="35" t="n"/>
      <c r="AS105" s="35" t="n"/>
      <c r="AT105" s="35" t="n"/>
      <c r="AU105" s="35" t="n"/>
      <c r="AV105" s="35" t="n"/>
      <c r="AW105" s="35" t="n"/>
      <c r="AX105" s="35" t="n"/>
      <c r="AY105" s="35" t="n"/>
      <c r="AZ105" s="35" t="n"/>
      <c r="BA105" s="35" t="n"/>
      <c r="BB105" s="35" t="n"/>
      <c r="BC105" s="35" t="n"/>
      <c r="BD105" s="35" t="n"/>
      <c r="BE105" s="35" t="n"/>
      <c r="BF105" s="35" t="n"/>
      <c r="BG105" s="35" t="n"/>
      <c r="BH105" s="35" t="n"/>
      <c r="BI105" s="35" t="n"/>
      <c r="BJ105" s="35" t="n"/>
      <c r="BK105" s="31" t="inlineStr">
        <is>
          <t>AmBank (M) Berhad - 4.55% / 2028 / 2033* | RHB Bank Berhad - 3.81% / 2032** | AmBank Islamic Berhad - 4.10% / 2031** | Tenaga Nasional Berhad - 4.78% / 2033** | Maybank Islamic Berhad - 3.61% / 2031**</t>
        </is>
      </c>
      <c r="BL105" s="35" t="n">
        <v>0.6</v>
      </c>
      <c r="BM105" s="34" t="inlineStr">
        <is>
          <t>Very Low</t>
        </is>
      </c>
      <c r="BN105" s="31" t="inlineStr">
        <is>
          <t>Bond MYR</t>
        </is>
      </c>
      <c r="BO105" s="31"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P105" s="37" t="n">
        <v>1.057</v>
      </c>
      <c r="BQ105" s="34" t="inlineStr">
        <is>
          <t>2020-09-09</t>
        </is>
      </c>
      <c r="BR105" s="37" t="n">
        <v>1.0124</v>
      </c>
      <c r="BS105" s="36" t="n">
        <v>-4.22</v>
      </c>
      <c r="BT105" s="32" t="n">
        <v>2035</v>
      </c>
    </row>
    <row r="106" ht="16" customHeight="1">
      <c r="A106" s="22" t="inlineStr">
        <is>
          <t>PUBLIC e-SUKUK FUND</t>
        </is>
      </c>
      <c r="B106" s="22" t="inlineStr">
        <is>
          <t>PeSukuk</t>
        </is>
      </c>
      <c r="C106" s="22" t="inlineStr">
        <is>
          <t>Shariah</t>
        </is>
      </c>
      <c r="D106" s="22" t="inlineStr">
        <is>
          <t>Fixed Income</t>
        </is>
      </c>
      <c r="E106" s="22" t="inlineStr">
        <is>
          <t>Malaysia</t>
        </is>
      </c>
      <c r="F106" s="23" t="inlineStr">
        <is>
          <t>Income</t>
        </is>
      </c>
      <c r="G106" s="24" t="n">
        <v>2</v>
      </c>
      <c r="H106" s="23" t="inlineStr">
        <is>
          <t>Annual</t>
        </is>
      </c>
      <c r="I106" s="25" t="n">
        <v>654.3099999999999</v>
      </c>
      <c r="J106" s="26" t="inlineStr">
        <is>
          <t>09.12.2020</t>
        </is>
      </c>
      <c r="K106" s="26" t="inlineStr">
        <is>
          <t>Qualified</t>
        </is>
      </c>
      <c r="L106" s="27" t="n">
        <v>75</v>
      </c>
      <c r="M106" s="26" t="inlineStr">
        <is>
          <t>3/4</t>
        </is>
      </c>
      <c r="N106" s="28" t="n">
        <v>0.19</v>
      </c>
      <c r="O106" s="28" t="n">
        <v>0.32</v>
      </c>
      <c r="P106" s="28" t="n">
        <v>-0.13</v>
      </c>
      <c r="Q106" s="28" t="n">
        <v>4.55</v>
      </c>
      <c r="R106" s="28" t="n">
        <v>2.59</v>
      </c>
      <c r="S106" s="28" t="n">
        <v>1.96</v>
      </c>
      <c r="T106" s="28" t="n">
        <v>5.32</v>
      </c>
      <c r="U106" s="28" t="n">
        <v>3.13</v>
      </c>
      <c r="V106" s="28" t="n">
        <v>2.19</v>
      </c>
      <c r="W106" s="28" t="n">
        <v>3.72</v>
      </c>
      <c r="X106" s="28" t="n">
        <v>2.91</v>
      </c>
      <c r="Y106" s="28" t="n">
        <v>0.8100000000000001</v>
      </c>
      <c r="Z106" s="28" t="n"/>
      <c r="AA106" s="28" t="n"/>
      <c r="AB106" s="28" t="n"/>
      <c r="AC106" s="28">
        <f>IF(OR(P106="",BL106="",BL106=0),"",P106/BL106)</f>
        <v/>
      </c>
      <c r="AD106" s="28">
        <f>IF(OR(S106="",BL106="",BL106=0),"",S106/BL106)</f>
        <v/>
      </c>
      <c r="AE106" s="28">
        <f>IF(OR(V106="",BL106="",BL106=0),"",V106/BL106)</f>
        <v/>
      </c>
      <c r="AF106" s="28">
        <f>IF(OR(Y106="",BL106="",BL106=0),"",Y106/BL106)</f>
        <v/>
      </c>
      <c r="AG106" s="28">
        <f>IF(OR(AB106="",BL106="",BL106=0),"",AB106/BL106)</f>
        <v/>
      </c>
      <c r="AH106" s="27" t="n"/>
      <c r="AI106" s="27" t="n"/>
      <c r="AJ106" s="27" t="n">
        <v>80.40000000000001</v>
      </c>
      <c r="AK106" s="27" t="n">
        <v>19.6</v>
      </c>
      <c r="AL106" s="27" t="n"/>
      <c r="AM106" s="27" t="n"/>
      <c r="AN106" s="27" t="n"/>
      <c r="AO106" s="27" t="n"/>
      <c r="AP106" s="27" t="n"/>
      <c r="AQ106" s="27" t="n"/>
      <c r="AR106" s="27" t="n"/>
      <c r="AS106" s="27" t="n"/>
      <c r="AT106" s="27" t="n"/>
      <c r="AU106" s="27" t="n"/>
      <c r="AV106" s="27" t="n"/>
      <c r="AW106" s="27" t="n"/>
      <c r="AX106" s="27" t="n"/>
      <c r="AY106" s="27" t="n"/>
      <c r="AZ106" s="27" t="n"/>
      <c r="BA106" s="27" t="n"/>
      <c r="BB106" s="27" t="n"/>
      <c r="BC106" s="27" t="n"/>
      <c r="BD106" s="27" t="n"/>
      <c r="BE106" s="27" t="n"/>
      <c r="BF106" s="27" t="n"/>
      <c r="BG106" s="27" t="n"/>
      <c r="BH106" s="27" t="n"/>
      <c r="BI106" s="27" t="n"/>
      <c r="BJ106" s="27" t="n"/>
      <c r="BK106" s="23" t="inlineStr">
        <is>
          <t>Government Investment Issue - 3.775% / 2045* | Pengurusan Air SPV Berhad - 4.06% / 2039* | Sarawak Energy Berhad - 3.88% / 2040* | IJM Treasury Management Sdn Bhd - 20/05/2026** | Pengurusan Air Selangor Sdn Bhd - 4.09% / 2050*</t>
        </is>
      </c>
      <c r="BL106" s="27" t="n">
        <v>1.6</v>
      </c>
      <c r="BM106" s="26" t="inlineStr">
        <is>
          <t>Very Low</t>
        </is>
      </c>
      <c r="BN106" s="23" t="inlineStr">
        <is>
          <t>Bond Sukuk Malaysia</t>
        </is>
      </c>
      <c r="BO106" s="23" t="inlineStr">
        <is>
          <t>12-Month General Investment Account Rate (prior to 1 July 2025). Public Islamic Bank 12-Month Term Deposit-i (w.e.f. 1 July 2025).</t>
        </is>
      </c>
      <c r="BP106" s="29" t="n">
        <v>1.0812</v>
      </c>
      <c r="BQ106" s="26" t="inlineStr">
        <is>
          <t>2026-01-12</t>
        </is>
      </c>
      <c r="BR106" s="29" t="n">
        <v>1.0322</v>
      </c>
      <c r="BS106" s="28" t="n">
        <v>-4.53</v>
      </c>
      <c r="BT106" s="24" t="n">
        <v>84</v>
      </c>
    </row>
    <row r="107" ht="16" customHeight="1">
      <c r="A107" s="34" t="inlineStr">
        <is>
          <t>PUBLIC e-EMAS GOLD FUND</t>
        </is>
      </c>
      <c r="B107" s="34" t="inlineStr">
        <is>
          <t>PeEMAS</t>
        </is>
      </c>
      <c r="C107" s="34" t="inlineStr">
        <is>
          <t>Conventional</t>
        </is>
      </c>
      <c r="D107" s="34" t="inlineStr">
        <is>
          <t>Fund of Funds</t>
        </is>
      </c>
      <c r="E107" s="34" t="inlineStr">
        <is>
          <t>Malaysia</t>
        </is>
      </c>
      <c r="F107" s="31" t="inlineStr">
        <is>
          <t>Capital Growth</t>
        </is>
      </c>
      <c r="G107" s="32" t="n">
        <v>5</v>
      </c>
      <c r="H107" s="31" t="inlineStr">
        <is>
          <t>None</t>
        </is>
      </c>
      <c r="I107" s="33" t="n">
        <v>575.9</v>
      </c>
      <c r="J107" s="34" t="inlineStr">
        <is>
          <t>01.09.2021</t>
        </is>
      </c>
      <c r="K107" s="34" t="inlineStr">
        <is>
          <t>Qualified</t>
        </is>
      </c>
      <c r="L107" s="35" t="n">
        <v>66.7</v>
      </c>
      <c r="M107" s="34" t="inlineStr">
        <is>
          <t>2/3</t>
        </is>
      </c>
      <c r="N107" s="36" t="n">
        <v>15.33</v>
      </c>
      <c r="O107" s="36" t="n">
        <v>13.83</v>
      </c>
      <c r="P107" s="36" t="n">
        <v>1.5</v>
      </c>
      <c r="Q107" s="36" t="n">
        <v>51.75</v>
      </c>
      <c r="R107" s="36" t="n">
        <v>51.53</v>
      </c>
      <c r="S107" s="36" t="n">
        <v>0.22</v>
      </c>
      <c r="T107" s="36" t="n">
        <v>30.49</v>
      </c>
      <c r="U107" s="36" t="n">
        <v>31.29</v>
      </c>
      <c r="V107" s="36" t="n">
        <v>-0.8</v>
      </c>
      <c r="W107" s="36" t="n"/>
      <c r="X107" s="36" t="n"/>
      <c r="Y107" s="36" t="n"/>
      <c r="Z107" s="36" t="n"/>
      <c r="AA107" s="36" t="n"/>
      <c r="AB107" s="36" t="n"/>
      <c r="AC107" s="36">
        <f>IF(OR(P107="",BL107="",BL107=0),"",P107/BL107)</f>
        <v/>
      </c>
      <c r="AD107" s="36">
        <f>IF(OR(S107="",BL107="",BL107=0),"",S107/BL107)</f>
        <v/>
      </c>
      <c r="AE107" s="36">
        <f>IF(OR(V107="",BL107="",BL107=0),"",V107/BL107)</f>
        <v/>
      </c>
      <c r="AF107" s="36">
        <f>IF(OR(Y107="",BL107="",BL107=0),"",Y107/BL107)</f>
        <v/>
      </c>
      <c r="AG107" s="36">
        <f>IF(OR(AB107="",BL107="",BL107=0),"",AB107/BL107)</f>
        <v/>
      </c>
      <c r="AH107" s="35" t="n"/>
      <c r="AI107" s="35" t="n">
        <v>90.5</v>
      </c>
      <c r="AJ107" s="35" t="n"/>
      <c r="AK107" s="35" t="n">
        <v>9.5</v>
      </c>
      <c r="AL107" s="35" t="n"/>
      <c r="AM107" s="35" t="n"/>
      <c r="AN107" s="35" t="n">
        <v>90.5</v>
      </c>
      <c r="AO107" s="35" t="n"/>
      <c r="AP107" s="35" t="n"/>
      <c r="AQ107" s="35" t="n"/>
      <c r="AR107" s="35" t="n"/>
      <c r="AS107" s="35" t="n"/>
      <c r="AT107" s="35" t="n"/>
      <c r="AU107" s="35" t="n"/>
      <c r="AV107" s="35" t="n"/>
      <c r="AW107" s="35" t="n"/>
      <c r="AX107" s="35" t="n"/>
      <c r="AY107" s="35" t="n"/>
      <c r="AZ107" s="35" t="n"/>
      <c r="BA107" s="35" t="n"/>
      <c r="BB107" s="35" t="n"/>
      <c r="BC107" s="35" t="n"/>
      <c r="BD107" s="35" t="n"/>
      <c r="BE107" s="35" t="n"/>
      <c r="BF107" s="35" t="n"/>
      <c r="BG107" s="35" t="n"/>
      <c r="BH107" s="35" t="n"/>
      <c r="BI107" s="35" t="n"/>
      <c r="BJ107" s="35" t="n"/>
      <c r="BK107" s="31" t="inlineStr">
        <is>
          <t>Goldman Sachs Physical Gold ETF | GraniteShares Gold Trust | abrdn Physical Gold Shares ETF | iShares Gold Trust | VanEck Merk Gold ETF</t>
        </is>
      </c>
      <c r="BL107" s="35" t="n">
        <v>12.9</v>
      </c>
      <c r="BM107" s="34" t="inlineStr">
        <is>
          <t>High</t>
        </is>
      </c>
      <c r="BN107" s="31" t="inlineStr">
        <is>
          <t>Commodity Precious Fund-of-Funds</t>
        </is>
      </c>
      <c r="BO107" s="31" t="inlineStr">
        <is>
          <t>90% Gold Spot Exchange Rate in Ringgit Malaysia (Bloomberg ticker: XAUMYR Curncy) and 10% Public Bank Savings Rate - ACE Account.</t>
        </is>
      </c>
      <c r="BP107" s="37" t="n">
        <v>2.479</v>
      </c>
      <c r="BQ107" s="34" t="inlineStr">
        <is>
          <t>2026-01-29</t>
        </is>
      </c>
      <c r="BR107" s="37" t="n">
        <v>2.2445</v>
      </c>
      <c r="BS107" s="36" t="n">
        <v>-9.460000000000001</v>
      </c>
      <c r="BT107" s="32" t="n">
        <v>67</v>
      </c>
    </row>
    <row r="108" ht="16" customHeight="1">
      <c r="A108" s="26" t="inlineStr">
        <is>
          <t>PUBLIC e-CASH DEPOSIT FUND -CLASS A</t>
        </is>
      </c>
      <c r="B108" s="26" t="inlineStr">
        <is>
          <t>PeCDF-A</t>
        </is>
      </c>
      <c r="C108" s="26" t="inlineStr">
        <is>
          <t>Conventional</t>
        </is>
      </c>
      <c r="D108" s="26" t="inlineStr">
        <is>
          <t>Money Market</t>
        </is>
      </c>
      <c r="E108" s="26" t="inlineStr">
        <is>
          <t>Malaysia</t>
        </is>
      </c>
      <c r="F108" s="23" t="inlineStr">
        <is>
          <t>Income</t>
        </is>
      </c>
      <c r="G108" s="24" t="n">
        <v>1</v>
      </c>
      <c r="H108" s="23" t="inlineStr">
        <is>
          <t>Monthly</t>
        </is>
      </c>
      <c r="I108" s="25" t="n">
        <v>2868.69</v>
      </c>
      <c r="J108" s="26" t="inlineStr">
        <is>
          <t>25.08.2014</t>
        </is>
      </c>
      <c r="K108" s="26" t="inlineStr">
        <is>
          <t>Qualified</t>
        </is>
      </c>
      <c r="L108" s="27" t="n">
        <v>100</v>
      </c>
      <c r="M108" s="26" t="inlineStr">
        <is>
          <t>5/5</t>
        </is>
      </c>
      <c r="N108" s="28" t="n">
        <v>0.52</v>
      </c>
      <c r="O108" s="28" t="n">
        <v>0.26</v>
      </c>
      <c r="P108" s="28" t="n">
        <v>0.26</v>
      </c>
      <c r="Q108" s="28" t="n">
        <v>3.43</v>
      </c>
      <c r="R108" s="28" t="n">
        <v>1.78</v>
      </c>
      <c r="S108" s="28" t="n">
        <v>1.65</v>
      </c>
      <c r="T108" s="28" t="n">
        <v>3.53</v>
      </c>
      <c r="U108" s="28" t="n">
        <v>2.06</v>
      </c>
      <c r="V108" s="28" t="n">
        <v>1.47</v>
      </c>
      <c r="W108" s="28" t="n">
        <v>2.93</v>
      </c>
      <c r="X108" s="28" t="n">
        <v>1.9</v>
      </c>
      <c r="Y108" s="28" t="n">
        <v>1.03</v>
      </c>
      <c r="Z108" s="28" t="n">
        <v>3.04</v>
      </c>
      <c r="AA108" s="28" t="n">
        <v>2.3</v>
      </c>
      <c r="AB108" s="28" t="n">
        <v>0.74</v>
      </c>
      <c r="AC108" s="28">
        <f>IF(OR(P108="",BL108="",BL108=0),"",P108/BL108)</f>
        <v/>
      </c>
      <c r="AD108" s="28">
        <f>IF(OR(S108="",BL108="",BL108=0),"",S108/BL108)</f>
        <v/>
      </c>
      <c r="AE108" s="28">
        <f>IF(OR(V108="",BL108="",BL108=0),"",V108/BL108)</f>
        <v/>
      </c>
      <c r="AF108" s="28">
        <f>IF(OR(Y108="",BL108="",BL108=0),"",Y108/BL108)</f>
        <v/>
      </c>
      <c r="AG108" s="28">
        <f>IF(OR(AB108="",BL108="",BL108=0),"",AB108/BL108)</f>
        <v/>
      </c>
      <c r="AH108" s="27" t="n"/>
      <c r="AI108" s="27" t="n"/>
      <c r="AJ108" s="27" t="n"/>
      <c r="AK108" s="27" t="n"/>
      <c r="AL108" s="27" t="n">
        <v>100</v>
      </c>
      <c r="AM108" s="27" t="n"/>
      <c r="AN108" s="27" t="n"/>
      <c r="AO108" s="27" t="n"/>
      <c r="AP108" s="27" t="n"/>
      <c r="AQ108" s="27" t="n"/>
      <c r="AR108" s="27" t="n"/>
      <c r="AS108" s="27" t="n"/>
      <c r="AT108" s="27" t="n"/>
      <c r="AU108" s="27" t="n"/>
      <c r="AV108" s="27" t="n"/>
      <c r="AW108" s="27" t="n"/>
      <c r="AX108" s="27" t="n"/>
      <c r="AY108" s="27" t="n"/>
      <c r="AZ108" s="27" t="n"/>
      <c r="BA108" s="27" t="n"/>
      <c r="BB108" s="27" t="n"/>
      <c r="BC108" s="27" t="n"/>
      <c r="BD108" s="27" t="n"/>
      <c r="BE108" s="27" t="n"/>
      <c r="BF108" s="27" t="n"/>
      <c r="BG108" s="27" t="n"/>
      <c r="BH108" s="27" t="n"/>
      <c r="BI108" s="27" t="n"/>
      <c r="BJ108" s="27" t="n"/>
      <c r="BK108" s="23" t="n"/>
      <c r="BL108" s="27" t="n">
        <v>0.1</v>
      </c>
      <c r="BM108" s="26" t="inlineStr">
        <is>
          <t>Very Low</t>
        </is>
      </c>
      <c r="BN108" s="23" t="n"/>
      <c r="BO108" s="23" t="inlineStr">
        <is>
          <t>90%PublicBank1-MonthFixedDepositRate(FDR)and10%PublicBankSavings Rate - ACE Account.</t>
        </is>
      </c>
      <c r="BP108" s="29" t="n">
        <v>1.0033</v>
      </c>
      <c r="BQ108" s="26" t="inlineStr">
        <is>
          <t>2018-10-31</t>
        </is>
      </c>
      <c r="BR108" s="29" t="n">
        <v>1.0005</v>
      </c>
      <c r="BS108" s="28" t="n">
        <v>-0.28</v>
      </c>
      <c r="BT108" s="24" t="n">
        <v>2714</v>
      </c>
    </row>
    <row r="109" ht="16" customHeight="1">
      <c r="A109" s="34" t="inlineStr">
        <is>
          <t>PUBLIC MONEY MARKET FUND -CLASS A</t>
        </is>
      </c>
      <c r="B109" s="34" t="inlineStr">
        <is>
          <t>PMMF-A</t>
        </is>
      </c>
      <c r="C109" s="34" t="inlineStr">
        <is>
          <t>Conventional</t>
        </is>
      </c>
      <c r="D109" s="34" t="inlineStr">
        <is>
          <t>Money Market</t>
        </is>
      </c>
      <c r="E109" s="34" t="inlineStr">
        <is>
          <t>Malaysia</t>
        </is>
      </c>
      <c r="F109" s="31" t="inlineStr">
        <is>
          <t>Income</t>
        </is>
      </c>
      <c r="G109" s="32" t="n">
        <v>1</v>
      </c>
      <c r="H109" s="31" t="inlineStr">
        <is>
          <t>Annual</t>
        </is>
      </c>
      <c r="I109" s="33" t="n">
        <v>483.89</v>
      </c>
      <c r="J109" s="34" t="inlineStr">
        <is>
          <t>16.12.2003</t>
        </is>
      </c>
      <c r="K109" s="34" t="inlineStr">
        <is>
          <t>Qualified</t>
        </is>
      </c>
      <c r="L109" s="35" t="n">
        <v>100</v>
      </c>
      <c r="M109" s="34" t="inlineStr">
        <is>
          <t>5/5</t>
        </is>
      </c>
      <c r="N109" s="36" t="n">
        <v>0.51</v>
      </c>
      <c r="O109" s="36" t="n">
        <v>0.26</v>
      </c>
      <c r="P109" s="36" t="n">
        <v>0.25</v>
      </c>
      <c r="Q109" s="36" t="n">
        <v>3.38</v>
      </c>
      <c r="R109" s="36" t="n">
        <v>1.78</v>
      </c>
      <c r="S109" s="36" t="n">
        <v>1.6</v>
      </c>
      <c r="T109" s="36" t="n">
        <v>3.43</v>
      </c>
      <c r="U109" s="36" t="n">
        <v>2.06</v>
      </c>
      <c r="V109" s="36" t="n">
        <v>1.37</v>
      </c>
      <c r="W109" s="36" t="n">
        <v>2.84</v>
      </c>
      <c r="X109" s="36" t="n">
        <v>1.9</v>
      </c>
      <c r="Y109" s="36" t="n">
        <v>0.9399999999999999</v>
      </c>
      <c r="Z109" s="36" t="n">
        <v>2.96</v>
      </c>
      <c r="AA109" s="36" t="n">
        <v>2.3</v>
      </c>
      <c r="AB109" s="36" t="n">
        <v>0.66</v>
      </c>
      <c r="AC109" s="36">
        <f>IF(OR(P109="",BL109="",BL109=0),"",P109/BL109)</f>
        <v/>
      </c>
      <c r="AD109" s="36">
        <f>IF(OR(S109="",BL109="",BL109=0),"",S109/BL109)</f>
        <v/>
      </c>
      <c r="AE109" s="36">
        <f>IF(OR(V109="",BL109="",BL109=0),"",V109/BL109)</f>
        <v/>
      </c>
      <c r="AF109" s="36">
        <f>IF(OR(Y109="",BL109="",BL109=0),"",Y109/BL109)</f>
        <v/>
      </c>
      <c r="AG109" s="36">
        <f>IF(OR(AB109="",BL109="",BL109=0),"",AB109/BL109)</f>
        <v/>
      </c>
      <c r="AH109" s="35" t="n"/>
      <c r="AI109" s="35" t="n"/>
      <c r="AJ109" s="35" t="n"/>
      <c r="AK109" s="35" t="n">
        <v>100</v>
      </c>
      <c r="AL109" s="35" t="n"/>
      <c r="AM109" s="35" t="n"/>
      <c r="AN109" s="35" t="n"/>
      <c r="AO109" s="35" t="n"/>
      <c r="AP109" s="35" t="n"/>
      <c r="AQ109" s="35" t="n"/>
      <c r="AR109" s="35" t="n"/>
      <c r="AS109" s="35" t="n"/>
      <c r="AT109" s="35" t="n"/>
      <c r="AU109" s="35" t="n"/>
      <c r="AV109" s="35" t="n"/>
      <c r="AW109" s="35" t="n"/>
      <c r="AX109" s="35" t="n"/>
      <c r="AY109" s="35" t="n"/>
      <c r="AZ109" s="35" t="n"/>
      <c r="BA109" s="35" t="n"/>
      <c r="BB109" s="35" t="n"/>
      <c r="BC109" s="35" t="n"/>
      <c r="BD109" s="35" t="n"/>
      <c r="BE109" s="35" t="n"/>
      <c r="BF109" s="35" t="n"/>
      <c r="BG109" s="35" t="n"/>
      <c r="BH109" s="35" t="n"/>
      <c r="BI109" s="35" t="n"/>
      <c r="BJ109" s="35" t="n"/>
      <c r="BK109" s="31" t="n"/>
      <c r="BL109" s="35" t="n">
        <v>0.1</v>
      </c>
      <c r="BM109" s="34" t="inlineStr">
        <is>
          <t>Very Low</t>
        </is>
      </c>
      <c r="BN109" s="31" t="n"/>
      <c r="BO109" s="31" t="inlineStr">
        <is>
          <t>3-Month Kuala Lumpur Interbank Offered Rate (KLIBOR) (prior to 30 April 2010). 1-MonthKualaLumpurInterbankOfferedRate(KLIBOR)(30April2010to29April 2013). 90%PublicBank1-MonthFixedDepositRate(FDR)and10%PublicBankSavings Rate - ACE Account (w.e.f. 30 April 2013).</t>
        </is>
      </c>
      <c r="BP109" s="37" t="n">
        <v>1.039</v>
      </c>
      <c r="BQ109" s="34" t="inlineStr">
        <is>
          <t>2020-01-31</t>
        </is>
      </c>
      <c r="BR109" s="37" t="n">
        <v>0.9899</v>
      </c>
      <c r="BS109" s="36" t="n">
        <v>-4.73</v>
      </c>
      <c r="BT109" s="32" t="n">
        <v>2257</v>
      </c>
    </row>
    <row r="110" ht="16" customHeight="1">
      <c r="A110" s="26" t="inlineStr">
        <is>
          <t>PUBLIC e-ENHANCED MONEY MARKET FUND -CLASS A</t>
        </is>
      </c>
      <c r="B110" s="26" t="inlineStr">
        <is>
          <t>PeEMMF-A</t>
        </is>
      </c>
      <c r="C110" s="26" t="inlineStr">
        <is>
          <t>Conventional</t>
        </is>
      </c>
      <c r="D110" s="26" t="inlineStr">
        <is>
          <t>Money Market</t>
        </is>
      </c>
      <c r="E110" s="26" t="inlineStr">
        <is>
          <t>Malaysia</t>
        </is>
      </c>
      <c r="F110" s="23" t="inlineStr">
        <is>
          <t>Income</t>
        </is>
      </c>
      <c r="G110" s="24" t="n">
        <v>1</v>
      </c>
      <c r="H110" s="23" t="inlineStr">
        <is>
          <t>Annual</t>
        </is>
      </c>
      <c r="I110" s="25" t="n">
        <v>106.63</v>
      </c>
      <c r="J110" s="26" t="inlineStr">
        <is>
          <t>29.05.2019</t>
        </is>
      </c>
      <c r="K110" s="26" t="inlineStr">
        <is>
          <t>Qualified</t>
        </is>
      </c>
      <c r="L110" s="27" t="n">
        <v>100</v>
      </c>
      <c r="M110" s="26" t="inlineStr">
        <is>
          <t>4/4</t>
        </is>
      </c>
      <c r="N110" s="28" t="n">
        <v>0.51</v>
      </c>
      <c r="O110" s="28" t="n">
        <v>0.26</v>
      </c>
      <c r="P110" s="28" t="n">
        <v>0.25</v>
      </c>
      <c r="Q110" s="28" t="n">
        <v>3.3</v>
      </c>
      <c r="R110" s="28" t="n">
        <v>1.78</v>
      </c>
      <c r="S110" s="28" t="n">
        <v>1.52</v>
      </c>
      <c r="T110" s="28" t="n">
        <v>3.43</v>
      </c>
      <c r="U110" s="28" t="n">
        <v>2.06</v>
      </c>
      <c r="V110" s="28" t="n">
        <v>1.37</v>
      </c>
      <c r="W110" s="28" t="n">
        <v>2.92</v>
      </c>
      <c r="X110" s="28" t="n">
        <v>1.9</v>
      </c>
      <c r="Y110" s="28" t="n">
        <v>1.02</v>
      </c>
      <c r="Z110" s="28" t="n"/>
      <c r="AA110" s="28" t="n"/>
      <c r="AB110" s="28" t="n"/>
      <c r="AC110" s="28">
        <f>IF(OR(P110="",BL110="",BL110=0),"",P110/BL110)</f>
        <v/>
      </c>
      <c r="AD110" s="28">
        <f>IF(OR(S110="",BL110="",BL110=0),"",S110/BL110)</f>
        <v/>
      </c>
      <c r="AE110" s="28">
        <f>IF(OR(V110="",BL110="",BL110=0),"",V110/BL110)</f>
        <v/>
      </c>
      <c r="AF110" s="28">
        <f>IF(OR(Y110="",BL110="",BL110=0),"",Y110/BL110)</f>
        <v/>
      </c>
      <c r="AG110" s="28">
        <f>IF(OR(AB110="",BL110="",BL110=0),"",AB110/BL110)</f>
        <v/>
      </c>
      <c r="AH110" s="27" t="n"/>
      <c r="AI110" s="27" t="n"/>
      <c r="AJ110" s="27" t="n">
        <v>4.6</v>
      </c>
      <c r="AK110" s="27" t="n">
        <v>95.40000000000001</v>
      </c>
      <c r="AL110" s="27" t="n"/>
      <c r="AM110" s="27" t="n"/>
      <c r="AN110" s="27" t="n"/>
      <c r="AO110" s="27" t="n"/>
      <c r="AP110" s="27" t="n"/>
      <c r="AQ110" s="27" t="n"/>
      <c r="AR110" s="27" t="n"/>
      <c r="AS110" s="27" t="n"/>
      <c r="AT110" s="27" t="n"/>
      <c r="AU110" s="27" t="n"/>
      <c r="AV110" s="27" t="n"/>
      <c r="AW110" s="27" t="n"/>
      <c r="AX110" s="27" t="n"/>
      <c r="AY110" s="27" t="n"/>
      <c r="AZ110" s="27" t="n"/>
      <c r="BA110" s="27" t="n"/>
      <c r="BB110" s="27" t="n"/>
      <c r="BC110" s="27" t="n"/>
      <c r="BD110" s="27" t="n"/>
      <c r="BE110" s="27" t="n"/>
      <c r="BF110" s="27" t="n"/>
      <c r="BG110" s="27" t="n"/>
      <c r="BH110" s="27" t="n"/>
      <c r="BI110" s="27" t="n"/>
      <c r="BJ110" s="27" t="n"/>
      <c r="BK110" s="23" t="n"/>
      <c r="BL110" s="27" t="n">
        <v>0.1</v>
      </c>
      <c r="BM110" s="26" t="inlineStr">
        <is>
          <t>Very Low</t>
        </is>
      </c>
      <c r="BN110" s="23" t="n"/>
      <c r="BO110" s="23" t="inlineStr">
        <is>
          <t>90%PublicBank1-MonthFixedDepositRate(FDR)and10%PublicBankSavings Rate - ACE Account.</t>
        </is>
      </c>
      <c r="BP110" s="29" t="n">
        <v>1.049</v>
      </c>
      <c r="BQ110" s="26" t="inlineStr">
        <is>
          <t>2024-11-29</t>
        </is>
      </c>
      <c r="BR110" s="29" t="n">
        <v>1.0134</v>
      </c>
      <c r="BS110" s="28" t="n">
        <v>-3.39</v>
      </c>
      <c r="BT110" s="24" t="n">
        <v>493</v>
      </c>
    </row>
    <row r="111" ht="16" customHeight="1">
      <c r="A111" s="34" t="inlineStr">
        <is>
          <t>PB CASH MANAGEMENT FUND -CLASS A</t>
        </is>
      </c>
      <c r="B111" s="34" t="inlineStr">
        <is>
          <t>PBCMF-A</t>
        </is>
      </c>
      <c r="C111" s="34" t="inlineStr">
        <is>
          <t>Conventional</t>
        </is>
      </c>
      <c r="D111" s="34" t="inlineStr">
        <is>
          <t>Money Market</t>
        </is>
      </c>
      <c r="E111" s="34" t="inlineStr">
        <is>
          <t>Malaysia</t>
        </is>
      </c>
      <c r="F111" s="31" t="inlineStr">
        <is>
          <t>Income</t>
        </is>
      </c>
      <c r="G111" s="32" t="n">
        <v>1</v>
      </c>
      <c r="H111" s="31" t="inlineStr">
        <is>
          <t>Annual</t>
        </is>
      </c>
      <c r="I111" s="33" t="n">
        <v>510.49</v>
      </c>
      <c r="J111" s="34" t="inlineStr">
        <is>
          <t>08.01.2007</t>
        </is>
      </c>
      <c r="K111" s="34" t="inlineStr">
        <is>
          <t>Qualified</t>
        </is>
      </c>
      <c r="L111" s="35" t="n">
        <v>100</v>
      </c>
      <c r="M111" s="34" t="inlineStr">
        <is>
          <t>5/5</t>
        </is>
      </c>
      <c r="N111" s="36" t="n">
        <v>0.5</v>
      </c>
      <c r="O111" s="36" t="n">
        <v>0.26</v>
      </c>
      <c r="P111" s="36" t="n">
        <v>0.24</v>
      </c>
      <c r="Q111" s="36" t="n">
        <v>3.33</v>
      </c>
      <c r="R111" s="36" t="n">
        <v>1.78</v>
      </c>
      <c r="S111" s="36" t="n">
        <v>1.55</v>
      </c>
      <c r="T111" s="36" t="n">
        <v>3.42</v>
      </c>
      <c r="U111" s="36" t="n">
        <v>2.06</v>
      </c>
      <c r="V111" s="36" t="n">
        <v>1.36</v>
      </c>
      <c r="W111" s="36" t="n">
        <v>2.84</v>
      </c>
      <c r="X111" s="36" t="n">
        <v>1.9</v>
      </c>
      <c r="Y111" s="36" t="n">
        <v>0.9399999999999999</v>
      </c>
      <c r="Z111" s="36" t="n">
        <v>2.97</v>
      </c>
      <c r="AA111" s="36" t="n">
        <v>2.3</v>
      </c>
      <c r="AB111" s="36" t="n">
        <v>0.67</v>
      </c>
      <c r="AC111" s="36">
        <f>IF(OR(P111="",BL111="",BL111=0),"",P111/BL111)</f>
        <v/>
      </c>
      <c r="AD111" s="36">
        <f>IF(OR(S111="",BL111="",BL111=0),"",S111/BL111)</f>
        <v/>
      </c>
      <c r="AE111" s="36">
        <f>IF(OR(V111="",BL111="",BL111=0),"",V111/BL111)</f>
        <v/>
      </c>
      <c r="AF111" s="36">
        <f>IF(OR(Y111="",BL111="",BL111=0),"",Y111/BL111)</f>
        <v/>
      </c>
      <c r="AG111" s="36">
        <f>IF(OR(AB111="",BL111="",BL111=0),"",AB111/BL111)</f>
        <v/>
      </c>
      <c r="AH111" s="35" t="n"/>
      <c r="AI111" s="35" t="n"/>
      <c r="AJ111" s="35" t="n"/>
      <c r="AK111" s="35" t="n">
        <v>100</v>
      </c>
      <c r="AL111" s="35" t="n"/>
      <c r="AM111" s="35" t="n"/>
      <c r="AN111" s="35" t="n"/>
      <c r="AO111" s="35" t="n"/>
      <c r="AP111" s="35" t="n"/>
      <c r="AQ111" s="35" t="n"/>
      <c r="AR111" s="35" t="n"/>
      <c r="AS111" s="35" t="n"/>
      <c r="AT111" s="35" t="n"/>
      <c r="AU111" s="35" t="n"/>
      <c r="AV111" s="35" t="n"/>
      <c r="AW111" s="35" t="n"/>
      <c r="AX111" s="35" t="n"/>
      <c r="AY111" s="35" t="n"/>
      <c r="AZ111" s="35" t="n"/>
      <c r="BA111" s="35" t="n"/>
      <c r="BB111" s="35" t="n"/>
      <c r="BC111" s="35" t="n"/>
      <c r="BD111" s="35" t="n"/>
      <c r="BE111" s="35" t="n"/>
      <c r="BF111" s="35" t="n"/>
      <c r="BG111" s="35" t="n"/>
      <c r="BH111" s="35" t="n"/>
      <c r="BI111" s="35" t="n"/>
      <c r="BJ111" s="35" t="n"/>
      <c r="BK111" s="31" t="n"/>
      <c r="BL111" s="35" t="n">
        <v>0.1</v>
      </c>
      <c r="BM111" s="34" t="inlineStr">
        <is>
          <t>Very Low</t>
        </is>
      </c>
      <c r="BN111" s="31" t="n"/>
      <c r="BO111" s="31" t="inlineStr">
        <is>
          <t>1-Month Kuala Lumpur Interbank Offered Rate (KLIBOR) (prior to 30 April 2013). 90% Public Bank 1-Month Fixed Deposit Rate and 10% Public Bank Savings Rate - ACE Account (w.e.f. 30 April 2013). Underlyingindexdataare sourcedfrom Bank Negara Malaysia and Public Bank Berhad.</t>
        </is>
      </c>
      <c r="BP111" s="37" t="n">
        <v>1.046</v>
      </c>
      <c r="BQ111" s="34" t="inlineStr">
        <is>
          <t>2016-06-30</t>
        </is>
      </c>
      <c r="BR111" s="37" t="n">
        <v>1.0218</v>
      </c>
      <c r="BS111" s="36" t="n">
        <v>-2.31</v>
      </c>
      <c r="BT111" s="32" t="n">
        <v>3567</v>
      </c>
    </row>
    <row r="112" ht="16" customHeight="1">
      <c r="A112" s="22" t="inlineStr">
        <is>
          <t>PUBLIC ISLAMIC MONEYMARKET FUND -CLASS A</t>
        </is>
      </c>
      <c r="B112" s="22" t="inlineStr">
        <is>
          <t>PIMMF-A</t>
        </is>
      </c>
      <c r="C112" s="22" t="inlineStr">
        <is>
          <t>Shariah</t>
        </is>
      </c>
      <c r="D112" s="22" t="inlineStr">
        <is>
          <t>Money Market</t>
        </is>
      </c>
      <c r="E112" s="22" t="inlineStr">
        <is>
          <t>Malaysia</t>
        </is>
      </c>
      <c r="F112" s="23" t="inlineStr">
        <is>
          <t>Income</t>
        </is>
      </c>
      <c r="G112" s="24" t="n">
        <v>1</v>
      </c>
      <c r="H112" s="23" t="inlineStr">
        <is>
          <t>Annual</t>
        </is>
      </c>
      <c r="I112" s="25" t="n">
        <v>218.53</v>
      </c>
      <c r="J112" s="26" t="inlineStr">
        <is>
          <t>05.06.2007</t>
        </is>
      </c>
      <c r="K112" s="26" t="inlineStr">
        <is>
          <t>Qualified</t>
        </is>
      </c>
      <c r="L112" s="27" t="n">
        <v>100</v>
      </c>
      <c r="M112" s="26" t="inlineStr">
        <is>
          <t>5/5</t>
        </is>
      </c>
      <c r="N112" s="28" t="n">
        <v>0.48</v>
      </c>
      <c r="O112" s="28" t="n">
        <v>0.25</v>
      </c>
      <c r="P112" s="28" t="n">
        <v>0.23</v>
      </c>
      <c r="Q112" s="28" t="n">
        <v>3.18</v>
      </c>
      <c r="R112" s="28" t="n">
        <v>1.72</v>
      </c>
      <c r="S112" s="28" t="n">
        <v>1.46</v>
      </c>
      <c r="T112" s="28" t="n">
        <v>3.3</v>
      </c>
      <c r="U112" s="28" t="n">
        <v>2.04</v>
      </c>
      <c r="V112" s="28" t="n">
        <v>1.26</v>
      </c>
      <c r="W112" s="28" t="n">
        <v>2.75</v>
      </c>
      <c r="X112" s="28" t="n">
        <v>1.89</v>
      </c>
      <c r="Y112" s="28" t="n">
        <v>0.86</v>
      </c>
      <c r="Z112" s="28" t="n">
        <v>2.89</v>
      </c>
      <c r="AA112" s="28" t="n">
        <v>2.26</v>
      </c>
      <c r="AB112" s="28" t="n">
        <v>0.63</v>
      </c>
      <c r="AC112" s="28">
        <f>IF(OR(P112="",BL112="",BL112=0),"",P112/BL112)</f>
        <v/>
      </c>
      <c r="AD112" s="28">
        <f>IF(OR(S112="",BL112="",BL112=0),"",S112/BL112)</f>
        <v/>
      </c>
      <c r="AE112" s="28">
        <f>IF(OR(V112="",BL112="",BL112=0),"",V112/BL112)</f>
        <v/>
      </c>
      <c r="AF112" s="28">
        <f>IF(OR(Y112="",BL112="",BL112=0),"",Y112/BL112)</f>
        <v/>
      </c>
      <c r="AG112" s="28">
        <f>IF(OR(AB112="",BL112="",BL112=0),"",AB112/BL112)</f>
        <v/>
      </c>
      <c r="AH112" s="27" t="n"/>
      <c r="AI112" s="27" t="n"/>
      <c r="AJ112" s="27" t="n"/>
      <c r="AK112" s="27" t="n">
        <v>100</v>
      </c>
      <c r="AL112" s="27" t="n"/>
      <c r="AM112" s="27" t="n"/>
      <c r="AN112" s="27" t="n"/>
      <c r="AO112" s="27" t="n"/>
      <c r="AP112" s="27" t="n"/>
      <c r="AQ112" s="27" t="n"/>
      <c r="AR112" s="27" t="n"/>
      <c r="AS112" s="27" t="n"/>
      <c r="AT112" s="27" t="n"/>
      <c r="AU112" s="27" t="n"/>
      <c r="AV112" s="27" t="n"/>
      <c r="AW112" s="27" t="n"/>
      <c r="AX112" s="27" t="n"/>
      <c r="AY112" s="27" t="n"/>
      <c r="AZ112" s="27" t="n"/>
      <c r="BA112" s="27" t="n"/>
      <c r="BB112" s="27" t="n"/>
      <c r="BC112" s="27" t="n"/>
      <c r="BD112" s="27" t="n"/>
      <c r="BE112" s="27" t="n"/>
      <c r="BF112" s="27" t="n"/>
      <c r="BG112" s="27" t="n"/>
      <c r="BH112" s="27" t="n"/>
      <c r="BI112" s="27" t="n"/>
      <c r="BJ112" s="27" t="n"/>
      <c r="BK112" s="23" t="n"/>
      <c r="BL112" s="27" t="n">
        <v>0.1</v>
      </c>
      <c r="BM112" s="26" t="inlineStr">
        <is>
          <t>Very Low</t>
        </is>
      </c>
      <c r="BN112" s="23" t="n"/>
      <c r="BO112" s="23"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P112" s="29" t="n">
        <v>1.0544</v>
      </c>
      <c r="BQ112" s="26" t="inlineStr">
        <is>
          <t>2016-06-30</t>
        </is>
      </c>
      <c r="BR112" s="29" t="n">
        <v>1.0293</v>
      </c>
      <c r="BS112" s="28" t="n">
        <v>-2.38</v>
      </c>
      <c r="BT112" s="24" t="n">
        <v>3567</v>
      </c>
    </row>
    <row r="113" ht="16" customHeight="1">
      <c r="A113" s="30" t="inlineStr">
        <is>
          <t>PUBLIC e-ISLAMIC CASH DEPOSIT FUND -CLASS A</t>
        </is>
      </c>
      <c r="B113" s="30" t="inlineStr">
        <is>
          <t>PeICDF-A</t>
        </is>
      </c>
      <c r="C113" s="30" t="inlineStr">
        <is>
          <t>Shariah</t>
        </is>
      </c>
      <c r="D113" s="30" t="inlineStr">
        <is>
          <t>Money Market</t>
        </is>
      </c>
      <c r="E113" s="30" t="inlineStr">
        <is>
          <t>Malaysia</t>
        </is>
      </c>
      <c r="F113" s="31" t="inlineStr">
        <is>
          <t>Income</t>
        </is>
      </c>
      <c r="G113" s="32" t="n">
        <v>1</v>
      </c>
      <c r="H113" s="31" t="inlineStr">
        <is>
          <t>Monthly</t>
        </is>
      </c>
      <c r="I113" s="33" t="n">
        <v>162</v>
      </c>
      <c r="J113" s="34" t="inlineStr">
        <is>
          <t>25.08.2014</t>
        </is>
      </c>
      <c r="K113" s="34" t="inlineStr">
        <is>
          <t>Qualified</t>
        </is>
      </c>
      <c r="L113" s="35" t="n">
        <v>100</v>
      </c>
      <c r="M113" s="34" t="inlineStr">
        <is>
          <t>5/5</t>
        </is>
      </c>
      <c r="N113" s="36" t="n">
        <v>0.49</v>
      </c>
      <c r="O113" s="36" t="n">
        <v>0.25</v>
      </c>
      <c r="P113" s="36" t="n">
        <v>0.24</v>
      </c>
      <c r="Q113" s="36" t="n">
        <v>3.17</v>
      </c>
      <c r="R113" s="36" t="n">
        <v>1.72</v>
      </c>
      <c r="S113" s="36" t="n">
        <v>1.45</v>
      </c>
      <c r="T113" s="36" t="n">
        <v>3.25</v>
      </c>
      <c r="U113" s="36" t="n">
        <v>2.04</v>
      </c>
      <c r="V113" s="36" t="n">
        <v>1.21</v>
      </c>
      <c r="W113" s="36" t="n">
        <v>2.7</v>
      </c>
      <c r="X113" s="36" t="n">
        <v>1.89</v>
      </c>
      <c r="Y113" s="36" t="n">
        <v>0.8100000000000001</v>
      </c>
      <c r="Z113" s="36" t="n">
        <v>2.87</v>
      </c>
      <c r="AA113" s="36" t="n">
        <v>2.26</v>
      </c>
      <c r="AB113" s="36" t="n">
        <v>0.61</v>
      </c>
      <c r="AC113" s="36">
        <f>IF(OR(P113="",BL113="",BL113=0),"",P113/BL113)</f>
        <v/>
      </c>
      <c r="AD113" s="36">
        <f>IF(OR(S113="",BL113="",BL113=0),"",S113/BL113)</f>
        <v/>
      </c>
      <c r="AE113" s="36">
        <f>IF(OR(V113="",BL113="",BL113=0),"",V113/BL113)</f>
        <v/>
      </c>
      <c r="AF113" s="36">
        <f>IF(OR(Y113="",BL113="",BL113=0),"",Y113/BL113)</f>
        <v/>
      </c>
      <c r="AG113" s="36">
        <f>IF(OR(AB113="",BL113="",BL113=0),"",AB113/BL113)</f>
        <v/>
      </c>
      <c r="AH113" s="35" t="n"/>
      <c r="AI113" s="35" t="n"/>
      <c r="AJ113" s="35" t="n"/>
      <c r="AK113" s="35" t="n"/>
      <c r="AL113" s="35" t="n">
        <v>100</v>
      </c>
      <c r="AM113" s="35" t="n"/>
      <c r="AN113" s="35" t="n"/>
      <c r="AO113" s="35" t="n"/>
      <c r="AP113" s="35" t="n"/>
      <c r="AQ113" s="35" t="n"/>
      <c r="AR113" s="35" t="n"/>
      <c r="AS113" s="35" t="n"/>
      <c r="AT113" s="35" t="n"/>
      <c r="AU113" s="35" t="n"/>
      <c r="AV113" s="35" t="n"/>
      <c r="AW113" s="35" t="n"/>
      <c r="AX113" s="35" t="n"/>
      <c r="AY113" s="35" t="n"/>
      <c r="AZ113" s="35" t="n"/>
      <c r="BA113" s="35" t="n"/>
      <c r="BB113" s="35" t="n"/>
      <c r="BC113" s="35" t="n"/>
      <c r="BD113" s="35" t="n"/>
      <c r="BE113" s="35" t="n"/>
      <c r="BF113" s="35" t="n"/>
      <c r="BG113" s="35" t="n"/>
      <c r="BH113" s="35" t="n"/>
      <c r="BI113" s="35" t="n"/>
      <c r="BJ113" s="35" t="n"/>
      <c r="BK113" s="31" t="n"/>
      <c r="BL113" s="35" t="n">
        <v>0.1</v>
      </c>
      <c r="BM113" s="34" t="inlineStr">
        <is>
          <t>Very Low</t>
        </is>
      </c>
      <c r="BN113" s="31" t="n"/>
      <c r="BO113" s="31" t="inlineStr">
        <is>
          <t>90%PublicIslamicBank1-MonthMudharabahGeneralInvestmentAccount-i(prior to30April2015),90%PublicIslamicBank1-MonthTermDeposit-i(w.e.f.30April 2015) and 10% Public Islamic Bank Savings Account-i.</t>
        </is>
      </c>
      <c r="BP113" s="37" t="n">
        <v>1.0033</v>
      </c>
      <c r="BQ113" s="34" t="inlineStr">
        <is>
          <t>2018-07-31</t>
        </is>
      </c>
      <c r="BR113" s="37" t="n">
        <v>1.0004</v>
      </c>
      <c r="BS113" s="36" t="n">
        <v>-0.29</v>
      </c>
      <c r="BT113" s="32" t="n">
        <v>2806</v>
      </c>
    </row>
    <row r="114" ht="16" customHeight="1">
      <c r="A114" s="26" t="inlineStr">
        <is>
          <t>PB ISLAMIC CASH MANAGEMENT FUND -CLASS A</t>
        </is>
      </c>
      <c r="B114" s="26" t="inlineStr">
        <is>
          <t>PBICMF-A</t>
        </is>
      </c>
      <c r="C114" s="26" t="inlineStr">
        <is>
          <t>Conventional</t>
        </is>
      </c>
      <c r="D114" s="26" t="inlineStr">
        <is>
          <t>Money Market</t>
        </is>
      </c>
      <c r="E114" s="26" t="inlineStr">
        <is>
          <t>Malaysia</t>
        </is>
      </c>
      <c r="F114" s="23" t="inlineStr">
        <is>
          <t>Income</t>
        </is>
      </c>
      <c r="G114" s="24" t="n">
        <v>1</v>
      </c>
      <c r="H114" s="23" t="inlineStr">
        <is>
          <t>Annual</t>
        </is>
      </c>
      <c r="I114" s="25" t="n">
        <v>17.47</v>
      </c>
      <c r="J114" s="26" t="inlineStr">
        <is>
          <t>08.05.2007</t>
        </is>
      </c>
      <c r="K114" s="26" t="inlineStr">
        <is>
          <t>Qualified</t>
        </is>
      </c>
      <c r="L114" s="27" t="n">
        <v>100</v>
      </c>
      <c r="M114" s="26" t="inlineStr">
        <is>
          <t>5/5</t>
        </is>
      </c>
      <c r="N114" s="28" t="n">
        <v>0.42</v>
      </c>
      <c r="O114" s="28" t="n">
        <v>0.25</v>
      </c>
      <c r="P114" s="28" t="n">
        <v>0.17</v>
      </c>
      <c r="Q114" s="28" t="n">
        <v>2.78</v>
      </c>
      <c r="R114" s="28" t="n">
        <v>1.72</v>
      </c>
      <c r="S114" s="28" t="n">
        <v>1.06</v>
      </c>
      <c r="T114" s="28" t="n">
        <v>2.98</v>
      </c>
      <c r="U114" s="28" t="n">
        <v>2.04</v>
      </c>
      <c r="V114" s="28" t="n">
        <v>0.9399999999999999</v>
      </c>
      <c r="W114" s="28" t="n">
        <v>2.53</v>
      </c>
      <c r="X114" s="28" t="n">
        <v>1.89</v>
      </c>
      <c r="Y114" s="28" t="n">
        <v>0.64</v>
      </c>
      <c r="Z114" s="28" t="n">
        <v>2.73</v>
      </c>
      <c r="AA114" s="28" t="n">
        <v>2.26</v>
      </c>
      <c r="AB114" s="28" t="n">
        <v>0.47</v>
      </c>
      <c r="AC114" s="28">
        <f>IF(OR(P114="",BL114="",BL114=0),"",P114/BL114)</f>
        <v/>
      </c>
      <c r="AD114" s="28">
        <f>IF(OR(S114="",BL114="",BL114=0),"",S114/BL114)</f>
        <v/>
      </c>
      <c r="AE114" s="28">
        <f>IF(OR(V114="",BL114="",BL114=0),"",V114/BL114)</f>
        <v/>
      </c>
      <c r="AF114" s="28">
        <f>IF(OR(Y114="",BL114="",BL114=0),"",Y114/BL114)</f>
        <v/>
      </c>
      <c r="AG114" s="28">
        <f>IF(OR(AB114="",BL114="",BL114=0),"",AB114/BL114)</f>
        <v/>
      </c>
      <c r="AH114" s="27" t="n"/>
      <c r="AI114" s="27" t="n"/>
      <c r="AJ114" s="27" t="n"/>
      <c r="AK114" s="27" t="n">
        <v>100</v>
      </c>
      <c r="AL114" s="27" t="n"/>
      <c r="AM114" s="27" t="n"/>
      <c r="AN114" s="27" t="n"/>
      <c r="AO114" s="27" t="n"/>
      <c r="AP114" s="27" t="n"/>
      <c r="AQ114" s="27" t="n"/>
      <c r="AR114" s="27" t="n"/>
      <c r="AS114" s="27" t="n"/>
      <c r="AT114" s="27" t="n"/>
      <c r="AU114" s="27" t="n"/>
      <c r="AV114" s="27" t="n"/>
      <c r="AW114" s="27" t="n"/>
      <c r="AX114" s="27" t="n"/>
      <c r="AY114" s="27" t="n"/>
      <c r="AZ114" s="27" t="n"/>
      <c r="BA114" s="27" t="n"/>
      <c r="BB114" s="27" t="n"/>
      <c r="BC114" s="27" t="n"/>
      <c r="BD114" s="27" t="n"/>
      <c r="BE114" s="27" t="n"/>
      <c r="BF114" s="27" t="n"/>
      <c r="BG114" s="27" t="n"/>
      <c r="BH114" s="27" t="n"/>
      <c r="BI114" s="27" t="n"/>
      <c r="BJ114" s="27" t="n"/>
      <c r="BK114" s="23" t="n"/>
      <c r="BL114" s="27" t="n">
        <v>0.1</v>
      </c>
      <c r="BM114" s="26" t="inlineStr">
        <is>
          <t>Very Low</t>
        </is>
      </c>
      <c r="BN114" s="23" t="n"/>
      <c r="BO114" s="23"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P114" s="29" t="n">
        <v>1.0402</v>
      </c>
      <c r="BQ114" s="26" t="inlineStr">
        <is>
          <t>2016-06-29</t>
        </is>
      </c>
      <c r="BR114" s="29" t="n">
        <v>1.0155</v>
      </c>
      <c r="BS114" s="28" t="n">
        <v>-2.37</v>
      </c>
      <c r="BT114" s="24" t="n">
        <v>3568</v>
      </c>
    </row>
    <row r="115" ht="16" customHeight="1">
      <c r="A115" s="38" t="inlineStr">
        <is>
          <t>PUBLIC HEALTHCARE-GLOBAL EQUITY FUND</t>
        </is>
      </c>
      <c r="B115" s="38" t="inlineStr">
        <is>
          <t>PHGEF</t>
        </is>
      </c>
      <c r="C115" s="38" t="inlineStr">
        <is>
          <t>Conventional</t>
        </is>
      </c>
      <c r="D115" s="38" t="inlineStr">
        <is>
          <t>Equity</t>
        </is>
      </c>
      <c r="E115" s="38" t="inlineStr">
        <is>
          <t>Global</t>
        </is>
      </c>
      <c r="F115" s="39" t="inlineStr">
        <is>
          <t>Capital Growth</t>
        </is>
      </c>
      <c r="G115" s="40" t="n">
        <v>5</v>
      </c>
      <c r="H115" s="39" t="inlineStr">
        <is>
          <t>Incidental</t>
        </is>
      </c>
      <c r="I115" s="41" t="n">
        <v>435.8</v>
      </c>
      <c r="J115" s="38" t="inlineStr">
        <is>
          <t>20.10.2020</t>
        </is>
      </c>
      <c r="K115" s="38" t="inlineStr">
        <is>
          <t>Disqualified</t>
        </is>
      </c>
      <c r="L115" s="42" t="n">
        <v>50</v>
      </c>
      <c r="M115" s="38" t="inlineStr">
        <is>
          <t>2/4</t>
        </is>
      </c>
      <c r="N115" s="43" t="n">
        <v>-2.57</v>
      </c>
      <c r="O115" s="43" t="n">
        <v>1.65</v>
      </c>
      <c r="P115" s="43" t="n">
        <v>-4.22</v>
      </c>
      <c r="Q115" s="43" t="n">
        <v>7.68</v>
      </c>
      <c r="R115" s="43" t="n">
        <v>5.34</v>
      </c>
      <c r="S115" s="43" t="n">
        <v>2.34</v>
      </c>
      <c r="T115" s="43" t="n">
        <v>15.28</v>
      </c>
      <c r="U115" s="43" t="n">
        <v>8.65</v>
      </c>
      <c r="V115" s="43" t="n">
        <v>6.63</v>
      </c>
      <c r="W115" s="43" t="n">
        <v>5.4</v>
      </c>
      <c r="X115" s="43" t="n">
        <v>5.72</v>
      </c>
      <c r="Y115" s="43" t="n">
        <v>-0.32</v>
      </c>
      <c r="Z115" s="43" t="n"/>
      <c r="AA115" s="43" t="n"/>
      <c r="AB115" s="43" t="n"/>
      <c r="AC115" s="43">
        <f>IF(OR(P115="",BL115="",BL115=0),"",P115/BL115)</f>
        <v/>
      </c>
      <c r="AD115" s="43">
        <f>IF(OR(S115="",BL115="",BL115=0),"",S115/BL115)</f>
        <v/>
      </c>
      <c r="AE115" s="43">
        <f>IF(OR(V115="",BL115="",BL115=0),"",V115/BL115)</f>
        <v/>
      </c>
      <c r="AF115" s="43">
        <f>IF(OR(Y115="",BL115="",BL115=0),"",Y115/BL115)</f>
        <v/>
      </c>
      <c r="AG115" s="43">
        <f>IF(OR(AB115="",BL115="",BL115=0),"",AB115/BL115)</f>
        <v/>
      </c>
      <c r="AH115" s="42" t="n"/>
      <c r="AI115" s="42" t="n">
        <v>90.8</v>
      </c>
      <c r="AJ115" s="42" t="n"/>
      <c r="AK115" s="42" t="n">
        <v>9.199999999999999</v>
      </c>
      <c r="AL115" s="42" t="n"/>
      <c r="AM115" s="42" t="n"/>
      <c r="AN115" s="42" t="n">
        <v>68.3</v>
      </c>
      <c r="AO115" s="42" t="n">
        <v>12.7</v>
      </c>
      <c r="AP115" s="42" t="n">
        <v>2.9</v>
      </c>
      <c r="AQ115" s="42" t="n"/>
      <c r="AR115" s="42" t="n"/>
      <c r="AS115" s="42" t="n"/>
      <c r="AT115" s="42" t="n">
        <v>5.7</v>
      </c>
      <c r="AU115" s="42" t="n">
        <v>1.1</v>
      </c>
      <c r="AV115" s="42" t="n"/>
      <c r="AW115" s="42" t="n"/>
      <c r="AX115" s="42" t="n"/>
      <c r="AY115" s="42" t="n"/>
      <c r="AZ115" s="42" t="n"/>
      <c r="BA115" s="42" t="n">
        <v>19.1</v>
      </c>
      <c r="BB115" s="42" t="n"/>
      <c r="BC115" s="42" t="n">
        <v>21.8</v>
      </c>
      <c r="BD115" s="42" t="n">
        <v>8.1</v>
      </c>
      <c r="BE115" s="42" t="n">
        <v>4.1</v>
      </c>
      <c r="BF115" s="42" t="n"/>
      <c r="BG115" s="42" t="n"/>
      <c r="BH115" s="42" t="n"/>
      <c r="BI115" s="42" t="n"/>
      <c r="BJ115" s="42" t="n">
        <v>34.3</v>
      </c>
      <c r="BK115" s="39" t="inlineStr">
        <is>
          <t>Taiwan Semiconductor Manufacturing Company Limited | iShares U.S. Medical Devices ETF | iShares Global Healthcare ETF | State Street Health Care Select Sector SPDR ETF | Tesla Incorporated</t>
        </is>
      </c>
      <c r="BL115" s="42" t="n">
        <v>10.8</v>
      </c>
      <c r="BM115" s="38" t="inlineStr">
        <is>
          <t>High</t>
        </is>
      </c>
      <c r="BN115" s="39" t="inlineStr">
        <is>
          <t>Equity Global Global</t>
        </is>
      </c>
      <c r="BO115" s="39" t="n"/>
      <c r="BP115" s="44" t="n">
        <v>0.3575</v>
      </c>
      <c r="BQ115" s="38" t="inlineStr">
        <is>
          <t>2025-10-27</t>
        </is>
      </c>
      <c r="BR115" s="44" t="n">
        <v>0.3087</v>
      </c>
      <c r="BS115" s="43" t="n">
        <v>-13.65</v>
      </c>
      <c r="BT115" s="40" t="n">
        <v>161</v>
      </c>
    </row>
    <row r="116" ht="16" customHeight="1">
      <c r="A116" s="45" t="inlineStr">
        <is>
          <t>PB VIETNAM GLOBAL 40 FUND</t>
        </is>
      </c>
      <c r="B116" s="45" t="inlineStr">
        <is>
          <t>PBVG40F</t>
        </is>
      </c>
      <c r="C116" s="45" t="inlineStr">
        <is>
          <t>Conventional</t>
        </is>
      </c>
      <c r="D116" s="45" t="inlineStr">
        <is>
          <t>Equity</t>
        </is>
      </c>
      <c r="E116" s="45" t="inlineStr">
        <is>
          <t>Global</t>
        </is>
      </c>
      <c r="F116" s="46" t="inlineStr">
        <is>
          <t>Capital Growth</t>
        </is>
      </c>
      <c r="G116" s="47" t="n">
        <v>5</v>
      </c>
      <c r="H116" s="46" t="inlineStr">
        <is>
          <t>Incidental</t>
        </is>
      </c>
      <c r="I116" s="48" t="n">
        <v>68.45999999999999</v>
      </c>
      <c r="J116" s="45" t="inlineStr">
        <is>
          <t>18.09.2020</t>
        </is>
      </c>
      <c r="K116" s="45" t="inlineStr">
        <is>
          <t>Disqualified</t>
        </is>
      </c>
      <c r="L116" s="49" t="n">
        <v>50</v>
      </c>
      <c r="M116" s="45" t="inlineStr">
        <is>
          <t>2/4</t>
        </is>
      </c>
      <c r="N116" s="50" t="n">
        <v>1.02</v>
      </c>
      <c r="O116" s="50" t="n">
        <v>2.88</v>
      </c>
      <c r="P116" s="50" t="n">
        <v>-1.86</v>
      </c>
      <c r="Q116" s="50" t="n">
        <v>17.73</v>
      </c>
      <c r="R116" s="50" t="n">
        <v>16.71</v>
      </c>
      <c r="S116" s="50" t="n">
        <v>1.02</v>
      </c>
      <c r="T116" s="50" t="n">
        <v>17.44</v>
      </c>
      <c r="U116" s="50" t="n">
        <v>14.28</v>
      </c>
      <c r="V116" s="50" t="n">
        <v>3.16</v>
      </c>
      <c r="W116" s="50" t="n">
        <v>5.7</v>
      </c>
      <c r="X116" s="50" t="n">
        <v>6.8</v>
      </c>
      <c r="Y116" s="50" t="n">
        <v>-1.1</v>
      </c>
      <c r="Z116" s="50" t="n"/>
      <c r="AA116" s="50" t="n"/>
      <c r="AB116" s="50" t="n"/>
      <c r="AC116" s="50">
        <f>IF(OR(P116="",BL116="",BL116=0),"",P116/BL116)</f>
        <v/>
      </c>
      <c r="AD116" s="50">
        <f>IF(OR(S116="",BL116="",BL116=0),"",S116/BL116)</f>
        <v/>
      </c>
      <c r="AE116" s="50">
        <f>IF(OR(V116="",BL116="",BL116=0),"",V116/BL116)</f>
        <v/>
      </c>
      <c r="AF116" s="50">
        <f>IF(OR(Y116="",BL116="",BL116=0),"",Y116/BL116)</f>
        <v/>
      </c>
      <c r="AG116" s="50">
        <f>IF(OR(AB116="",BL116="",BL116=0),"",AB116/BL116)</f>
        <v/>
      </c>
      <c r="AH116" s="49" t="n"/>
      <c r="AI116" s="49" t="n">
        <v>85.2</v>
      </c>
      <c r="AJ116" s="49" t="n"/>
      <c r="AK116" s="49" t="n">
        <v>14.8</v>
      </c>
      <c r="AL116" s="49" t="n"/>
      <c r="AM116" s="49" t="n"/>
      <c r="AN116" s="49" t="n">
        <v>23.3</v>
      </c>
      <c r="AO116" s="49" t="n">
        <v>12.7</v>
      </c>
      <c r="AP116" s="49" t="n">
        <v>12.3</v>
      </c>
      <c r="AQ116" s="49" t="n"/>
      <c r="AR116" s="49" t="n"/>
      <c r="AS116" s="49" t="n"/>
      <c r="AT116" s="49" t="n">
        <v>9.9</v>
      </c>
      <c r="AU116" s="49" t="n"/>
      <c r="AV116" s="49" t="n"/>
      <c r="AW116" s="49" t="n"/>
      <c r="AX116" s="49" t="n"/>
      <c r="AY116" s="49" t="n">
        <v>22.9</v>
      </c>
      <c r="AZ116" s="49" t="n">
        <v>7.3</v>
      </c>
      <c r="BA116" s="49" t="n">
        <v>28.2</v>
      </c>
      <c r="BB116" s="49" t="n">
        <v>4.5</v>
      </c>
      <c r="BC116" s="49" t="n">
        <v>25</v>
      </c>
      <c r="BD116" s="49" t="n"/>
      <c r="BE116" s="49" t="n"/>
      <c r="BF116" s="49" t="n"/>
      <c r="BG116" s="49" t="n"/>
      <c r="BH116" s="49" t="n"/>
      <c r="BI116" s="49" t="n"/>
      <c r="BJ116" s="49" t="n">
        <v>14.9</v>
      </c>
      <c r="BK116" s="46" t="inlineStr">
        <is>
          <t>Taiwan Semiconductor Manufacturing Company Limited | Alibaba Group Holding Limited - W | Meta Platforms Incorporated | DCVFMVN30 ETF | DCVFMVN Diamond ETF</t>
        </is>
      </c>
      <c r="BL116" s="49" t="n">
        <v>14</v>
      </c>
      <c r="BM116" s="45" t="inlineStr">
        <is>
          <t>Very High</t>
        </is>
      </c>
      <c r="BN116" s="46" t="inlineStr">
        <is>
          <t>Equity Global Global</t>
        </is>
      </c>
      <c r="BO116" s="46"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P116" s="51" t="n">
        <v>0.356</v>
      </c>
      <c r="BQ116" s="45" t="inlineStr">
        <is>
          <t>2025-10-27</t>
        </is>
      </c>
      <c r="BR116" s="51" t="n">
        <v>0.3131</v>
      </c>
      <c r="BS116" s="50" t="n">
        <v>-12.05</v>
      </c>
      <c r="BT116" s="47" t="n">
        <v>161</v>
      </c>
    </row>
    <row r="117" ht="16" customHeight="1">
      <c r="A117" s="38" t="inlineStr">
        <is>
          <t>PUBLIC WORLDWIDE EQUITY FUND</t>
        </is>
      </c>
      <c r="B117" s="38" t="inlineStr">
        <is>
          <t>PWEF</t>
        </is>
      </c>
      <c r="C117" s="38" t="inlineStr">
        <is>
          <t>Conventional</t>
        </is>
      </c>
      <c r="D117" s="38" t="inlineStr">
        <is>
          <t>Equity</t>
        </is>
      </c>
      <c r="E117" s="38" t="inlineStr">
        <is>
          <t>Global</t>
        </is>
      </c>
      <c r="F117" s="39" t="inlineStr">
        <is>
          <t>Capital Growth</t>
        </is>
      </c>
      <c r="G117" s="40" t="n">
        <v>5</v>
      </c>
      <c r="H117" s="39" t="inlineStr">
        <is>
          <t>Incidental</t>
        </is>
      </c>
      <c r="I117" s="41" t="n">
        <v>126.88</v>
      </c>
      <c r="J117" s="38" t="inlineStr">
        <is>
          <t>30.06.2009</t>
        </is>
      </c>
      <c r="K117" s="38" t="inlineStr">
        <is>
          <t>Disqualified</t>
        </is>
      </c>
      <c r="L117" s="42" t="n">
        <v>50</v>
      </c>
      <c r="M117" s="38" t="inlineStr">
        <is>
          <t>2/4</t>
        </is>
      </c>
      <c r="N117" s="43" t="n">
        <v>-2.41</v>
      </c>
      <c r="O117" s="43" t="n">
        <v>1.13</v>
      </c>
      <c r="P117" s="43" t="n">
        <v>-3.54</v>
      </c>
      <c r="Q117" s="43" t="n">
        <v>8.66</v>
      </c>
      <c r="R117" s="43" t="n">
        <v>4.79</v>
      </c>
      <c r="S117" s="43" t="n">
        <v>3.87</v>
      </c>
      <c r="T117" s="43" t="n">
        <v>12.56</v>
      </c>
      <c r="U117" s="43" t="n">
        <v>9.970000000000001</v>
      </c>
      <c r="V117" s="43" t="n">
        <v>2.59</v>
      </c>
      <c r="W117" s="43" t="n">
        <v>3.28</v>
      </c>
      <c r="X117" s="43" t="n">
        <v>9.039999999999999</v>
      </c>
      <c r="Y117" s="43" t="n">
        <v>-5.76</v>
      </c>
      <c r="Z117" s="43" t="n"/>
      <c r="AA117" s="43" t="n"/>
      <c r="AB117" s="43" t="n"/>
      <c r="AC117" s="43">
        <f>IF(OR(P117="",BL117="",BL117=0),"",P117/BL117)</f>
        <v/>
      </c>
      <c r="AD117" s="43">
        <f>IF(OR(S117="",BL117="",BL117=0),"",S117/BL117)</f>
        <v/>
      </c>
      <c r="AE117" s="43">
        <f>IF(OR(V117="",BL117="",BL117=0),"",V117/BL117)</f>
        <v/>
      </c>
      <c r="AF117" s="43">
        <f>IF(OR(Y117="",BL117="",BL117=0),"",Y117/BL117)</f>
        <v/>
      </c>
      <c r="AG117" s="43">
        <f>IF(OR(AB117="",BL117="",BL117=0),"",AB117/BL117)</f>
        <v/>
      </c>
      <c r="AH117" s="42" t="n">
        <v>0.7</v>
      </c>
      <c r="AI117" s="42" t="n">
        <v>87.2</v>
      </c>
      <c r="AJ117" s="42" t="n"/>
      <c r="AK117" s="42" t="n">
        <v>12.1</v>
      </c>
      <c r="AL117" s="42" t="n"/>
      <c r="AM117" s="42" t="n"/>
      <c r="AN117" s="42" t="n">
        <v>37.7</v>
      </c>
      <c r="AO117" s="42" t="n">
        <v>11.9</v>
      </c>
      <c r="AP117" s="42" t="n">
        <v>10.4</v>
      </c>
      <c r="AQ117" s="42" t="n"/>
      <c r="AR117" s="42" t="n"/>
      <c r="AS117" s="42" t="n"/>
      <c r="AT117" s="42" t="n">
        <v>7.7</v>
      </c>
      <c r="AU117" s="42" t="n">
        <v>6.9</v>
      </c>
      <c r="AV117" s="42" t="n"/>
      <c r="AW117" s="42" t="n"/>
      <c r="AX117" s="42" t="n"/>
      <c r="AY117" s="42" t="n"/>
      <c r="AZ117" s="42" t="n"/>
      <c r="BA117" s="42" t="n">
        <v>42.7</v>
      </c>
      <c r="BB117" s="42" t="n">
        <v>3</v>
      </c>
      <c r="BC117" s="42" t="n">
        <v>25.7</v>
      </c>
      <c r="BD117" s="42" t="n">
        <v>10.8</v>
      </c>
      <c r="BE117" s="42" t="n">
        <v>3.3</v>
      </c>
      <c r="BF117" s="42" t="n"/>
      <c r="BG117" s="42" t="n"/>
      <c r="BH117" s="42" t="n"/>
      <c r="BI117" s="42" t="n"/>
      <c r="BJ117" s="42" t="n"/>
      <c r="BK117" s="39" t="inlineStr">
        <is>
          <t>Taiwan Semiconductor Manufacturing Company Limited | Samsung Electronics Company Limited | Alibaba Group Holding Limited - W | Tesla Incorporated | Alphabet Incorporated - Class A</t>
        </is>
      </c>
      <c r="BL117" s="42" t="n">
        <v>15.8</v>
      </c>
      <c r="BM117" s="38" t="inlineStr">
        <is>
          <t>Very High</t>
        </is>
      </c>
      <c r="BN117" s="39" t="inlineStr">
        <is>
          <t>Equity Global Global</t>
        </is>
      </c>
      <c r="BO117" s="39" t="n"/>
      <c r="BP117" s="44" t="n">
        <v>0.4172</v>
      </c>
      <c r="BQ117" s="38" t="inlineStr">
        <is>
          <t>2025-11-03</t>
        </is>
      </c>
      <c r="BR117" s="44" t="n">
        <v>0.3308</v>
      </c>
      <c r="BS117" s="43" t="n">
        <v>-20.71</v>
      </c>
      <c r="BT117" s="40" t="n">
        <v>154</v>
      </c>
    </row>
    <row r="118" ht="16" customHeight="1">
      <c r="A118" s="52" t="inlineStr">
        <is>
          <t>PUBLIC e-ISLAMIC SUSTAINABLE MILLENNIAL FUND</t>
        </is>
      </c>
      <c r="B118" s="52" t="inlineStr">
        <is>
          <t>PeISMF</t>
        </is>
      </c>
      <c r="C118" s="52" t="inlineStr">
        <is>
          <t>Shariah</t>
        </is>
      </c>
      <c r="D118" s="52" t="inlineStr">
        <is>
          <t>Equity</t>
        </is>
      </c>
      <c r="E118" s="52" t="inlineStr">
        <is>
          <t>Malaysia</t>
        </is>
      </c>
      <c r="F118" s="46" t="inlineStr">
        <is>
          <t>Capital Growth</t>
        </is>
      </c>
      <c r="G118" s="47" t="n">
        <v>5</v>
      </c>
      <c r="H118" s="46" t="inlineStr">
        <is>
          <t>Incidental</t>
        </is>
      </c>
      <c r="I118" s="48" t="n">
        <v>427.82</v>
      </c>
      <c r="J118" s="45" t="inlineStr">
        <is>
          <t>05.11.2019</t>
        </is>
      </c>
      <c r="K118" s="45" t="inlineStr">
        <is>
          <t>Disqualified</t>
        </is>
      </c>
      <c r="L118" s="49" t="n">
        <v>50</v>
      </c>
      <c r="M118" s="45" t="inlineStr">
        <is>
          <t>2/4</t>
        </is>
      </c>
      <c r="N118" s="50" t="n">
        <v>-4.4</v>
      </c>
      <c r="O118" s="50" t="n">
        <v>-0.05</v>
      </c>
      <c r="P118" s="50" t="n">
        <v>-4.35</v>
      </c>
      <c r="Q118" s="50" t="n">
        <v>9.369999999999999</v>
      </c>
      <c r="R118" s="50" t="n">
        <v>8.279999999999999</v>
      </c>
      <c r="S118" s="50" t="n">
        <v>1.09</v>
      </c>
      <c r="T118" s="50" t="n">
        <v>17.16</v>
      </c>
      <c r="U118" s="50" t="n">
        <v>15.15</v>
      </c>
      <c r="V118" s="50" t="n">
        <v>2.01</v>
      </c>
      <c r="W118" s="50" t="n">
        <v>10.81</v>
      </c>
      <c r="X118" s="50" t="n">
        <v>10.94</v>
      </c>
      <c r="Y118" s="50" t="n">
        <v>-0.13</v>
      </c>
      <c r="Z118" s="50" t="n"/>
      <c r="AA118" s="50" t="n"/>
      <c r="AB118" s="50" t="n"/>
      <c r="AC118" s="50">
        <f>IF(OR(P118="",BL118="",BL118=0),"",P118/BL118)</f>
        <v/>
      </c>
      <c r="AD118" s="50">
        <f>IF(OR(S118="",BL118="",BL118=0),"",S118/BL118)</f>
        <v/>
      </c>
      <c r="AE118" s="50">
        <f>IF(OR(V118="",BL118="",BL118=0),"",V118/BL118)</f>
        <v/>
      </c>
      <c r="AF118" s="50">
        <f>IF(OR(Y118="",BL118="",BL118=0),"",Y118/BL118)</f>
        <v/>
      </c>
      <c r="AG118" s="50">
        <f>IF(OR(AB118="",BL118="",BL118=0),"",AB118/BL118)</f>
        <v/>
      </c>
      <c r="AH118" s="49" t="n"/>
      <c r="AI118" s="49" t="n">
        <v>89.2</v>
      </c>
      <c r="AJ118" s="49" t="n"/>
      <c r="AK118" s="49" t="n">
        <v>10.8</v>
      </c>
      <c r="AL118" s="49" t="n"/>
      <c r="AM118" s="49" t="n"/>
      <c r="AN118" s="49" t="n">
        <v>58.1</v>
      </c>
      <c r="AO118" s="49" t="n">
        <v>9.300000000000001</v>
      </c>
      <c r="AP118" s="49" t="n"/>
      <c r="AQ118" s="49" t="n">
        <v>4.2</v>
      </c>
      <c r="AR118" s="49" t="n">
        <v>4.1</v>
      </c>
      <c r="AS118" s="49" t="n"/>
      <c r="AT118" s="49" t="n">
        <v>9.5</v>
      </c>
      <c r="AU118" s="49" t="n"/>
      <c r="AV118" s="49" t="n"/>
      <c r="AW118" s="49" t="n"/>
      <c r="AX118" s="49" t="n"/>
      <c r="AY118" s="49" t="n"/>
      <c r="AZ118" s="49" t="n">
        <v>3</v>
      </c>
      <c r="BA118" s="49" t="n">
        <v>36.1</v>
      </c>
      <c r="BB118" s="49" t="n"/>
      <c r="BC118" s="49" t="n">
        <v>32.6</v>
      </c>
      <c r="BD118" s="49" t="n">
        <v>13.1</v>
      </c>
      <c r="BE118" s="49" t="n">
        <v>3.1</v>
      </c>
      <c r="BF118" s="49" t="n"/>
      <c r="BG118" s="49" t="n"/>
      <c r="BH118" s="49" t="n"/>
      <c r="BI118" s="49" t="n"/>
      <c r="BJ118" s="49" t="n"/>
      <c r="BK118" s="46" t="inlineStr">
        <is>
          <t>Meta Platforms Incorporated | Alibaba Group Holding Limited - W | Taiwan Semiconductor Manufacturing Company Limited | Alphabet Incorporated - Class A | Tesla Incorporated</t>
        </is>
      </c>
      <c r="BL118" s="49" t="n">
        <v>14.3</v>
      </c>
      <c r="BM118" s="45" t="inlineStr">
        <is>
          <t>Very High</t>
        </is>
      </c>
      <c r="BN118" s="46" t="inlineStr">
        <is>
          <t>Equity Global</t>
        </is>
      </c>
      <c r="BO118" s="46" t="inlineStr">
        <is>
          <t>ThebenchmarkforPeISMFisacompositeof90%S&amp;PGlobal1200ESGShariah Index and 10% 3-Month Islamic Interbank Money Market (IIMM) rate. Underlying indexdata are sourced from S&amp;P Dow Jones Indices, LLC and Bank Negara Malaysia and expressed in Ringgit terms.</t>
        </is>
      </c>
      <c r="BP118" s="51" t="n">
        <v>0.5548</v>
      </c>
      <c r="BQ118" s="45" t="inlineStr">
        <is>
          <t>2025-10-28</t>
        </is>
      </c>
      <c r="BR118" s="51" t="n">
        <v>0.469</v>
      </c>
      <c r="BS118" s="50" t="n">
        <v>-15.47</v>
      </c>
      <c r="BT118" s="47" t="n">
        <v>160</v>
      </c>
    </row>
    <row r="119" ht="16" customHeight="1">
      <c r="A119" s="38" t="inlineStr">
        <is>
          <t>PUBLIC GREATER CHINA FUND</t>
        </is>
      </c>
      <c r="B119" s="38" t="inlineStr">
        <is>
          <t>PGCF</t>
        </is>
      </c>
      <c r="C119" s="38" t="inlineStr">
        <is>
          <t>Conventional</t>
        </is>
      </c>
      <c r="D119" s="38" t="inlineStr">
        <is>
          <t>Equity</t>
        </is>
      </c>
      <c r="E119" s="38" t="inlineStr">
        <is>
          <t>Greater China</t>
        </is>
      </c>
      <c r="F119" s="39" t="inlineStr">
        <is>
          <t>Capital Growth</t>
        </is>
      </c>
      <c r="G119" s="40" t="n">
        <v>5</v>
      </c>
      <c r="H119" s="39" t="inlineStr">
        <is>
          <t>Incidental</t>
        </is>
      </c>
      <c r="I119" s="41" t="n">
        <v>349.68</v>
      </c>
      <c r="J119" s="38" t="inlineStr">
        <is>
          <t>26.10.2017</t>
        </is>
      </c>
      <c r="K119" s="38" t="inlineStr">
        <is>
          <t>Disqualified</t>
        </is>
      </c>
      <c r="L119" s="42" t="n">
        <v>50</v>
      </c>
      <c r="M119" s="38" t="inlineStr">
        <is>
          <t>2/4</t>
        </is>
      </c>
      <c r="N119" s="43" t="n">
        <v>0</v>
      </c>
      <c r="O119" s="43" t="n">
        <v>3.47</v>
      </c>
      <c r="P119" s="43" t="n">
        <v>-3.47</v>
      </c>
      <c r="Q119" s="43" t="n">
        <v>6.84</v>
      </c>
      <c r="R119" s="43" t="n">
        <v>11.24</v>
      </c>
      <c r="S119" s="43" t="n">
        <v>-4.4</v>
      </c>
      <c r="T119" s="43" t="n">
        <v>11.87</v>
      </c>
      <c r="U119" s="43" t="n">
        <v>10.93</v>
      </c>
      <c r="V119" s="43" t="n">
        <v>0.9399999999999999</v>
      </c>
      <c r="W119" s="43" t="n">
        <v>0.17</v>
      </c>
      <c r="X119" s="43" t="n">
        <v>-0.61</v>
      </c>
      <c r="Y119" s="43" t="n">
        <v>0.78</v>
      </c>
      <c r="Z119" s="43" t="n"/>
      <c r="AA119" s="43" t="n"/>
      <c r="AB119" s="43" t="n"/>
      <c r="AC119" s="43">
        <f>IF(OR(P119="",BL119="",BL119=0),"",P119/BL119)</f>
        <v/>
      </c>
      <c r="AD119" s="43">
        <f>IF(OR(S119="",BL119="",BL119=0),"",S119/BL119)</f>
        <v/>
      </c>
      <c r="AE119" s="43">
        <f>IF(OR(V119="",BL119="",BL119=0),"",V119/BL119)</f>
        <v/>
      </c>
      <c r="AF119" s="43">
        <f>IF(OR(Y119="",BL119="",BL119=0),"",Y119/BL119)</f>
        <v/>
      </c>
      <c r="AG119" s="43">
        <f>IF(OR(AB119="",BL119="",BL119=0),"",AB119/BL119)</f>
        <v/>
      </c>
      <c r="AH119" s="42" t="n"/>
      <c r="AI119" s="42" t="n">
        <v>90.2</v>
      </c>
      <c r="AJ119" s="42" t="n"/>
      <c r="AK119" s="42" t="n">
        <v>9.800000000000001</v>
      </c>
      <c r="AL119" s="42" t="n"/>
      <c r="AM119" s="42" t="n"/>
      <c r="AN119" s="42" t="n">
        <v>13.1</v>
      </c>
      <c r="AO119" s="42" t="n">
        <v>32.7</v>
      </c>
      <c r="AP119" s="42" t="n"/>
      <c r="AQ119" s="42" t="n"/>
      <c r="AR119" s="42" t="n"/>
      <c r="AS119" s="42" t="n">
        <v>1.9</v>
      </c>
      <c r="AT119" s="42" t="n">
        <v>1.6</v>
      </c>
      <c r="AU119" s="42" t="n"/>
      <c r="AV119" s="42" t="n"/>
      <c r="AW119" s="42" t="n"/>
      <c r="AX119" s="42" t="n"/>
      <c r="AY119" s="42" t="n"/>
      <c r="AZ119" s="42" t="n">
        <v>13.1</v>
      </c>
      <c r="BA119" s="42" t="n">
        <v>29.3</v>
      </c>
      <c r="BB119" s="42" t="n">
        <v>11</v>
      </c>
      <c r="BC119" s="42" t="n">
        <v>30</v>
      </c>
      <c r="BD119" s="42" t="n">
        <v>6.8</v>
      </c>
      <c r="BE119" s="42" t="n"/>
      <c r="BF119" s="42" t="n"/>
      <c r="BG119" s="42" t="n"/>
      <c r="BH119" s="42" t="n"/>
      <c r="BI119" s="42" t="n"/>
      <c r="BJ119" s="42" t="n"/>
      <c r="BK119" s="39" t="inlineStr">
        <is>
          <t>Taiwan Semiconductor Manufacturing Company Limited | Alibaba Group Holding Limited - W | Tencent Holdings Limited | China Construction Bank Corporation - H Shares | Meta Platforms Incorporated</t>
        </is>
      </c>
      <c r="BL119" s="42" t="n">
        <v>15.5</v>
      </c>
      <c r="BM119" s="38" t="inlineStr">
        <is>
          <t>Very High</t>
        </is>
      </c>
      <c r="BN119" s="39" t="inlineStr">
        <is>
          <t>Greater China</t>
        </is>
      </c>
      <c r="BO119" s="39"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P119" s="44" t="n">
        <v>0.3679</v>
      </c>
      <c r="BQ119" s="38" t="inlineStr">
        <is>
          <t>2021-02-18</t>
        </is>
      </c>
      <c r="BR119" s="44" t="n">
        <v>0.3222</v>
      </c>
      <c r="BS119" s="43" t="n">
        <v>-12.42</v>
      </c>
      <c r="BT119" s="40" t="n">
        <v>1873</v>
      </c>
    </row>
    <row r="120" ht="16" customHeight="1">
      <c r="A120" s="52" t="inlineStr">
        <is>
          <t>PUBLIC e-ISLAMIC INDIA GLOBAL EQUITY FUND</t>
        </is>
      </c>
      <c r="B120" s="52" t="inlineStr">
        <is>
          <t>PeIIGEF</t>
        </is>
      </c>
      <c r="C120" s="52" t="inlineStr">
        <is>
          <t>Shariah</t>
        </is>
      </c>
      <c r="D120" s="52" t="inlineStr">
        <is>
          <t>Equity</t>
        </is>
      </c>
      <c r="E120" s="52" t="inlineStr">
        <is>
          <t>Global</t>
        </is>
      </c>
      <c r="F120" s="46" t="inlineStr">
        <is>
          <t>Capital Growth</t>
        </is>
      </c>
      <c r="G120" s="47" t="n">
        <v>5</v>
      </c>
      <c r="H120" s="46" t="inlineStr">
        <is>
          <t>Incidental</t>
        </is>
      </c>
      <c r="I120" s="48" t="n">
        <v>344.29</v>
      </c>
      <c r="J120" s="45" t="inlineStr">
        <is>
          <t>24.09.2024</t>
        </is>
      </c>
      <c r="K120" s="45" t="inlineStr">
        <is>
          <t>Disqualified</t>
        </is>
      </c>
      <c r="L120" s="49" t="n">
        <v>50</v>
      </c>
      <c r="M120" s="45" t="inlineStr">
        <is>
          <t>1/2</t>
        </is>
      </c>
      <c r="N120" s="50" t="n">
        <v>0.77</v>
      </c>
      <c r="O120" s="50" t="n">
        <v>-0.79</v>
      </c>
      <c r="P120" s="50" t="n">
        <v>1.56</v>
      </c>
      <c r="Q120" s="50" t="n">
        <v>2.65</v>
      </c>
      <c r="R120" s="50" t="n">
        <v>8.44</v>
      </c>
      <c r="S120" s="50" t="n">
        <v>-5.79</v>
      </c>
      <c r="T120" s="50" t="n"/>
      <c r="U120" s="50" t="n"/>
      <c r="V120" s="50" t="n"/>
      <c r="W120" s="50" t="n"/>
      <c r="X120" s="50" t="n"/>
      <c r="Y120" s="50" t="n"/>
      <c r="Z120" s="50" t="n"/>
      <c r="AA120" s="50" t="n"/>
      <c r="AB120" s="50" t="n"/>
      <c r="AC120" s="50">
        <f>IF(OR(P120="",BL120="",BL120=0),"",P120/BL120)</f>
        <v/>
      </c>
      <c r="AD120" s="50">
        <f>IF(OR(S120="",BL120="",BL120=0),"",S120/BL120)</f>
        <v/>
      </c>
      <c r="AE120" s="50">
        <f>IF(OR(V120="",BL120="",BL120=0),"",V120/BL120)</f>
        <v/>
      </c>
      <c r="AF120" s="50">
        <f>IF(OR(Y120="",BL120="",BL120=0),"",Y120/BL120)</f>
        <v/>
      </c>
      <c r="AG120" s="50">
        <f>IF(OR(AB120="",BL120="",BL120=0),"",AB120/BL120)</f>
        <v/>
      </c>
      <c r="AH120" s="49" t="n"/>
      <c r="AI120" s="49" t="n">
        <v>94.09999999999999</v>
      </c>
      <c r="AJ120" s="49" t="n"/>
      <c r="AK120" s="49" t="n">
        <v>5.9</v>
      </c>
      <c r="AL120" s="49" t="n"/>
      <c r="AM120" s="49" t="n"/>
      <c r="AN120" s="49" t="n">
        <v>30.7</v>
      </c>
      <c r="AO120" s="49" t="n">
        <v>9.1</v>
      </c>
      <c r="AP120" s="49" t="n">
        <v>16.2</v>
      </c>
      <c r="AQ120" s="49" t="n"/>
      <c r="AR120" s="49" t="n"/>
      <c r="AS120" s="49" t="n"/>
      <c r="AT120" s="49" t="n">
        <v>6</v>
      </c>
      <c r="AU120" s="49" t="n"/>
      <c r="AV120" s="49" t="n"/>
      <c r="AW120" s="49" t="n"/>
      <c r="AX120" s="49" t="n"/>
      <c r="AY120" s="49" t="n">
        <v>29.4</v>
      </c>
      <c r="AZ120" s="49" t="n">
        <v>9.800000000000001</v>
      </c>
      <c r="BA120" s="49" t="n">
        <v>39.8</v>
      </c>
      <c r="BB120" s="49" t="n"/>
      <c r="BC120" s="49" t="n">
        <v>27.3</v>
      </c>
      <c r="BD120" s="49" t="n">
        <v>5.4</v>
      </c>
      <c r="BE120" s="49" t="n">
        <v>7</v>
      </c>
      <c r="BF120" s="49" t="n"/>
      <c r="BG120" s="49" t="n"/>
      <c r="BH120" s="49" t="n"/>
      <c r="BI120" s="49" t="n"/>
      <c r="BJ120" s="49" t="n"/>
      <c r="BK120" s="46" t="inlineStr">
        <is>
          <t>Taiwan Semiconductor Manufacturing Company Limited | Alphabet Incorporated - Class A | Samsung Electronics Company Limited | SK Hynix Incorporated | Alibaba Group Holding Limited - W</t>
        </is>
      </c>
      <c r="BL120" s="49" t="n"/>
      <c r="BM120" s="45" t="n"/>
      <c r="BN120" s="46" t="n"/>
      <c r="BO120" s="46"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P120" s="51" t="n">
        <v>0.2712</v>
      </c>
      <c r="BQ120" s="45" t="inlineStr">
        <is>
          <t>2025-10-27</t>
        </is>
      </c>
      <c r="BR120" s="51" t="n">
        <v>0.2262</v>
      </c>
      <c r="BS120" s="50" t="n">
        <v>-16.59</v>
      </c>
      <c r="BT120" s="47" t="n">
        <v>161</v>
      </c>
    </row>
    <row r="121" ht="16" customHeight="1">
      <c r="A121" s="53" t="inlineStr">
        <is>
          <t>PUBLIC ISLAMIC ADVANTAGE GROWTH EQUITY FUND</t>
        </is>
      </c>
      <c r="B121" s="53" t="inlineStr">
        <is>
          <t>PIAVGEF</t>
        </is>
      </c>
      <c r="C121" s="53" t="inlineStr">
        <is>
          <t>Shariah</t>
        </is>
      </c>
      <c r="D121" s="53" t="inlineStr">
        <is>
          <t>Equity</t>
        </is>
      </c>
      <c r="E121" s="53" t="inlineStr">
        <is>
          <t>Malaysia</t>
        </is>
      </c>
      <c r="F121" s="39" t="inlineStr">
        <is>
          <t>Capital Growth</t>
        </is>
      </c>
      <c r="G121" s="40" t="n">
        <v>5</v>
      </c>
      <c r="H121" s="39" t="inlineStr">
        <is>
          <t>Incidental</t>
        </is>
      </c>
      <c r="I121" s="41" t="n">
        <v>215.43</v>
      </c>
      <c r="J121" s="38" t="inlineStr">
        <is>
          <t>08.09.2015</t>
        </is>
      </c>
      <c r="K121" s="38" t="inlineStr">
        <is>
          <t>Disqualified</t>
        </is>
      </c>
      <c r="L121" s="42" t="n">
        <v>40</v>
      </c>
      <c r="M121" s="38" t="inlineStr">
        <is>
          <t>2/5</t>
        </is>
      </c>
      <c r="N121" s="43" t="n">
        <v>-0.24</v>
      </c>
      <c r="O121" s="43" t="n">
        <v>-0.05</v>
      </c>
      <c r="P121" s="43" t="n">
        <v>-0.19</v>
      </c>
      <c r="Q121" s="43" t="n">
        <v>5.06</v>
      </c>
      <c r="R121" s="43" t="n">
        <v>7.63</v>
      </c>
      <c r="S121" s="43" t="n">
        <v>-2.57</v>
      </c>
      <c r="T121" s="43" t="n">
        <v>5.62</v>
      </c>
      <c r="U121" s="43" t="n">
        <v>4.82</v>
      </c>
      <c r="V121" s="43" t="n">
        <v>0.8</v>
      </c>
      <c r="W121" s="43" t="n">
        <v>-0.96</v>
      </c>
      <c r="X121" s="43" t="n">
        <v>-0.48</v>
      </c>
      <c r="Y121" s="43" t="n">
        <v>-0.48</v>
      </c>
      <c r="Z121" s="43" t="n">
        <v>3.46</v>
      </c>
      <c r="AA121" s="43" t="n">
        <v>-0.3</v>
      </c>
      <c r="AB121" s="43" t="n">
        <v>3.76</v>
      </c>
      <c r="AC121" s="43">
        <f>IF(OR(P121="",BL121="",BL121=0),"",P121/BL121)</f>
        <v/>
      </c>
      <c r="AD121" s="43">
        <f>IF(OR(S121="",BL121="",BL121=0),"",S121/BL121)</f>
        <v/>
      </c>
      <c r="AE121" s="43">
        <f>IF(OR(V121="",BL121="",BL121=0),"",V121/BL121)</f>
        <v/>
      </c>
      <c r="AF121" s="43">
        <f>IF(OR(Y121="",BL121="",BL121=0),"",Y121/BL121)</f>
        <v/>
      </c>
      <c r="AG121" s="43">
        <f>IF(OR(AB121="",BL121="",BL121=0),"",AB121/BL121)</f>
        <v/>
      </c>
      <c r="AH121" s="42" t="n">
        <v>79.8</v>
      </c>
      <c r="AI121" s="42" t="n">
        <v>9.6</v>
      </c>
      <c r="AJ121" s="42" t="n"/>
      <c r="AK121" s="42" t="n">
        <v>10.6</v>
      </c>
      <c r="AL121" s="42" t="n"/>
      <c r="AM121" s="42" t="n"/>
      <c r="AN121" s="42" t="n">
        <v>6.2</v>
      </c>
      <c r="AO121" s="42" t="n"/>
      <c r="AP121" s="42" t="n"/>
      <c r="AQ121" s="42" t="n"/>
      <c r="AR121" s="42" t="n"/>
      <c r="AS121" s="42" t="n"/>
      <c r="AT121" s="42" t="n">
        <v>3.4</v>
      </c>
      <c r="AU121" s="42" t="n"/>
      <c r="AV121" s="42" t="n"/>
      <c r="AW121" s="42" t="n"/>
      <c r="AX121" s="42" t="n"/>
      <c r="AY121" s="42" t="n"/>
      <c r="AZ121" s="42" t="n">
        <v>18.8</v>
      </c>
      <c r="BA121" s="42" t="n"/>
      <c r="BB121" s="42" t="n">
        <v>18.2</v>
      </c>
      <c r="BC121" s="42" t="n">
        <v>19.8</v>
      </c>
      <c r="BD121" s="42" t="n"/>
      <c r="BE121" s="42" t="n">
        <v>19</v>
      </c>
      <c r="BF121" s="42" t="n">
        <v>7.6</v>
      </c>
      <c r="BG121" s="42" t="n"/>
      <c r="BH121" s="42" t="n"/>
      <c r="BI121" s="42" t="n"/>
      <c r="BJ121" s="42" t="n"/>
      <c r="BK121" s="39" t="inlineStr">
        <is>
          <t>Telekom Malaysia Berhad | IHH Healthcare Berhad | Tenaga Nasional Berhad | Gamuda Berhad | QL Resources Berhad</t>
        </is>
      </c>
      <c r="BL121" s="42" t="n">
        <v>7.4</v>
      </c>
      <c r="BM121" s="38" t="inlineStr">
        <is>
          <t>Low</t>
        </is>
      </c>
      <c r="BN121" s="39" t="inlineStr">
        <is>
          <t>Equity Malaysia Domestic</t>
        </is>
      </c>
      <c r="BO121" s="39" t="inlineStr">
        <is>
          <t>Index data are sourced from Lipper.</t>
        </is>
      </c>
      <c r="BP121" s="44" t="n">
        <v>0.3846</v>
      </c>
      <c r="BQ121" s="38" t="inlineStr">
        <is>
          <t>2020-08-06</t>
        </is>
      </c>
      <c r="BR121" s="44" t="n">
        <v>0.3111</v>
      </c>
      <c r="BS121" s="43" t="n">
        <v>-19.11</v>
      </c>
      <c r="BT121" s="40" t="n">
        <v>2069</v>
      </c>
    </row>
    <row r="122" ht="16" customHeight="1">
      <c r="A122" s="45" t="inlineStr">
        <is>
          <t>PB DIVIDEND BUILDER EQUITY FUND</t>
        </is>
      </c>
      <c r="B122" s="45" t="inlineStr">
        <is>
          <t>PBDBEF</t>
        </is>
      </c>
      <c r="C122" s="45" t="inlineStr">
        <is>
          <t>Conventional</t>
        </is>
      </c>
      <c r="D122" s="45" t="inlineStr">
        <is>
          <t>Equity</t>
        </is>
      </c>
      <c r="E122" s="45" t="inlineStr">
        <is>
          <t>Malaysia</t>
        </is>
      </c>
      <c r="F122" s="46" t="inlineStr">
        <is>
          <t>Income</t>
        </is>
      </c>
      <c r="G122" s="47" t="n">
        <v>4</v>
      </c>
      <c r="H122" s="46" t="inlineStr">
        <is>
          <t>Annual</t>
        </is>
      </c>
      <c r="I122" s="48" t="n">
        <v>49.18</v>
      </c>
      <c r="J122" s="45" t="inlineStr">
        <is>
          <t>30.06.2015</t>
        </is>
      </c>
      <c r="K122" s="45" t="inlineStr">
        <is>
          <t>Disqualified</t>
        </is>
      </c>
      <c r="L122" s="49" t="n">
        <v>40</v>
      </c>
      <c r="M122" s="45" t="inlineStr">
        <is>
          <t>2/5</t>
        </is>
      </c>
      <c r="N122" s="50" t="n">
        <v>1.09</v>
      </c>
      <c r="O122" s="50" t="n">
        <v>2.48</v>
      </c>
      <c r="P122" s="50" t="n">
        <v>-1.39</v>
      </c>
      <c r="Q122" s="50" t="n">
        <v>3.56</v>
      </c>
      <c r="R122" s="50" t="n">
        <v>7.73</v>
      </c>
      <c r="S122" s="50" t="n">
        <v>-4.17</v>
      </c>
      <c r="T122" s="50" t="n">
        <v>7.03</v>
      </c>
      <c r="U122" s="50" t="n">
        <v>6.31</v>
      </c>
      <c r="V122" s="50" t="n">
        <v>0.72</v>
      </c>
      <c r="W122" s="50" t="n">
        <v>0.75</v>
      </c>
      <c r="X122" s="50" t="n">
        <v>2.09</v>
      </c>
      <c r="Y122" s="50" t="n">
        <v>-1.34</v>
      </c>
      <c r="Z122" s="50" t="n">
        <v>3.58</v>
      </c>
      <c r="AA122" s="50" t="n">
        <v>1.31</v>
      </c>
      <c r="AB122" s="50" t="n">
        <v>2.27</v>
      </c>
      <c r="AC122" s="50">
        <f>IF(OR(P122="",BL122="",BL122=0),"",P122/BL122)</f>
        <v/>
      </c>
      <c r="AD122" s="50">
        <f>IF(OR(S122="",BL122="",BL122=0),"",S122/BL122)</f>
        <v/>
      </c>
      <c r="AE122" s="50">
        <f>IF(OR(V122="",BL122="",BL122=0),"",V122/BL122)</f>
        <v/>
      </c>
      <c r="AF122" s="50">
        <f>IF(OR(Y122="",BL122="",BL122=0),"",Y122/BL122)</f>
        <v/>
      </c>
      <c r="AG122" s="50">
        <f>IF(OR(AB122="",BL122="",BL122=0),"",AB122/BL122)</f>
        <v/>
      </c>
      <c r="AH122" s="49" t="n">
        <v>77</v>
      </c>
      <c r="AI122" s="49" t="n">
        <v>18.7</v>
      </c>
      <c r="AJ122" s="49" t="n"/>
      <c r="AK122" s="49" t="n">
        <v>4.3</v>
      </c>
      <c r="AL122" s="49" t="n"/>
      <c r="AM122" s="49" t="n"/>
      <c r="AN122" s="49" t="n">
        <v>13.1</v>
      </c>
      <c r="AO122" s="49" t="n"/>
      <c r="AP122" s="49" t="n"/>
      <c r="AQ122" s="49" t="n"/>
      <c r="AR122" s="49" t="n">
        <v>5.6</v>
      </c>
      <c r="AS122" s="49" t="n"/>
      <c r="AT122" s="49" t="n"/>
      <c r="AU122" s="49" t="n"/>
      <c r="AV122" s="49" t="n"/>
      <c r="AW122" s="49" t="n"/>
      <c r="AX122" s="49" t="n"/>
      <c r="AY122" s="49" t="n"/>
      <c r="AZ122" s="49" t="n">
        <v>12.4</v>
      </c>
      <c r="BA122" s="49" t="n"/>
      <c r="BB122" s="49" t="n">
        <v>34.3</v>
      </c>
      <c r="BC122" s="49" t="n">
        <v>14.2</v>
      </c>
      <c r="BD122" s="49" t="n">
        <v>12.7</v>
      </c>
      <c r="BE122" s="49" t="n"/>
      <c r="BF122" s="49" t="n">
        <v>11.2</v>
      </c>
      <c r="BG122" s="49" t="n"/>
      <c r="BH122" s="49" t="n"/>
      <c r="BI122" s="49" t="n"/>
      <c r="BJ122" s="49" t="n"/>
      <c r="BK122" s="46" t="inlineStr">
        <is>
          <t>Tenaga Nasional Berhad | Malayan Banking Berhad | Public Bank Berhad | Alphabet Incorporated - Class A | Hermes International</t>
        </is>
      </c>
      <c r="BL122" s="49" t="n">
        <v>7.6</v>
      </c>
      <c r="BM122" s="45" t="inlineStr">
        <is>
          <t>Low</t>
        </is>
      </c>
      <c r="BN122" s="46" t="inlineStr">
        <is>
          <t>Equity Malaysia Income</t>
        </is>
      </c>
      <c r="BO122" s="46" t="n"/>
      <c r="BP122" s="51" t="n">
        <v>0.3051</v>
      </c>
      <c r="BQ122" s="45" t="inlineStr">
        <is>
          <t>2021-04-26</t>
        </is>
      </c>
      <c r="BR122" s="51" t="n">
        <v>0.2712</v>
      </c>
      <c r="BS122" s="50" t="n">
        <v>-11.11</v>
      </c>
      <c r="BT122" s="47" t="n">
        <v>1806</v>
      </c>
    </row>
    <row r="123" ht="16" customHeight="1">
      <c r="A123" s="38" t="inlineStr">
        <is>
          <t>PB ISLAMIC ASIA EQUITY FUND</t>
        </is>
      </c>
      <c r="B123" s="38" t="inlineStr">
        <is>
          <t>PBIAEF</t>
        </is>
      </c>
      <c r="C123" s="38" t="inlineStr">
        <is>
          <t>Conventional</t>
        </is>
      </c>
      <c r="D123" s="38" t="inlineStr">
        <is>
          <t>Equity</t>
        </is>
      </c>
      <c r="E123" s="38" t="inlineStr">
        <is>
          <t>Asia</t>
        </is>
      </c>
      <c r="F123" s="39" t="inlineStr">
        <is>
          <t>Capital Growth</t>
        </is>
      </c>
      <c r="G123" s="40" t="n">
        <v>5</v>
      </c>
      <c r="H123" s="39" t="inlineStr">
        <is>
          <t>Incidental</t>
        </is>
      </c>
      <c r="I123" s="41" t="n">
        <v>136.01</v>
      </c>
      <c r="J123" s="38" t="inlineStr">
        <is>
          <t>08.01.2007</t>
        </is>
      </c>
      <c r="K123" s="38" t="inlineStr">
        <is>
          <t>Disqualified</t>
        </is>
      </c>
      <c r="L123" s="42" t="n">
        <v>40</v>
      </c>
      <c r="M123" s="38" t="inlineStr">
        <is>
          <t>2/5</t>
        </is>
      </c>
      <c r="N123" s="43" t="n">
        <v>12.39</v>
      </c>
      <c r="O123" s="43" t="n">
        <v>17.15</v>
      </c>
      <c r="P123" s="43" t="n">
        <v>-4.76</v>
      </c>
      <c r="Q123" s="43" t="n">
        <v>34.9</v>
      </c>
      <c r="R123" s="43" t="n">
        <v>34.32</v>
      </c>
      <c r="S123" s="43" t="n">
        <v>0.58</v>
      </c>
      <c r="T123" s="43" t="n">
        <v>15.32</v>
      </c>
      <c r="U123" s="43" t="n">
        <v>15.01</v>
      </c>
      <c r="V123" s="43" t="n">
        <v>0.31</v>
      </c>
      <c r="W123" s="43" t="n">
        <v>0.77</v>
      </c>
      <c r="X123" s="43" t="n">
        <v>2.72</v>
      </c>
      <c r="Y123" s="43" t="n">
        <v>-1.95</v>
      </c>
      <c r="Z123" s="43" t="n">
        <v>6.47</v>
      </c>
      <c r="AA123" s="43" t="n">
        <v>7.44</v>
      </c>
      <c r="AB123" s="43" t="n">
        <v>-0.97</v>
      </c>
      <c r="AC123" s="43">
        <f>IF(OR(P123="",BL123="",BL123=0),"",P123/BL123)</f>
        <v/>
      </c>
      <c r="AD123" s="43">
        <f>IF(OR(S123="",BL123="",BL123=0),"",S123/BL123)</f>
        <v/>
      </c>
      <c r="AE123" s="43">
        <f>IF(OR(V123="",BL123="",BL123=0),"",V123/BL123)</f>
        <v/>
      </c>
      <c r="AF123" s="43">
        <f>IF(OR(Y123="",BL123="",BL123=0),"",Y123/BL123)</f>
        <v/>
      </c>
      <c r="AG123" s="43">
        <f>IF(OR(AB123="",BL123="",BL123=0),"",AB123/BL123)</f>
        <v/>
      </c>
      <c r="AH123" s="42" t="n">
        <v>80.7</v>
      </c>
      <c r="AI123" s="42" t="n">
        <v>4.2</v>
      </c>
      <c r="AJ123" s="42" t="n"/>
      <c r="AK123" s="42" t="n">
        <v>15.1</v>
      </c>
      <c r="AL123" s="42" t="n"/>
      <c r="AM123" s="42" t="n"/>
      <c r="AN123" s="42" t="n"/>
      <c r="AO123" s="42" t="n">
        <v>30.1</v>
      </c>
      <c r="AP123" s="42" t="n">
        <v>27.8</v>
      </c>
      <c r="AQ123" s="42" t="n">
        <v>1</v>
      </c>
      <c r="AR123" s="42" t="n"/>
      <c r="AS123" s="42" t="n"/>
      <c r="AT123" s="42" t="n">
        <v>19.5</v>
      </c>
      <c r="AU123" s="42" t="n"/>
      <c r="AV123" s="42" t="n"/>
      <c r="AW123" s="42" t="n"/>
      <c r="AX123" s="42" t="n"/>
      <c r="AY123" s="42" t="n">
        <v>2.3</v>
      </c>
      <c r="AZ123" s="42" t="n">
        <v>14.8</v>
      </c>
      <c r="BA123" s="42" t="n">
        <v>38.4</v>
      </c>
      <c r="BB123" s="42" t="n"/>
      <c r="BC123" s="42" t="n">
        <v>26.7</v>
      </c>
      <c r="BD123" s="42" t="n">
        <v>0.8</v>
      </c>
      <c r="BE123" s="42" t="n"/>
      <c r="BF123" s="42" t="n">
        <v>4.2</v>
      </c>
      <c r="BG123" s="42" t="n"/>
      <c r="BH123" s="42" t="n"/>
      <c r="BI123" s="42" t="n"/>
      <c r="BJ123" s="42" t="n"/>
      <c r="BK123" s="39" t="inlineStr">
        <is>
          <t>SK Hynix Incorporated | Taiwan Semiconductor Manufacturing Company Limited | Alibaba Group Holding Limited - W | Samsung Electronics Company Limited | Tencent Holdings Limited</t>
        </is>
      </c>
      <c r="BL123" s="42" t="n">
        <v>15.6</v>
      </c>
      <c r="BM123" s="38" t="inlineStr">
        <is>
          <t>Very High</t>
        </is>
      </c>
      <c r="BN123" s="39" t="inlineStr">
        <is>
          <t>Equity Asia Pacific Asia</t>
        </is>
      </c>
      <c r="BO123" s="39" t="inlineStr">
        <is>
          <t>2016 1.00 30.06.16 4.0 The benchmark for PBIAEF is a composite of 20% Kuala Lumpur Syariah Index (prior to 1 November 2007), 20% FTSE Bursa Malaysia EMAS Shariah Index 2017 1.00 30.06.17 3.4 (1 November 2007 to 29 April 2011), 20% FTSE Bursa Malaysia Hijrah Shariah 2018 1.25 29.06.18 4.3 Index (w.e.f. 30 April 2011) and 80% Dow Jones Islamic Market Asia Ex-Japan 2019 1.00 28.06.19 3.8 IndexSM (prior to 1 January 2009), 80% S&amp;P Shariah BMI Asia Ex-Japan Index (w.e.f. 1 January 2009). 2020 1.00 30.06.20 3.2 UnderlyingindexdataaresourcedfromS&amp;PDowJonesIndices,LLCandLipper 2021 1.50 30.06.21 4.3 and expressed in Ringgit terms. Note: Distribution yield simply measures the level of distributions and is not a</t>
        </is>
      </c>
      <c r="BP123" s="44" t="n">
        <v>0.4103</v>
      </c>
      <c r="BQ123" s="38" t="inlineStr">
        <is>
          <t>2021-02-17</t>
        </is>
      </c>
      <c r="BR123" s="44" t="n">
        <v>0.3483</v>
      </c>
      <c r="BS123" s="43" t="n">
        <v>-15.11</v>
      </c>
      <c r="BT123" s="40" t="n">
        <v>1874</v>
      </c>
    </row>
    <row r="124" ht="16" customHeight="1">
      <c r="A124" s="45" t="inlineStr">
        <is>
          <t>PB SINGAPORE ADVANTAGE-30 EQUITY FUND</t>
        </is>
      </c>
      <c r="B124" s="45" t="inlineStr">
        <is>
          <t>PBSGA30EF</t>
        </is>
      </c>
      <c r="C124" s="45" t="inlineStr">
        <is>
          <t>Conventional</t>
        </is>
      </c>
      <c r="D124" s="45" t="inlineStr">
        <is>
          <t>Equity</t>
        </is>
      </c>
      <c r="E124" s="45" t="inlineStr">
        <is>
          <t>Singapore</t>
        </is>
      </c>
      <c r="F124" s="46" t="inlineStr">
        <is>
          <t>Capital Growth</t>
        </is>
      </c>
      <c r="G124" s="47" t="n">
        <v>5</v>
      </c>
      <c r="H124" s="46" t="inlineStr">
        <is>
          <t>Incidental</t>
        </is>
      </c>
      <c r="I124" s="48" t="n">
        <v>136.05</v>
      </c>
      <c r="J124" s="45" t="inlineStr">
        <is>
          <t>11.05.2010</t>
        </is>
      </c>
      <c r="K124" s="45" t="inlineStr">
        <is>
          <t>Disqualified</t>
        </is>
      </c>
      <c r="L124" s="49" t="n">
        <v>40</v>
      </c>
      <c r="M124" s="45" t="inlineStr">
        <is>
          <t>2/5</t>
        </is>
      </c>
      <c r="N124" s="50" t="n">
        <v>1.84</v>
      </c>
      <c r="O124" s="50" t="n">
        <v>1.74</v>
      </c>
      <c r="P124" s="50" t="n">
        <v>0.1</v>
      </c>
      <c r="Q124" s="50" t="n">
        <v>14.71</v>
      </c>
      <c r="R124" s="50" t="n">
        <v>11.54</v>
      </c>
      <c r="S124" s="50" t="n">
        <v>3.17</v>
      </c>
      <c r="T124" s="50" t="n">
        <v>9.16</v>
      </c>
      <c r="U124" s="50" t="n">
        <v>13.01</v>
      </c>
      <c r="V124" s="50" t="n">
        <v>-3.85</v>
      </c>
      <c r="W124" s="50" t="n">
        <v>7.88</v>
      </c>
      <c r="X124" s="50" t="n">
        <v>9.69</v>
      </c>
      <c r="Y124" s="50" t="n">
        <v>-1.81</v>
      </c>
      <c r="Z124" s="50" t="n">
        <v>6.09</v>
      </c>
      <c r="AA124" s="50" t="n">
        <v>6.18</v>
      </c>
      <c r="AB124" s="50" t="n">
        <v>-0.09</v>
      </c>
      <c r="AC124" s="50">
        <f>IF(OR(P124="",BL124="",BL124=0),"",P124/BL124)</f>
        <v/>
      </c>
      <c r="AD124" s="50">
        <f>IF(OR(S124="",BL124="",BL124=0),"",S124/BL124)</f>
        <v/>
      </c>
      <c r="AE124" s="50">
        <f>IF(OR(V124="",BL124="",BL124=0),"",V124/BL124)</f>
        <v/>
      </c>
      <c r="AF124" s="50">
        <f>IF(OR(Y124="",BL124="",BL124=0),"",Y124/BL124)</f>
        <v/>
      </c>
      <c r="AG124" s="50">
        <f>IF(OR(AB124="",BL124="",BL124=0),"",AB124/BL124)</f>
        <v/>
      </c>
      <c r="AH124" s="49" t="n"/>
      <c r="AI124" s="49" t="n">
        <v>90</v>
      </c>
      <c r="AJ124" s="49" t="n"/>
      <c r="AK124" s="49" t="n">
        <v>10</v>
      </c>
      <c r="AL124" s="49" t="n"/>
      <c r="AM124" s="49" t="n"/>
      <c r="AN124" s="49" t="n">
        <v>13.8</v>
      </c>
      <c r="AO124" s="49" t="n"/>
      <c r="AP124" s="49" t="n"/>
      <c r="AQ124" s="49" t="n"/>
      <c r="AR124" s="49" t="n"/>
      <c r="AS124" s="49" t="n"/>
      <c r="AT124" s="49" t="n"/>
      <c r="AU124" s="49" t="n">
        <v>76.2</v>
      </c>
      <c r="AV124" s="49" t="n"/>
      <c r="AW124" s="49" t="n"/>
      <c r="AX124" s="49" t="n"/>
      <c r="AY124" s="49" t="n"/>
      <c r="AZ124" s="49" t="n">
        <v>21.8</v>
      </c>
      <c r="BA124" s="49" t="n">
        <v>9.5</v>
      </c>
      <c r="BB124" s="49" t="n">
        <v>33.3</v>
      </c>
      <c r="BC124" s="49" t="n">
        <v>21.8</v>
      </c>
      <c r="BD124" s="49" t="n">
        <v>3.6</v>
      </c>
      <c r="BE124" s="49" t="n"/>
      <c r="BF124" s="49" t="n"/>
      <c r="BG124" s="49" t="n"/>
      <c r="BH124" s="49" t="n"/>
      <c r="BI124" s="49" t="n"/>
      <c r="BJ124" s="49" t="n"/>
      <c r="BK124" s="46" t="inlineStr">
        <is>
          <t>Oversea-Chinese Banking Corporation Limited | DBS Group Holdings Limited | United Overseas Bank Limited | CSE Global Limited | Sea Limited - ADR</t>
        </is>
      </c>
      <c r="BL124" s="49" t="n">
        <v>9.300000000000001</v>
      </c>
      <c r="BM124" s="45" t="inlineStr">
        <is>
          <t>Moderate</t>
        </is>
      </c>
      <c r="BN124" s="46" t="inlineStr">
        <is>
          <t>Equity Singapore ASEAN</t>
        </is>
      </c>
      <c r="BO124" s="46"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P124" s="51" t="n">
        <v>0.337</v>
      </c>
      <c r="BQ124" s="45" t="inlineStr">
        <is>
          <t>2025-10-08</t>
        </is>
      </c>
      <c r="BR124" s="51" t="n">
        <v>0.3168</v>
      </c>
      <c r="BS124" s="50" t="n">
        <v>-5.99</v>
      </c>
      <c r="BT124" s="47" t="n">
        <v>180</v>
      </c>
    </row>
    <row r="125" ht="16" customHeight="1">
      <c r="A125" s="38" t="inlineStr">
        <is>
          <t>PUBLIC e-PIONEER ENTREPRENEUR FUND</t>
        </is>
      </c>
      <c r="B125" s="38" t="inlineStr">
        <is>
          <t>PePEF</t>
        </is>
      </c>
      <c r="C125" s="38" t="inlineStr">
        <is>
          <t>Conventional</t>
        </is>
      </c>
      <c r="D125" s="38" t="inlineStr">
        <is>
          <t>Equity</t>
        </is>
      </c>
      <c r="E125" s="38" t="inlineStr">
        <is>
          <t>Malaysia</t>
        </is>
      </c>
      <c r="F125" s="39" t="inlineStr">
        <is>
          <t>Capital Growth</t>
        </is>
      </c>
      <c r="G125" s="40" t="n">
        <v>5</v>
      </c>
      <c r="H125" s="39" t="inlineStr">
        <is>
          <t>Incidental</t>
        </is>
      </c>
      <c r="I125" s="41" t="n">
        <v>290.86</v>
      </c>
      <c r="J125" s="38" t="inlineStr">
        <is>
          <t>29.07.2021</t>
        </is>
      </c>
      <c r="K125" s="38" t="inlineStr">
        <is>
          <t>Disqualified</t>
        </is>
      </c>
      <c r="L125" s="42" t="n">
        <v>33.3</v>
      </c>
      <c r="M125" s="38" t="inlineStr">
        <is>
          <t>1/3</t>
        </is>
      </c>
      <c r="N125" s="43" t="n">
        <v>-5.51</v>
      </c>
      <c r="O125" s="43" t="n">
        <v>2.79</v>
      </c>
      <c r="P125" s="43" t="n">
        <v>-8.300000000000001</v>
      </c>
      <c r="Q125" s="43" t="n">
        <v>3.29</v>
      </c>
      <c r="R125" s="43" t="n">
        <v>10.35</v>
      </c>
      <c r="S125" s="43" t="n">
        <v>-7.06</v>
      </c>
      <c r="T125" s="43" t="n">
        <v>14.39</v>
      </c>
      <c r="U125" s="43" t="n">
        <v>12.64</v>
      </c>
      <c r="V125" s="43" t="n">
        <v>1.75</v>
      </c>
      <c r="W125" s="43" t="n"/>
      <c r="X125" s="43" t="n"/>
      <c r="Y125" s="43" t="n"/>
      <c r="Z125" s="43" t="n"/>
      <c r="AA125" s="43" t="n"/>
      <c r="AB125" s="43" t="n"/>
      <c r="AC125" s="43">
        <f>IF(OR(P125="",BL125="",BL125=0),"",P125/BL125)</f>
        <v/>
      </c>
      <c r="AD125" s="43">
        <f>IF(OR(S125="",BL125="",BL125=0),"",S125/BL125)</f>
        <v/>
      </c>
      <c r="AE125" s="43">
        <f>IF(OR(V125="",BL125="",BL125=0),"",V125/BL125)</f>
        <v/>
      </c>
      <c r="AF125" s="43">
        <f>IF(OR(Y125="",BL125="",BL125=0),"",Y125/BL125)</f>
        <v/>
      </c>
      <c r="AG125" s="43">
        <f>IF(OR(AB125="",BL125="",BL125=0),"",AB125/BL125)</f>
        <v/>
      </c>
      <c r="AH125" s="42" t="n"/>
      <c r="AI125" s="42" t="n">
        <v>77.90000000000001</v>
      </c>
      <c r="AJ125" s="42" t="n"/>
      <c r="AK125" s="42" t="n">
        <v>22.1</v>
      </c>
      <c r="AL125" s="42" t="n"/>
      <c r="AM125" s="42" t="n"/>
      <c r="AN125" s="42" t="n">
        <v>42.2</v>
      </c>
      <c r="AO125" s="42" t="n">
        <v>9.800000000000001</v>
      </c>
      <c r="AP125" s="42" t="n">
        <v>3.5</v>
      </c>
      <c r="AQ125" s="42" t="n"/>
      <c r="AR125" s="42" t="n">
        <v>2.9</v>
      </c>
      <c r="AS125" s="42" t="n"/>
      <c r="AT125" s="42" t="n">
        <v>18.7</v>
      </c>
      <c r="AU125" s="42" t="n"/>
      <c r="AV125" s="42" t="n"/>
      <c r="AW125" s="42" t="n"/>
      <c r="AX125" s="42" t="n"/>
      <c r="AY125" s="42" t="n"/>
      <c r="AZ125" s="42" t="n"/>
      <c r="BA125" s="42" t="n">
        <v>25.2</v>
      </c>
      <c r="BB125" s="42" t="n"/>
      <c r="BC125" s="42" t="n">
        <v>40.4</v>
      </c>
      <c r="BD125" s="42" t="n">
        <v>12.3</v>
      </c>
      <c r="BE125" s="42" t="n"/>
      <c r="BF125" s="42" t="n"/>
      <c r="BG125" s="42" t="n"/>
      <c r="BH125" s="42" t="n"/>
      <c r="BI125" s="42" t="n"/>
      <c r="BJ125" s="42" t="n"/>
      <c r="BK125" s="39" t="inlineStr">
        <is>
          <t>Alphabet Incorporated - Class A | Tesla Incorporated | Taiwan Semiconductor Manufacturing Company Limited | Meta Platforms Incorporated | Alibaba Group Holding Limited - W</t>
        </is>
      </c>
      <c r="BL125" s="42" t="n">
        <v>11.2</v>
      </c>
      <c r="BM125" s="38" t="inlineStr">
        <is>
          <t>High</t>
        </is>
      </c>
      <c r="BN125" s="39" t="inlineStr">
        <is>
          <t>Equity Global Global</t>
        </is>
      </c>
      <c r="BO125"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P125" s="44" t="n">
        <v>0.3755</v>
      </c>
      <c r="BQ125" s="38" t="inlineStr">
        <is>
          <t>2025-11-03</t>
        </is>
      </c>
      <c r="BR125" s="44" t="n">
        <v>0.32</v>
      </c>
      <c r="BS125" s="43" t="n">
        <v>-14.78</v>
      </c>
      <c r="BT125" s="40" t="n">
        <v>154</v>
      </c>
    </row>
    <row r="126" ht="16" customHeight="1">
      <c r="A126" s="45" t="inlineStr">
        <is>
          <t>PUBLIC e-AVANTGARDE FOCUS FUND</t>
        </is>
      </c>
      <c r="B126" s="45" t="inlineStr">
        <is>
          <t>PeAGFF</t>
        </is>
      </c>
      <c r="C126" s="45" t="inlineStr">
        <is>
          <t>Conventional</t>
        </is>
      </c>
      <c r="D126" s="45" t="inlineStr">
        <is>
          <t>Equity</t>
        </is>
      </c>
      <c r="E126" s="45" t="inlineStr">
        <is>
          <t>United States</t>
        </is>
      </c>
      <c r="F126" s="46" t="inlineStr">
        <is>
          <t>Capital Growth</t>
        </is>
      </c>
      <c r="G126" s="47" t="n">
        <v>5</v>
      </c>
      <c r="H126" s="46" t="inlineStr">
        <is>
          <t>Incidental</t>
        </is>
      </c>
      <c r="I126" s="48" t="n">
        <v>88.75</v>
      </c>
      <c r="J126" s="45" t="inlineStr">
        <is>
          <t>27.09.2022</t>
        </is>
      </c>
      <c r="K126" s="45" t="inlineStr">
        <is>
          <t>Disqualified</t>
        </is>
      </c>
      <c r="L126" s="49" t="n">
        <v>33.3</v>
      </c>
      <c r="M126" s="45" t="inlineStr">
        <is>
          <t>1/3</t>
        </is>
      </c>
      <c r="N126" s="50" t="n">
        <v>0.21</v>
      </c>
      <c r="O126" s="50" t="n">
        <v>3.62</v>
      </c>
      <c r="P126" s="50" t="n">
        <v>-3.41</v>
      </c>
      <c r="Q126" s="50" t="n">
        <v>5.16</v>
      </c>
      <c r="R126" s="50" t="n">
        <v>12.9</v>
      </c>
      <c r="S126" s="50" t="n">
        <v>-7.74</v>
      </c>
      <c r="T126" s="50" t="n">
        <v>9.640000000000001</v>
      </c>
      <c r="U126" s="50" t="n">
        <v>8.140000000000001</v>
      </c>
      <c r="V126" s="50" t="n">
        <v>1.5</v>
      </c>
      <c r="W126" s="50" t="n"/>
      <c r="X126" s="50" t="n"/>
      <c r="Y126" s="50" t="n"/>
      <c r="Z126" s="50" t="n"/>
      <c r="AA126" s="50" t="n"/>
      <c r="AB126" s="50" t="n"/>
      <c r="AC126" s="50">
        <f>IF(OR(P126="",BL126="",BL126=0),"",P126/BL126)</f>
        <v/>
      </c>
      <c r="AD126" s="50">
        <f>IF(OR(S126="",BL126="",BL126=0),"",S126/BL126)</f>
        <v/>
      </c>
      <c r="AE126" s="50">
        <f>IF(OR(V126="",BL126="",BL126=0),"",V126/BL126)</f>
        <v/>
      </c>
      <c r="AF126" s="50">
        <f>IF(OR(Y126="",BL126="",BL126=0),"",Y126/BL126)</f>
        <v/>
      </c>
      <c r="AG126" s="50">
        <f>IF(OR(AB126="",BL126="",BL126=0),"",AB126/BL126)</f>
        <v/>
      </c>
      <c r="AH126" s="49" t="n">
        <v>61.4</v>
      </c>
      <c r="AI126" s="49" t="n">
        <v>26.8</v>
      </c>
      <c r="AJ126" s="49" t="n"/>
      <c r="AK126" s="49" t="n">
        <v>11.8</v>
      </c>
      <c r="AL126" s="49" t="n"/>
      <c r="AM126" s="49" t="n"/>
      <c r="AN126" s="49" t="n">
        <v>12.5</v>
      </c>
      <c r="AO126" s="49" t="n">
        <v>4</v>
      </c>
      <c r="AP126" s="49" t="n">
        <v>6.1</v>
      </c>
      <c r="AQ126" s="49" t="n"/>
      <c r="AR126" s="49" t="n"/>
      <c r="AS126" s="49" t="n"/>
      <c r="AT126" s="49" t="n">
        <v>4.2</v>
      </c>
      <c r="AU126" s="49" t="n"/>
      <c r="AV126" s="49" t="n"/>
      <c r="AW126" s="49" t="n"/>
      <c r="AX126" s="49" t="n"/>
      <c r="AY126" s="49" t="n"/>
      <c r="AZ126" s="49" t="n">
        <v>24.4</v>
      </c>
      <c r="BA126" s="49" t="n">
        <v>10.1</v>
      </c>
      <c r="BB126" s="49" t="n">
        <v>25.2</v>
      </c>
      <c r="BC126" s="49" t="n">
        <v>16.6</v>
      </c>
      <c r="BD126" s="49" t="n"/>
      <c r="BE126" s="49" t="n">
        <v>7.4</v>
      </c>
      <c r="BF126" s="49" t="n"/>
      <c r="BG126" s="49" t="n"/>
      <c r="BH126" s="49" t="n"/>
      <c r="BI126" s="49" t="n"/>
      <c r="BJ126" s="49" t="n"/>
      <c r="BK126" s="46" t="inlineStr">
        <is>
          <t>Public Bank Berhad | Gamuda Berhad | Frontken Corporation Berhad | Malayan Cement Berhad | Sunway Berhad</t>
        </is>
      </c>
      <c r="BL126" s="49" t="n">
        <v>8.800000000000001</v>
      </c>
      <c r="BM126" s="45" t="inlineStr">
        <is>
          <t>Moderate</t>
        </is>
      </c>
      <c r="BN126" s="46" t="inlineStr">
        <is>
          <t>Equity Malaysia Domestic</t>
        </is>
      </c>
      <c r="BO126" s="46"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P126" s="51" t="n">
        <v>0.3506</v>
      </c>
      <c r="BQ126" s="45" t="inlineStr">
        <is>
          <t>2025-10-09</t>
        </is>
      </c>
      <c r="BR126" s="51" t="n">
        <v>0.3093</v>
      </c>
      <c r="BS126" s="50" t="n">
        <v>-11.78</v>
      </c>
      <c r="BT126" s="47" t="n">
        <v>179</v>
      </c>
    </row>
    <row r="127" ht="16" customHeight="1">
      <c r="A127" s="53" t="inlineStr">
        <is>
          <t>PUBLIC e-ISLAMIC INNOVATIVE TECHNOLOGY FUND</t>
        </is>
      </c>
      <c r="B127" s="53" t="inlineStr">
        <is>
          <t>PeISITF</t>
        </is>
      </c>
      <c r="C127" s="53" t="inlineStr">
        <is>
          <t>Shariah</t>
        </is>
      </c>
      <c r="D127" s="53" t="inlineStr">
        <is>
          <t>Equity</t>
        </is>
      </c>
      <c r="E127" s="53" t="inlineStr">
        <is>
          <t>Malaysia</t>
        </is>
      </c>
      <c r="F127" s="39" t="inlineStr">
        <is>
          <t>Capital Growth</t>
        </is>
      </c>
      <c r="G127" s="40" t="n">
        <v>5</v>
      </c>
      <c r="H127" s="39" t="inlineStr">
        <is>
          <t>Incidental</t>
        </is>
      </c>
      <c r="I127" s="41" t="n">
        <v>582.67</v>
      </c>
      <c r="J127" s="38" t="inlineStr">
        <is>
          <t>25.05.2021</t>
        </is>
      </c>
      <c r="K127" s="38" t="inlineStr">
        <is>
          <t>Disqualified</t>
        </is>
      </c>
      <c r="L127" s="42" t="n">
        <v>33.3</v>
      </c>
      <c r="M127" s="38" t="inlineStr">
        <is>
          <t>1/3</t>
        </is>
      </c>
      <c r="N127" s="43" t="n">
        <v>2.34</v>
      </c>
      <c r="O127" s="43" t="n">
        <v>2.69</v>
      </c>
      <c r="P127" s="43" t="n">
        <v>-0.35</v>
      </c>
      <c r="Q127" s="43" t="n">
        <v>26.19</v>
      </c>
      <c r="R127" s="43" t="n">
        <v>22.51</v>
      </c>
      <c r="S127" s="43" t="n">
        <v>3.68</v>
      </c>
      <c r="T127" s="43" t="n">
        <v>23.3</v>
      </c>
      <c r="U127" s="43" t="n">
        <v>27.13</v>
      </c>
      <c r="V127" s="43" t="n">
        <v>-3.83</v>
      </c>
      <c r="W127" s="43" t="n"/>
      <c r="X127" s="43" t="n"/>
      <c r="Y127" s="43" t="n"/>
      <c r="Z127" s="43" t="n"/>
      <c r="AA127" s="43" t="n"/>
      <c r="AB127" s="43" t="n"/>
      <c r="AC127" s="43">
        <f>IF(OR(P127="",BL127="",BL127=0),"",P127/BL127)</f>
        <v/>
      </c>
      <c r="AD127" s="43">
        <f>IF(OR(S127="",BL127="",BL127=0),"",S127/BL127)</f>
        <v/>
      </c>
      <c r="AE127" s="43">
        <f>IF(OR(V127="",BL127="",BL127=0),"",V127/BL127)</f>
        <v/>
      </c>
      <c r="AF127" s="43">
        <f>IF(OR(Y127="",BL127="",BL127=0),"",Y127/BL127)</f>
        <v/>
      </c>
      <c r="AG127" s="43">
        <f>IF(OR(AB127="",BL127="",BL127=0),"",AB127/BL127)</f>
        <v/>
      </c>
      <c r="AH127" s="42" t="n"/>
      <c r="AI127" s="42" t="n">
        <v>85.09999999999999</v>
      </c>
      <c r="AJ127" s="42" t="n"/>
      <c r="AK127" s="42" t="n">
        <v>14.9</v>
      </c>
      <c r="AL127" s="42" t="n"/>
      <c r="AM127" s="42" t="n"/>
      <c r="AN127" s="42" t="n">
        <v>46.2</v>
      </c>
      <c r="AO127" s="42" t="n">
        <v>13.6</v>
      </c>
      <c r="AP127" s="42" t="n">
        <v>11.3</v>
      </c>
      <c r="AQ127" s="42" t="n"/>
      <c r="AR127" s="42" t="n"/>
      <c r="AS127" s="42" t="n"/>
      <c r="AT127" s="42" t="n">
        <v>5.8</v>
      </c>
      <c r="AU127" s="42" t="n"/>
      <c r="AV127" s="42" t="n">
        <v>5.5</v>
      </c>
      <c r="AW127" s="42" t="n"/>
      <c r="AX127" s="42" t="n"/>
      <c r="AY127" s="42" t="n"/>
      <c r="AZ127" s="42" t="n"/>
      <c r="BA127" s="42" t="n">
        <v>60.2</v>
      </c>
      <c r="BB127" s="42" t="n"/>
      <c r="BC127" s="42" t="n">
        <v>22</v>
      </c>
      <c r="BD127" s="42" t="n">
        <v>2.9</v>
      </c>
      <c r="BE127" s="42" t="n"/>
      <c r="BF127" s="42" t="n"/>
      <c r="BG127" s="42" t="n"/>
      <c r="BH127" s="42" t="n"/>
      <c r="BI127" s="42" t="n"/>
      <c r="BJ127" s="42" t="n"/>
      <c r="BK127" s="39" t="inlineStr">
        <is>
          <t>Taiwan Semiconductor Manufacturing Company Limited | Alphabet Incorporated - Class A | Broadcom Incorporated | Microsoft Corporation | Apple Incorporated</t>
        </is>
      </c>
      <c r="BL127" s="42" t="n">
        <v>17.1</v>
      </c>
      <c r="BM127" s="38" t="inlineStr">
        <is>
          <t>Very High</t>
        </is>
      </c>
      <c r="BN127" s="39" t="inlineStr">
        <is>
          <t>Equity Sector Global</t>
        </is>
      </c>
      <c r="BO127" s="39"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P127" s="44" t="n">
        <v>0.4265</v>
      </c>
      <c r="BQ127" s="38" t="inlineStr">
        <is>
          <t>2025-10-29</t>
        </is>
      </c>
      <c r="BR127" s="44" t="n">
        <v>0.3863</v>
      </c>
      <c r="BS127" s="43" t="n">
        <v>-9.43</v>
      </c>
      <c r="BT127" s="40" t="n">
        <v>159</v>
      </c>
    </row>
    <row r="128" ht="16" customHeight="1">
      <c r="A128" s="45" t="inlineStr">
        <is>
          <t>PB U.S. EAGLE FUND</t>
        </is>
      </c>
      <c r="B128" s="45" t="inlineStr">
        <is>
          <t>PBUSEF</t>
        </is>
      </c>
      <c r="C128" s="45" t="inlineStr">
        <is>
          <t>Conventional</t>
        </is>
      </c>
      <c r="D128" s="45" t="inlineStr">
        <is>
          <t>Equity</t>
        </is>
      </c>
      <c r="E128" s="45" t="inlineStr">
        <is>
          <t>United States</t>
        </is>
      </c>
      <c r="F128" s="46" t="inlineStr">
        <is>
          <t>Capital Growth</t>
        </is>
      </c>
      <c r="G128" s="47" t="n">
        <v>5</v>
      </c>
      <c r="H128" s="46" t="inlineStr">
        <is>
          <t>Incidental</t>
        </is>
      </c>
      <c r="I128" s="48" t="n">
        <v>174.2</v>
      </c>
      <c r="J128" s="45" t="inlineStr">
        <is>
          <t>05.01.2021</t>
        </is>
      </c>
      <c r="K128" s="45" t="inlineStr">
        <is>
          <t>Disqualified</t>
        </is>
      </c>
      <c r="L128" s="49" t="n">
        <v>25</v>
      </c>
      <c r="M128" s="45" t="inlineStr">
        <is>
          <t>1/4</t>
        </is>
      </c>
      <c r="N128" s="50" t="n">
        <v>-8.220000000000001</v>
      </c>
      <c r="O128" s="50" t="n">
        <v>-2</v>
      </c>
      <c r="P128" s="50" t="n">
        <v>-6.22</v>
      </c>
      <c r="Q128" s="50" t="n">
        <v>-5.68</v>
      </c>
      <c r="R128" s="50" t="n">
        <v>-1.87</v>
      </c>
      <c r="S128" s="50" t="n">
        <v>-3.81</v>
      </c>
      <c r="T128" s="50" t="n">
        <v>11.4</v>
      </c>
      <c r="U128" s="50" t="n">
        <v>8.68</v>
      </c>
      <c r="V128" s="50" t="n">
        <v>2.72</v>
      </c>
      <c r="W128" s="50" t="n">
        <v>5.2</v>
      </c>
      <c r="X128" s="50" t="n">
        <v>8.289999999999999</v>
      </c>
      <c r="Y128" s="50" t="n">
        <v>-3.09</v>
      </c>
      <c r="Z128" s="50" t="n"/>
      <c r="AA128" s="50" t="n"/>
      <c r="AB128" s="50" t="n"/>
      <c r="AC128" s="50">
        <f>IF(OR(P128="",BL128="",BL128=0),"",P128/BL128)</f>
        <v/>
      </c>
      <c r="AD128" s="50">
        <f>IF(OR(S128="",BL128="",BL128=0),"",S128/BL128)</f>
        <v/>
      </c>
      <c r="AE128" s="50">
        <f>IF(OR(V128="",BL128="",BL128=0),"",V128/BL128)</f>
        <v/>
      </c>
      <c r="AF128" s="50">
        <f>IF(OR(Y128="",BL128="",BL128=0),"",Y128/BL128)</f>
        <v/>
      </c>
      <c r="AG128" s="50">
        <f>IF(OR(AB128="",BL128="",BL128=0),"",AB128/BL128)</f>
        <v/>
      </c>
      <c r="AH128" s="49" t="n"/>
      <c r="AI128" s="49" t="n">
        <v>94.5</v>
      </c>
      <c r="AJ128" s="49" t="n"/>
      <c r="AK128" s="49" t="n">
        <v>5.5</v>
      </c>
      <c r="AL128" s="49" t="n"/>
      <c r="AM128" s="49" t="n"/>
      <c r="AN128" s="49" t="n">
        <v>75.40000000000001</v>
      </c>
      <c r="AO128" s="49" t="n">
        <v>3.5</v>
      </c>
      <c r="AP128" s="49" t="n">
        <v>8.6</v>
      </c>
      <c r="AQ128" s="49" t="n"/>
      <c r="AR128" s="49" t="n"/>
      <c r="AS128" s="49" t="n"/>
      <c r="AT128" s="49" t="n">
        <v>7</v>
      </c>
      <c r="AU128" s="49" t="n"/>
      <c r="AV128" s="49" t="n"/>
      <c r="AW128" s="49" t="n"/>
      <c r="AX128" s="49" t="n"/>
      <c r="AY128" s="49" t="n"/>
      <c r="AZ128" s="49" t="n">
        <v>9.6</v>
      </c>
      <c r="BA128" s="49" t="n">
        <v>32.6</v>
      </c>
      <c r="BB128" s="49" t="n">
        <v>9.1</v>
      </c>
      <c r="BC128" s="49" t="n">
        <v>21.9</v>
      </c>
      <c r="BD128" s="49" t="n">
        <v>13.6</v>
      </c>
      <c r="BE128" s="49" t="n"/>
      <c r="BF128" s="49" t="n"/>
      <c r="BG128" s="49" t="n"/>
      <c r="BH128" s="49" t="n"/>
      <c r="BI128" s="49" t="n"/>
      <c r="BJ128" s="49" t="n"/>
      <c r="BK128" s="46" t="inlineStr">
        <is>
          <t>Goldman Sachs Group Incorporated | Alphabet Incorporated - Class A | The Coca-Cola Company | Costco Wholesale Corporation | NVIDIA Corporation</t>
        </is>
      </c>
      <c r="BL128" s="49" t="n">
        <v>15.3</v>
      </c>
      <c r="BM128" s="45" t="inlineStr">
        <is>
          <t>Very High</t>
        </is>
      </c>
      <c r="BN128" s="46" t="inlineStr">
        <is>
          <t>Equity U.S. Global</t>
        </is>
      </c>
      <c r="BO128" s="46" t="inlineStr">
        <is>
          <t>ThebenchmarkforPBUSEFisacompositeof90%DowJonesIndustrialAverage and 10% 3-Month Kuala Lumpur Interbank Offered Rate (KLIBOR). Underlying index data are sourced from Lipper and Bank Negara Malaysia and expressed in Ringgit terms.</t>
        </is>
      </c>
      <c r="BP128" s="51" t="n">
        <v>0.3898</v>
      </c>
      <c r="BQ128" s="45" t="inlineStr">
        <is>
          <t>2025-11-03</t>
        </is>
      </c>
      <c r="BR128" s="51" t="n">
        <v>0.3071</v>
      </c>
      <c r="BS128" s="50" t="n">
        <v>-21.22</v>
      </c>
      <c r="BT128" s="47" t="n">
        <v>154</v>
      </c>
    </row>
    <row r="129" ht="16" customHeight="1">
      <c r="A129" s="38" t="inlineStr">
        <is>
          <t>PUBLIC U.S. EQUITY FUND</t>
        </is>
      </c>
      <c r="B129" s="38" t="inlineStr">
        <is>
          <t>PUSEQF</t>
        </is>
      </c>
      <c r="C129" s="38" t="inlineStr">
        <is>
          <t>Conventional</t>
        </is>
      </c>
      <c r="D129" s="38" t="inlineStr">
        <is>
          <t>Equity</t>
        </is>
      </c>
      <c r="E129" s="38" t="inlineStr">
        <is>
          <t>United States</t>
        </is>
      </c>
      <c r="F129" s="39" t="inlineStr">
        <is>
          <t>Capital Growth</t>
        </is>
      </c>
      <c r="G129" s="40" t="n">
        <v>5</v>
      </c>
      <c r="H129" s="39" t="inlineStr">
        <is>
          <t>Incidental</t>
        </is>
      </c>
      <c r="I129" s="41" t="n">
        <v>145.61</v>
      </c>
      <c r="J129" s="38" t="inlineStr">
        <is>
          <t>13.11.2018</t>
        </is>
      </c>
      <c r="K129" s="38" t="inlineStr">
        <is>
          <t>Disqualified</t>
        </is>
      </c>
      <c r="L129" s="42" t="n">
        <v>25</v>
      </c>
      <c r="M129" s="38" t="inlineStr">
        <is>
          <t>1/4</t>
        </is>
      </c>
      <c r="N129" s="43" t="n">
        <v>-12.55</v>
      </c>
      <c r="O129" s="43" t="n">
        <v>-2</v>
      </c>
      <c r="P129" s="43" t="n">
        <v>-10.55</v>
      </c>
      <c r="Q129" s="43" t="n">
        <v>-8.050000000000001</v>
      </c>
      <c r="R129" s="43" t="n">
        <v>-1.87</v>
      </c>
      <c r="S129" s="43" t="n">
        <v>-6.18</v>
      </c>
      <c r="T129" s="43" t="n">
        <v>10.12</v>
      </c>
      <c r="U129" s="43" t="n">
        <v>8.68</v>
      </c>
      <c r="V129" s="43" t="n">
        <v>1.44</v>
      </c>
      <c r="W129" s="43" t="n">
        <v>2.56</v>
      </c>
      <c r="X129" s="43" t="n">
        <v>8.289999999999999</v>
      </c>
      <c r="Y129" s="43" t="n">
        <v>-5.73</v>
      </c>
      <c r="Z129" s="43" t="n"/>
      <c r="AA129" s="43" t="n"/>
      <c r="AB129" s="43" t="n"/>
      <c r="AC129" s="43">
        <f>IF(OR(P129="",BL129="",BL129=0),"",P129/BL129)</f>
        <v/>
      </c>
      <c r="AD129" s="43">
        <f>IF(OR(S129="",BL129="",BL129=0),"",S129/BL129)</f>
        <v/>
      </c>
      <c r="AE129" s="43">
        <f>IF(OR(V129="",BL129="",BL129=0),"",V129/BL129)</f>
        <v/>
      </c>
      <c r="AF129" s="43">
        <f>IF(OR(Y129="",BL129="",BL129=0),"",Y129/BL129)</f>
        <v/>
      </c>
      <c r="AG129" s="43">
        <f>IF(OR(AB129="",BL129="",BL129=0),"",AB129/BL129)</f>
        <v/>
      </c>
      <c r="AH129" s="42" t="n"/>
      <c r="AI129" s="42" t="n">
        <v>79.40000000000001</v>
      </c>
      <c r="AJ129" s="42" t="n"/>
      <c r="AK129" s="42" t="n">
        <v>20.6</v>
      </c>
      <c r="AL129" s="42" t="n"/>
      <c r="AM129" s="42" t="n"/>
      <c r="AN129" s="42" t="n">
        <v>61.6</v>
      </c>
      <c r="AO129" s="42" t="n"/>
      <c r="AP129" s="42" t="n">
        <v>6</v>
      </c>
      <c r="AQ129" s="42" t="n"/>
      <c r="AR129" s="42" t="n">
        <v>2.5</v>
      </c>
      <c r="AS129" s="42" t="n"/>
      <c r="AT129" s="42" t="n">
        <v>3.2</v>
      </c>
      <c r="AU129" s="42" t="n">
        <v>3.7</v>
      </c>
      <c r="AV129" s="42" t="n"/>
      <c r="AW129" s="42" t="n"/>
      <c r="AX129" s="42" t="n"/>
      <c r="AY129" s="42" t="n"/>
      <c r="AZ129" s="42" t="n">
        <v>13.4</v>
      </c>
      <c r="BA129" s="42" t="n">
        <v>14.9</v>
      </c>
      <c r="BB129" s="42" t="n"/>
      <c r="BC129" s="42" t="n">
        <v>26</v>
      </c>
      <c r="BD129" s="42" t="n">
        <v>16</v>
      </c>
      <c r="BE129" s="42" t="n">
        <v>4.7</v>
      </c>
      <c r="BF129" s="42" t="n"/>
      <c r="BG129" s="42" t="n"/>
      <c r="BH129" s="42" t="n"/>
      <c r="BI129" s="42" t="n"/>
      <c r="BJ129" s="42" t="n"/>
      <c r="BK129" s="39" t="inlineStr">
        <is>
          <t>Tesla Incorporated | Meta Platforms Incorporated | HD Hyundai Electric Company Limited | Alphabet Incorporated - Class A | NVIDIA Corporation</t>
        </is>
      </c>
      <c r="BL129" s="42" t="n">
        <v>15.8</v>
      </c>
      <c r="BM129" s="38" t="inlineStr">
        <is>
          <t>Very High</t>
        </is>
      </c>
      <c r="BN129" s="39" t="inlineStr">
        <is>
          <t>Global</t>
        </is>
      </c>
      <c r="BO129" s="39" t="inlineStr">
        <is>
          <t>ThebenchmarkforPUSEQFisacompositeof90%DowJonesIndustrialAverage and 10% 3-Month Kuala Lumpur Interbank Offered Rate (KLIBOR). Underlying index data are sourced from Lipper and Bank Negara Malaysia and expressed in Ringgit terms.</t>
        </is>
      </c>
      <c r="BP129" s="44" t="n">
        <v>0.5111</v>
      </c>
      <c r="BQ129" s="38" t="inlineStr">
        <is>
          <t>2025-11-03</t>
        </is>
      </c>
      <c r="BR129" s="44" t="n">
        <v>0.3738</v>
      </c>
      <c r="BS129" s="43" t="n">
        <v>-26.86</v>
      </c>
      <c r="BT129" s="40" t="n">
        <v>154</v>
      </c>
    </row>
    <row r="130" ht="16" customHeight="1">
      <c r="A130" s="45" t="inlineStr">
        <is>
          <t>PUBLIC e-ARTIFICIAL INTELLIGENCE TECHNOLOGY FUND</t>
        </is>
      </c>
      <c r="B130" s="45" t="inlineStr">
        <is>
          <t>PeAITF</t>
        </is>
      </c>
      <c r="C130" s="45" t="inlineStr">
        <is>
          <t>Conventional</t>
        </is>
      </c>
      <c r="D130" s="45" t="inlineStr">
        <is>
          <t>Equity</t>
        </is>
      </c>
      <c r="E130" s="45" t="inlineStr">
        <is>
          <t>Malaysia</t>
        </is>
      </c>
      <c r="F130" s="46" t="inlineStr">
        <is>
          <t>Capital Growth</t>
        </is>
      </c>
      <c r="G130" s="47" t="n">
        <v>5</v>
      </c>
      <c r="H130" s="46" t="inlineStr">
        <is>
          <t>Incidental</t>
        </is>
      </c>
      <c r="I130" s="48" t="n">
        <v>2089.57</v>
      </c>
      <c r="J130" s="45" t="inlineStr">
        <is>
          <t>18.08.2020</t>
        </is>
      </c>
      <c r="K130" s="45" t="inlineStr">
        <is>
          <t>Disqualified</t>
        </is>
      </c>
      <c r="L130" s="49" t="n">
        <v>25</v>
      </c>
      <c r="M130" s="45" t="inlineStr">
        <is>
          <t>1/4</t>
        </is>
      </c>
      <c r="N130" s="50" t="n">
        <v>-4.64</v>
      </c>
      <c r="O130" s="50" t="n">
        <v>-4.38</v>
      </c>
      <c r="P130" s="50" t="n">
        <v>-0.26</v>
      </c>
      <c r="Q130" s="50" t="n">
        <v>15.23</v>
      </c>
      <c r="R130" s="50" t="n">
        <v>11.81</v>
      </c>
      <c r="S130" s="50" t="n">
        <v>3.42</v>
      </c>
      <c r="T130" s="50" t="n">
        <v>24.48</v>
      </c>
      <c r="U130" s="50" t="n">
        <v>24.65</v>
      </c>
      <c r="V130" s="50" t="n">
        <v>-0.17</v>
      </c>
      <c r="W130" s="50" t="n">
        <v>8.960000000000001</v>
      </c>
      <c r="X130" s="50" t="n">
        <v>14.65</v>
      </c>
      <c r="Y130" s="50" t="n">
        <v>-5.69</v>
      </c>
      <c r="Z130" s="50" t="n"/>
      <c r="AA130" s="50" t="n"/>
      <c r="AB130" s="50" t="n"/>
      <c r="AC130" s="50">
        <f>IF(OR(P130="",BL130="",BL130=0),"",P130/BL130)</f>
        <v/>
      </c>
      <c r="AD130" s="50">
        <f>IF(OR(S130="",BL130="",BL130=0),"",S130/BL130)</f>
        <v/>
      </c>
      <c r="AE130" s="50">
        <f>IF(OR(V130="",BL130="",BL130=0),"",V130/BL130)</f>
        <v/>
      </c>
      <c r="AF130" s="50">
        <f>IF(OR(Y130="",BL130="",BL130=0),"",Y130/BL130)</f>
        <v/>
      </c>
      <c r="AG130" s="50">
        <f>IF(OR(AB130="",BL130="",BL130=0),"",AB130/BL130)</f>
        <v/>
      </c>
      <c r="AH130" s="49" t="n"/>
      <c r="AI130" s="49" t="n">
        <v>91.2</v>
      </c>
      <c r="AJ130" s="49" t="n"/>
      <c r="AK130" s="49" t="n">
        <v>8.800000000000001</v>
      </c>
      <c r="AL130" s="49" t="n"/>
      <c r="AM130" s="49" t="n"/>
      <c r="AN130" s="49" t="n">
        <v>61</v>
      </c>
      <c r="AO130" s="49" t="n">
        <v>6.6</v>
      </c>
      <c r="AP130" s="49" t="n">
        <v>8</v>
      </c>
      <c r="AQ130" s="49" t="n"/>
      <c r="AR130" s="49" t="n"/>
      <c r="AS130" s="49" t="n"/>
      <c r="AT130" s="49" t="n">
        <v>4.4</v>
      </c>
      <c r="AU130" s="49" t="n"/>
      <c r="AV130" s="49" t="n">
        <v>5.9</v>
      </c>
      <c r="AW130" s="49" t="n"/>
      <c r="AX130" s="49" t="n"/>
      <c r="AY130" s="49" t="n"/>
      <c r="AZ130" s="49" t="n">
        <v>3.4</v>
      </c>
      <c r="BA130" s="49" t="n">
        <v>55.3</v>
      </c>
      <c r="BB130" s="49" t="n">
        <v>1.7</v>
      </c>
      <c r="BC130" s="49" t="n">
        <v>26.7</v>
      </c>
      <c r="BD130" s="49" t="n">
        <v>4.1</v>
      </c>
      <c r="BE130" s="49" t="n"/>
      <c r="BF130" s="49" t="n"/>
      <c r="BG130" s="49" t="n"/>
      <c r="BH130" s="49" t="n"/>
      <c r="BI130" s="49" t="n"/>
      <c r="BJ130" s="49" t="n"/>
      <c r="BK130" s="46" t="inlineStr">
        <is>
          <t>Alphabet Incorporated - Class A | Meta Platforms Incorporated | NVIDIA Corporation | Advanced Micro Devices Incorporated | Broadcom Incorporated</t>
        </is>
      </c>
      <c r="BL130" s="49" t="n">
        <v>22</v>
      </c>
      <c r="BM130" s="45" t="inlineStr">
        <is>
          <t>Very High</t>
        </is>
      </c>
      <c r="BN130" s="46" t="inlineStr">
        <is>
          <t>Equity Sector Global</t>
        </is>
      </c>
      <c r="BO130" s="46"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P130" s="51" t="n">
        <v>0.507</v>
      </c>
      <c r="BQ130" s="45" t="inlineStr">
        <is>
          <t>2025-10-29</t>
        </is>
      </c>
      <c r="BR130" s="51" t="n">
        <v>0.4106</v>
      </c>
      <c r="BS130" s="50" t="n">
        <v>-19.01</v>
      </c>
      <c r="BT130" s="47" t="n">
        <v>159</v>
      </c>
    </row>
    <row r="131" ht="16" customHeight="1">
      <c r="A131" s="38" t="inlineStr">
        <is>
          <t>PB GLOBAL OPPORTUNITIES FUND</t>
        </is>
      </c>
      <c r="B131" s="38" t="inlineStr">
        <is>
          <t>PBGOPF</t>
        </is>
      </c>
      <c r="C131" s="38" t="inlineStr">
        <is>
          <t>Conventional</t>
        </is>
      </c>
      <c r="D131" s="38" t="inlineStr">
        <is>
          <t>Equity</t>
        </is>
      </c>
      <c r="E131" s="38" t="inlineStr">
        <is>
          <t>Global</t>
        </is>
      </c>
      <c r="F131" s="39" t="inlineStr">
        <is>
          <t>Capital Growth</t>
        </is>
      </c>
      <c r="G131" s="40" t="n">
        <v>5</v>
      </c>
      <c r="H131" s="39" t="inlineStr">
        <is>
          <t>Incidental</t>
        </is>
      </c>
      <c r="I131" s="41" t="n">
        <v>45.64</v>
      </c>
      <c r="J131" s="38" t="inlineStr">
        <is>
          <t>22.08.2019</t>
        </is>
      </c>
      <c r="K131" s="38" t="inlineStr">
        <is>
          <t>Disqualified</t>
        </is>
      </c>
      <c r="L131" s="42" t="n">
        <v>25</v>
      </c>
      <c r="M131" s="38" t="inlineStr">
        <is>
          <t>1/4</t>
        </is>
      </c>
      <c r="N131" s="43" t="n">
        <v>-1.16</v>
      </c>
      <c r="O131" s="43" t="n">
        <v>3.15</v>
      </c>
      <c r="P131" s="43" t="n">
        <v>-4.31</v>
      </c>
      <c r="Q131" s="43" t="n">
        <v>7.95</v>
      </c>
      <c r="R131" s="43" t="n">
        <v>4.46</v>
      </c>
      <c r="S131" s="43" t="n">
        <v>3.49</v>
      </c>
      <c r="T131" s="43" t="n">
        <v>4.9</v>
      </c>
      <c r="U131" s="43" t="n">
        <v>5.62</v>
      </c>
      <c r="V131" s="43" t="n">
        <v>-0.72</v>
      </c>
      <c r="W131" s="43" t="n">
        <v>0.85</v>
      </c>
      <c r="X131" s="43" t="n">
        <v>5.14</v>
      </c>
      <c r="Y131" s="43" t="n">
        <v>-4.29</v>
      </c>
      <c r="Z131" s="43" t="n"/>
      <c r="AA131" s="43" t="n"/>
      <c r="AB131" s="43" t="n"/>
      <c r="AC131" s="43">
        <f>IF(OR(P131="",BL131="",BL131=0),"",P131/BL131)</f>
        <v/>
      </c>
      <c r="AD131" s="43">
        <f>IF(OR(S131="",BL131="",BL131=0),"",S131/BL131)</f>
        <v/>
      </c>
      <c r="AE131" s="43">
        <f>IF(OR(V131="",BL131="",BL131=0),"",V131/BL131)</f>
        <v/>
      </c>
      <c r="AF131" s="43">
        <f>IF(OR(Y131="",BL131="",BL131=0),"",Y131/BL131)</f>
        <v/>
      </c>
      <c r="AG131" s="43">
        <f>IF(OR(AB131="",BL131="",BL131=0),"",AB131/BL131)</f>
        <v/>
      </c>
      <c r="AH131" s="42" t="n">
        <v>10.4</v>
      </c>
      <c r="AI131" s="42" t="n">
        <v>81.8</v>
      </c>
      <c r="AJ131" s="42" t="n"/>
      <c r="AK131" s="42" t="n">
        <v>7.8</v>
      </c>
      <c r="AL131" s="42" t="n"/>
      <c r="AM131" s="42" t="n"/>
      <c r="AN131" s="42" t="n">
        <v>42</v>
      </c>
      <c r="AO131" s="42" t="n"/>
      <c r="AP131" s="42" t="n"/>
      <c r="AQ131" s="42" t="n">
        <v>5.8</v>
      </c>
      <c r="AR131" s="42" t="n"/>
      <c r="AS131" s="42" t="n">
        <v>25.4</v>
      </c>
      <c r="AT131" s="42" t="n"/>
      <c r="AU131" s="42" t="n">
        <v>5.8</v>
      </c>
      <c r="AV131" s="42" t="n"/>
      <c r="AW131" s="42" t="n"/>
      <c r="AX131" s="42" t="n"/>
      <c r="AY131" s="42" t="n">
        <v>1.4</v>
      </c>
      <c r="AZ131" s="42" t="n">
        <v>23.7</v>
      </c>
      <c r="BA131" s="42" t="n"/>
      <c r="BB131" s="42" t="n">
        <v>16.3</v>
      </c>
      <c r="BC131" s="42" t="n"/>
      <c r="BD131" s="42" t="n">
        <v>2.5</v>
      </c>
      <c r="BE131" s="42" t="n"/>
      <c r="BF131" s="42" t="n"/>
      <c r="BG131" s="42" t="n">
        <v>1.5</v>
      </c>
      <c r="BH131" s="42" t="n"/>
      <c r="BI131" s="42" t="n"/>
      <c r="BJ131" s="42" t="n">
        <v>46.9</v>
      </c>
      <c r="BK131" s="39" t="inlineStr">
        <is>
          <t>iShares STOXX Europe Small 200 UCITS ETF (DE) | iShares STOXX Europe Mid 200 UCITS ETF (DE) | HEICO Corporation | SoFi Technologies Incorporated | iShares Core S&amp;P Small-Cap ETF</t>
        </is>
      </c>
      <c r="BL131" s="42" t="n">
        <v>12</v>
      </c>
      <c r="BM131" s="38" t="inlineStr">
        <is>
          <t>High</t>
        </is>
      </c>
      <c r="BN131" s="39" t="inlineStr">
        <is>
          <t>Equity Global Small &amp; Global</t>
        </is>
      </c>
      <c r="BO131" s="39"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P131" s="44" t="n">
        <v>0.3574</v>
      </c>
      <c r="BQ131" s="38" t="inlineStr">
        <is>
          <t>2021-08-27</t>
        </is>
      </c>
      <c r="BR131" s="44" t="n">
        <v>0.3128</v>
      </c>
      <c r="BS131" s="43" t="n">
        <v>-12.48</v>
      </c>
      <c r="BT131" s="40" t="n">
        <v>1683</v>
      </c>
    </row>
    <row r="132" ht="16" customHeight="1">
      <c r="A132" s="45" t="inlineStr">
        <is>
          <t>PB ASEAN DIVIDEND SEQUEL FUND</t>
        </is>
      </c>
      <c r="B132" s="45" t="inlineStr">
        <is>
          <t>PBADSQF</t>
        </is>
      </c>
      <c r="C132" s="45" t="inlineStr">
        <is>
          <t>Conventional</t>
        </is>
      </c>
      <c r="D132" s="45" t="inlineStr">
        <is>
          <t>Equity</t>
        </is>
      </c>
      <c r="E132" s="45" t="inlineStr">
        <is>
          <t>ASEAN</t>
        </is>
      </c>
      <c r="F132" s="46" t="inlineStr">
        <is>
          <t>Income</t>
        </is>
      </c>
      <c r="G132" s="47" t="n">
        <v>5</v>
      </c>
      <c r="H132" s="46" t="inlineStr">
        <is>
          <t>Annual</t>
        </is>
      </c>
      <c r="I132" s="48" t="n">
        <v>318.4</v>
      </c>
      <c r="J132" s="45" t="inlineStr">
        <is>
          <t>18.08.2016</t>
        </is>
      </c>
      <c r="K132" s="45" t="inlineStr">
        <is>
          <t>Disqualified</t>
        </is>
      </c>
      <c r="L132" s="49" t="n">
        <v>25</v>
      </c>
      <c r="M132" s="45" t="inlineStr">
        <is>
          <t>1/4</t>
        </is>
      </c>
      <c r="N132" s="50" t="n">
        <v>9.050000000000001</v>
      </c>
      <c r="O132" s="50" t="n">
        <v>5.88</v>
      </c>
      <c r="P132" s="50" t="n">
        <v>3.17</v>
      </c>
      <c r="Q132" s="50" t="n">
        <v>10.85</v>
      </c>
      <c r="R132" s="50" t="n">
        <v>13.84</v>
      </c>
      <c r="S132" s="50" t="n">
        <v>-2.99</v>
      </c>
      <c r="T132" s="50" t="n">
        <v>3.19</v>
      </c>
      <c r="U132" s="50" t="n">
        <v>6.38</v>
      </c>
      <c r="V132" s="50" t="n">
        <v>-3.19</v>
      </c>
      <c r="W132" s="50" t="n">
        <v>2.87</v>
      </c>
      <c r="X132" s="50" t="n">
        <v>6.02</v>
      </c>
      <c r="Y132" s="50" t="n">
        <v>-3.15</v>
      </c>
      <c r="Z132" s="50" t="n"/>
      <c r="AA132" s="50" t="n"/>
      <c r="AB132" s="50" t="n"/>
      <c r="AC132" s="50">
        <f>IF(OR(P132="",BL132="",BL132=0),"",P132/BL132)</f>
        <v/>
      </c>
      <c r="AD132" s="50">
        <f>IF(OR(S132="",BL132="",BL132=0),"",S132/BL132)</f>
        <v/>
      </c>
      <c r="AE132" s="50">
        <f>IF(OR(V132="",BL132="",BL132=0),"",V132/BL132)</f>
        <v/>
      </c>
      <c r="AF132" s="50">
        <f>IF(OR(Y132="",BL132="",BL132=0),"",Y132/BL132)</f>
        <v/>
      </c>
      <c r="AG132" s="50">
        <f>IF(OR(AB132="",BL132="",BL132=0),"",AB132/BL132)</f>
        <v/>
      </c>
      <c r="AH132" s="49" t="n">
        <v>14.6</v>
      </c>
      <c r="AI132" s="49" t="n">
        <v>81.90000000000001</v>
      </c>
      <c r="AJ132" s="49" t="n"/>
      <c r="AK132" s="49" t="n">
        <v>3.5</v>
      </c>
      <c r="AL132" s="49" t="n"/>
      <c r="AM132" s="49" t="n"/>
      <c r="AN132" s="49" t="n"/>
      <c r="AO132" s="49" t="n">
        <v>6.3</v>
      </c>
      <c r="AP132" s="49" t="n"/>
      <c r="AQ132" s="49" t="n">
        <v>4</v>
      </c>
      <c r="AR132" s="49" t="n"/>
      <c r="AS132" s="49" t="n"/>
      <c r="AT132" s="49" t="n"/>
      <c r="AU132" s="49" t="n">
        <v>38.9</v>
      </c>
      <c r="AV132" s="49" t="n"/>
      <c r="AW132" s="49" t="n">
        <v>14.3</v>
      </c>
      <c r="AX132" s="49" t="n"/>
      <c r="AY132" s="49" t="n">
        <v>12.6</v>
      </c>
      <c r="AZ132" s="49" t="n">
        <v>27.6</v>
      </c>
      <c r="BA132" s="49" t="n">
        <v>6.3</v>
      </c>
      <c r="BB132" s="49" t="n">
        <v>54.2</v>
      </c>
      <c r="BC132" s="49" t="n">
        <v>2.8</v>
      </c>
      <c r="BD132" s="49" t="n">
        <v>3.6</v>
      </c>
      <c r="BE132" s="49" t="n"/>
      <c r="BF132" s="49" t="n"/>
      <c r="BG132" s="49" t="n"/>
      <c r="BH132" s="49" t="n"/>
      <c r="BI132" s="49" t="n"/>
      <c r="BJ132" s="49" t="n"/>
      <c r="BK132" s="46" t="inlineStr">
        <is>
          <t>Public Bank Berhad | DBS Group Holdings Limited | Oversea-Chinese Banking Corporation Limited | Delta Electronics (Thailand) Public Company Limited - Foreign | ASPEED Technology Incorporated</t>
        </is>
      </c>
      <c r="BL132" s="49" t="n">
        <v>7</v>
      </c>
      <c r="BM132" s="45" t="inlineStr">
        <is>
          <t>Low</t>
        </is>
      </c>
      <c r="BN132" s="46" t="inlineStr">
        <is>
          <t>Equity ASEAN ASEAN</t>
        </is>
      </c>
      <c r="BO132" s="46" t="inlineStr">
        <is>
          <t>ThebenchmarkforPBADSQFisacompositeof90%FTSE/ASEAN40Indexand 10% 3-Month Kuala Lumpur Interbank Offered Rate (KLIBOR). Underlying index data are sourced from Lipper and Bank Negara Malaysia and expressed in Ringgit terms.</t>
        </is>
      </c>
      <c r="BP132" s="51" t="n">
        <v>0.2865</v>
      </c>
      <c r="BQ132" s="45" t="inlineStr">
        <is>
          <t>2018-01-24</t>
        </is>
      </c>
      <c r="BR132" s="51" t="n">
        <v>0.2459</v>
      </c>
      <c r="BS132" s="50" t="n">
        <v>-14.17</v>
      </c>
      <c r="BT132" s="47" t="n">
        <v>2994</v>
      </c>
    </row>
    <row r="133" ht="16" customHeight="1">
      <c r="A133" s="38" t="inlineStr">
        <is>
          <t>PB ASIA EQUITY FUND</t>
        </is>
      </c>
      <c r="B133" s="38" t="inlineStr">
        <is>
          <t>PBAEF</t>
        </is>
      </c>
      <c r="C133" s="38" t="inlineStr">
        <is>
          <t>Conventional</t>
        </is>
      </c>
      <c r="D133" s="38" t="inlineStr">
        <is>
          <t>Equity</t>
        </is>
      </c>
      <c r="E133" s="38" t="inlineStr">
        <is>
          <t>Asia</t>
        </is>
      </c>
      <c r="F133" s="39" t="inlineStr">
        <is>
          <t>Capital Growth</t>
        </is>
      </c>
      <c r="G133" s="40" t="n">
        <v>5</v>
      </c>
      <c r="H133" s="39" t="inlineStr">
        <is>
          <t>Incidental</t>
        </is>
      </c>
      <c r="I133" s="41" t="n">
        <v>165.06</v>
      </c>
      <c r="J133" s="38" t="inlineStr">
        <is>
          <t>27.06.2006</t>
        </is>
      </c>
      <c r="K133" s="38" t="inlineStr">
        <is>
          <t>Disqualified</t>
        </is>
      </c>
      <c r="L133" s="42" t="n">
        <v>20</v>
      </c>
      <c r="M133" s="38" t="inlineStr">
        <is>
          <t>1/5</t>
        </is>
      </c>
      <c r="N133" s="43" t="n">
        <v>15.05</v>
      </c>
      <c r="O133" s="43" t="n">
        <v>13.07</v>
      </c>
      <c r="P133" s="43" t="n">
        <v>1.98</v>
      </c>
      <c r="Q133" s="43" t="n">
        <v>30.81</v>
      </c>
      <c r="R133" s="43" t="n">
        <v>33.47</v>
      </c>
      <c r="S133" s="43" t="n">
        <v>-2.66</v>
      </c>
      <c r="T133" s="43" t="n">
        <v>15.87</v>
      </c>
      <c r="U133" s="43" t="n">
        <v>16.1</v>
      </c>
      <c r="V133" s="43" t="n">
        <v>-0.23</v>
      </c>
      <c r="W133" s="43" t="n">
        <v>3.17</v>
      </c>
      <c r="X133" s="43" t="n">
        <v>4.85</v>
      </c>
      <c r="Y133" s="43" t="n">
        <v>-1.68</v>
      </c>
      <c r="Z133" s="43" t="n">
        <v>7.79</v>
      </c>
      <c r="AA133" s="43" t="n">
        <v>8.19</v>
      </c>
      <c r="AB133" s="43" t="n">
        <v>-0.4</v>
      </c>
      <c r="AC133" s="43">
        <f>IF(OR(P133="",BL133="",BL133=0),"",P133/BL133)</f>
        <v/>
      </c>
      <c r="AD133" s="43">
        <f>IF(OR(S133="",BL133="",BL133=0),"",S133/BL133)</f>
        <v/>
      </c>
      <c r="AE133" s="43">
        <f>IF(OR(V133="",BL133="",BL133=0),"",V133/BL133)</f>
        <v/>
      </c>
      <c r="AF133" s="43">
        <f>IF(OR(Y133="",BL133="",BL133=0),"",Y133/BL133)</f>
        <v/>
      </c>
      <c r="AG133" s="43">
        <f>IF(OR(AB133="",BL133="",BL133=0),"",AB133/BL133)</f>
        <v/>
      </c>
      <c r="AH133" s="42" t="n">
        <v>2.2</v>
      </c>
      <c r="AI133" s="42" t="n">
        <v>80.3</v>
      </c>
      <c r="AJ133" s="42" t="n"/>
      <c r="AK133" s="42" t="n">
        <v>17.5</v>
      </c>
      <c r="AL133" s="42" t="n"/>
      <c r="AM133" s="42" t="n"/>
      <c r="AN133" s="42" t="n">
        <v>4</v>
      </c>
      <c r="AO133" s="42" t="n">
        <v>19.3</v>
      </c>
      <c r="AP133" s="42" t="n">
        <v>33.6</v>
      </c>
      <c r="AQ133" s="42" t="n">
        <v>9.199999999999999</v>
      </c>
      <c r="AR133" s="42" t="n"/>
      <c r="AS133" s="42" t="n"/>
      <c r="AT133" s="42" t="n">
        <v>13</v>
      </c>
      <c r="AU133" s="42" t="n"/>
      <c r="AV133" s="42" t="n"/>
      <c r="AW133" s="42" t="n"/>
      <c r="AX133" s="42" t="n"/>
      <c r="AY133" s="42" t="n"/>
      <c r="AZ133" s="42" t="n">
        <v>22.1</v>
      </c>
      <c r="BA133" s="42" t="n">
        <v>36.9</v>
      </c>
      <c r="BB133" s="42" t="n">
        <v>4.2</v>
      </c>
      <c r="BC133" s="42" t="n">
        <v>14.9</v>
      </c>
      <c r="BD133" s="42" t="n">
        <v>4.4</v>
      </c>
      <c r="BE133" s="42" t="n"/>
      <c r="BF133" s="42" t="n"/>
      <c r="BG133" s="42" t="n"/>
      <c r="BH133" s="42" t="n"/>
      <c r="BI133" s="42" t="n"/>
      <c r="BJ133" s="42" t="n"/>
      <c r="BK133" s="39" t="inlineStr">
        <is>
          <t>Samsung Electronics Company Limited | Taiwan Semiconductor Manufacturing Company Limited | HD Hyundai Electric Company Limited | SK Hynix Incorporated | Hanwha Aerospace Company Limited</t>
        </is>
      </c>
      <c r="BL133" s="42" t="n">
        <v>14.6</v>
      </c>
      <c r="BM133" s="38" t="inlineStr">
        <is>
          <t>Very High</t>
        </is>
      </c>
      <c r="BN133" s="39" t="inlineStr">
        <is>
          <t>Equity Asia Pacific Asia</t>
        </is>
      </c>
      <c r="BO133" s="39"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PriceIndex(priorto30April2013), 2019 1.00 28.06.19 3.7 20%KOSPI50Index(30April2013to29April2017),20%MSCIKoreaLargeCap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P133" s="44" t="n">
        <v>0.4029</v>
      </c>
      <c r="BQ133" s="38" t="inlineStr">
        <is>
          <t>2026-02-26</t>
        </is>
      </c>
      <c r="BR133" s="44" t="n">
        <v>0.3676</v>
      </c>
      <c r="BS133" s="43" t="n">
        <v>-8.76</v>
      </c>
      <c r="BT133" s="40" t="n">
        <v>39</v>
      </c>
    </row>
    <row r="134" ht="16" customHeight="1">
      <c r="A134" s="45" t="inlineStr">
        <is>
          <t>PUBLIC FAR-EAST DIVIDEND FUND</t>
        </is>
      </c>
      <c r="B134" s="45" t="inlineStr">
        <is>
          <t>PFEDF</t>
        </is>
      </c>
      <c r="C134" s="45" t="inlineStr">
        <is>
          <t>Conventional</t>
        </is>
      </c>
      <c r="D134" s="45" t="inlineStr">
        <is>
          <t>Equity</t>
        </is>
      </c>
      <c r="E134" s="45" t="inlineStr">
        <is>
          <t>Asia Pacific</t>
        </is>
      </c>
      <c r="F134" s="46" t="inlineStr">
        <is>
          <t>Income</t>
        </is>
      </c>
      <c r="G134" s="47" t="n">
        <v>5</v>
      </c>
      <c r="H134" s="46" t="inlineStr">
        <is>
          <t>Annual</t>
        </is>
      </c>
      <c r="I134" s="48" t="n">
        <v>229.04</v>
      </c>
      <c r="J134" s="45" t="inlineStr">
        <is>
          <t>28.11.2006</t>
        </is>
      </c>
      <c r="K134" s="45" t="inlineStr">
        <is>
          <t>Disqualified</t>
        </is>
      </c>
      <c r="L134" s="49" t="n">
        <v>20</v>
      </c>
      <c r="M134" s="45" t="inlineStr">
        <is>
          <t>1/5</t>
        </is>
      </c>
      <c r="N134" s="50" t="n">
        <v>2.45</v>
      </c>
      <c r="O134" s="50" t="n">
        <v>12.95</v>
      </c>
      <c r="P134" s="50" t="n">
        <v>-10.5</v>
      </c>
      <c r="Q134" s="50" t="n">
        <v>9.32</v>
      </c>
      <c r="R134" s="50" t="n">
        <v>22.81</v>
      </c>
      <c r="S134" s="50" t="n">
        <v>-13.49</v>
      </c>
      <c r="T134" s="50" t="n">
        <v>12.44</v>
      </c>
      <c r="U134" s="50" t="n">
        <v>14.94</v>
      </c>
      <c r="V134" s="50" t="n">
        <v>-2.5</v>
      </c>
      <c r="W134" s="50" t="n">
        <v>7.02</v>
      </c>
      <c r="X134" s="50" t="n">
        <v>8.289999999999999</v>
      </c>
      <c r="Y134" s="50" t="n">
        <v>-1.27</v>
      </c>
      <c r="Z134" s="50" t="n">
        <v>7.6</v>
      </c>
      <c r="AA134" s="50" t="n">
        <v>6.65</v>
      </c>
      <c r="AB134" s="50" t="n">
        <v>0.95</v>
      </c>
      <c r="AC134" s="50">
        <f>IF(OR(P134="",BL134="",BL134=0),"",P134/BL134)</f>
        <v/>
      </c>
      <c r="AD134" s="50">
        <f>IF(OR(S134="",BL134="",BL134=0),"",S134/BL134)</f>
        <v/>
      </c>
      <c r="AE134" s="50">
        <f>IF(OR(V134="",BL134="",BL134=0),"",V134/BL134)</f>
        <v/>
      </c>
      <c r="AF134" s="50">
        <f>IF(OR(Y134="",BL134="",BL134=0),"",Y134/BL134)</f>
        <v/>
      </c>
      <c r="AG134" s="50">
        <f>IF(OR(AB134="",BL134="",BL134=0),"",AB134/BL134)</f>
        <v/>
      </c>
      <c r="AH134" s="49" t="n">
        <v>7.7</v>
      </c>
      <c r="AI134" s="49" t="n">
        <v>74.3</v>
      </c>
      <c r="AJ134" s="49" t="n"/>
      <c r="AK134" s="49" t="n">
        <v>18</v>
      </c>
      <c r="AL134" s="49" t="n"/>
      <c r="AM134" s="49" t="n"/>
      <c r="AN134" s="49" t="n"/>
      <c r="AO134" s="49" t="n">
        <v>32</v>
      </c>
      <c r="AP134" s="49" t="n">
        <v>1.2</v>
      </c>
      <c r="AQ134" s="49" t="n"/>
      <c r="AR134" s="49" t="n"/>
      <c r="AS134" s="49" t="n"/>
      <c r="AT134" s="49" t="n">
        <v>3.8</v>
      </c>
      <c r="AU134" s="49" t="n">
        <v>4.8</v>
      </c>
      <c r="AV134" s="49" t="n"/>
      <c r="AW134" s="49" t="n"/>
      <c r="AX134" s="49" t="n"/>
      <c r="AY134" s="49" t="n"/>
      <c r="AZ134" s="49" t="n">
        <v>4.1</v>
      </c>
      <c r="BA134" s="49" t="n">
        <v>27.9</v>
      </c>
      <c r="BB134" s="49" t="n">
        <v>28.3</v>
      </c>
      <c r="BC134" s="49" t="n">
        <v>19.9</v>
      </c>
      <c r="BD134" s="49" t="n">
        <v>1.8</v>
      </c>
      <c r="BE134" s="49" t="n"/>
      <c r="BF134" s="49" t="n"/>
      <c r="BG134" s="49" t="n"/>
      <c r="BH134" s="49" t="n"/>
      <c r="BI134" s="49" t="n"/>
      <c r="BJ134" s="49" t="n"/>
      <c r="BK134" s="46" t="inlineStr">
        <is>
          <t>Taiwan Semiconductor Manufacturing Company Limited | MediaTek Incorporated | China Construction Bank Corporation - H Shares | Oversea-Chinese Banking Corporation Limited | Quanta Computer Incorporated</t>
        </is>
      </c>
      <c r="BL134" s="49" t="n">
        <v>11.1</v>
      </c>
      <c r="BM134" s="45" t="inlineStr">
        <is>
          <t>High</t>
        </is>
      </c>
      <c r="BN134" s="46" t="inlineStr">
        <is>
          <t>Asia</t>
        </is>
      </c>
      <c r="BO134" s="46"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P134" s="51" t="n">
        <v>0.3823</v>
      </c>
      <c r="BQ134" s="45" t="inlineStr">
        <is>
          <t>2025-11-03</t>
        </is>
      </c>
      <c r="BR134" s="51" t="n">
        <v>0.3439</v>
      </c>
      <c r="BS134" s="50" t="n">
        <v>-10.04</v>
      </c>
      <c r="BT134" s="47" t="n">
        <v>154</v>
      </c>
    </row>
    <row r="135" ht="16" customHeight="1">
      <c r="A135" s="38" t="inlineStr">
        <is>
          <t>PUBLIC AUSTRALIA EQUITY FUND</t>
        </is>
      </c>
      <c r="B135" s="38" t="inlineStr">
        <is>
          <t>PAUEF</t>
        </is>
      </c>
      <c r="C135" s="38" t="inlineStr">
        <is>
          <t>Conventional</t>
        </is>
      </c>
      <c r="D135" s="38" t="inlineStr">
        <is>
          <t>Equity</t>
        </is>
      </c>
      <c r="E135" s="38" t="inlineStr">
        <is>
          <t>Australia</t>
        </is>
      </c>
      <c r="F135" s="39" t="inlineStr">
        <is>
          <t>Capital Growth</t>
        </is>
      </c>
      <c r="G135" s="40" t="n">
        <v>5</v>
      </c>
      <c r="H135" s="39" t="inlineStr">
        <is>
          <t>Incidental</t>
        </is>
      </c>
      <c r="I135" s="41" t="n">
        <v>285.48</v>
      </c>
      <c r="J135" s="38" t="inlineStr">
        <is>
          <t>08.09.2009</t>
        </is>
      </c>
      <c r="K135" s="38" t="inlineStr">
        <is>
          <t>Disqualified</t>
        </is>
      </c>
      <c r="L135" s="42" t="n">
        <v>20</v>
      </c>
      <c r="M135" s="38" t="inlineStr">
        <is>
          <t>1/5</t>
        </is>
      </c>
      <c r="N135" s="43" t="n">
        <v>8.789999999999999</v>
      </c>
      <c r="O135" s="43" t="n">
        <v>8.16</v>
      </c>
      <c r="P135" s="43" t="n">
        <v>0.63</v>
      </c>
      <c r="Q135" s="43" t="n">
        <v>10.36</v>
      </c>
      <c r="R135" s="43" t="n">
        <v>12.47</v>
      </c>
      <c r="S135" s="43" t="n">
        <v>-2.11</v>
      </c>
      <c r="T135" s="43" t="n">
        <v>2.52</v>
      </c>
      <c r="U135" s="43" t="n">
        <v>5.11</v>
      </c>
      <c r="V135" s="43" t="n">
        <v>-2.59</v>
      </c>
      <c r="W135" s="43" t="n">
        <v>3.54</v>
      </c>
      <c r="X135" s="43" t="n">
        <v>4.05</v>
      </c>
      <c r="Y135" s="43" t="n">
        <v>-0.51</v>
      </c>
      <c r="Z135" s="43" t="n">
        <v>5.32</v>
      </c>
      <c r="AA135" s="43" t="n">
        <v>5.69</v>
      </c>
      <c r="AB135" s="43" t="n">
        <v>-0.37</v>
      </c>
      <c r="AC135" s="43">
        <f>IF(OR(P135="",BL135="",BL135=0),"",P135/BL135)</f>
        <v/>
      </c>
      <c r="AD135" s="43">
        <f>IF(OR(S135="",BL135="",BL135=0),"",S135/BL135)</f>
        <v/>
      </c>
      <c r="AE135" s="43">
        <f>IF(OR(V135="",BL135="",BL135=0),"",V135/BL135)</f>
        <v/>
      </c>
      <c r="AF135" s="43">
        <f>IF(OR(Y135="",BL135="",BL135=0),"",Y135/BL135)</f>
        <v/>
      </c>
      <c r="AG135" s="43">
        <f>IF(OR(AB135="",BL135="",BL135=0),"",AB135/BL135)</f>
        <v/>
      </c>
      <c r="AH135" s="42" t="n"/>
      <c r="AI135" s="42" t="n">
        <v>87.09999999999999</v>
      </c>
      <c r="AJ135" s="42" t="n"/>
      <c r="AK135" s="42" t="n">
        <v>12.9</v>
      </c>
      <c r="AL135" s="42" t="n"/>
      <c r="AM135" s="42" t="n"/>
      <c r="AN135" s="42" t="n"/>
      <c r="AO135" s="42" t="n"/>
      <c r="AP135" s="42" t="n"/>
      <c r="AQ135" s="42" t="n"/>
      <c r="AR135" s="42" t="n"/>
      <c r="AS135" s="42" t="n"/>
      <c r="AT135" s="42" t="n"/>
      <c r="AU135" s="42" t="n"/>
      <c r="AV135" s="42" t="n">
        <v>2</v>
      </c>
      <c r="AW135" s="42" t="n"/>
      <c r="AX135" s="42" t="n">
        <v>85.09999999999999</v>
      </c>
      <c r="AY135" s="42" t="n"/>
      <c r="AZ135" s="42" t="n"/>
      <c r="BA135" s="42" t="n"/>
      <c r="BB135" s="42" t="n">
        <v>39.8</v>
      </c>
      <c r="BC135" s="42" t="n">
        <v>3.8</v>
      </c>
      <c r="BD135" s="42" t="n">
        <v>9.699999999999999</v>
      </c>
      <c r="BE135" s="42" t="n">
        <v>2.2</v>
      </c>
      <c r="BF135" s="42" t="n"/>
      <c r="BG135" s="42" t="n"/>
      <c r="BH135" s="42" t="n">
        <v>27.6</v>
      </c>
      <c r="BI135" s="42" t="n"/>
      <c r="BJ135" s="42" t="n"/>
      <c r="BK135" s="39" t="inlineStr">
        <is>
          <t>Commonwealth Bank of Australia | National Australia Bank Limited | BHP Group Limited | Lynas Rare Earths Limited | Rio Tinto Limited</t>
        </is>
      </c>
      <c r="BL135" s="42" t="n">
        <v>12.3</v>
      </c>
      <c r="BM135" s="38" t="inlineStr">
        <is>
          <t>High</t>
        </is>
      </c>
      <c r="BN135" s="39" t="inlineStr">
        <is>
          <t>Equity Australia Global</t>
        </is>
      </c>
      <c r="BO135" s="39" t="n"/>
      <c r="BP135" s="44" t="n">
        <v>0.316</v>
      </c>
      <c r="BQ135" s="38" t="inlineStr">
        <is>
          <t>2022-04-05</t>
        </is>
      </c>
      <c r="BR135" s="44" t="n">
        <v>0.274</v>
      </c>
      <c r="BS135" s="43" t="n">
        <v>-13.29</v>
      </c>
      <c r="BT135" s="40" t="n">
        <v>1462</v>
      </c>
    </row>
    <row r="136" ht="16" customHeight="1">
      <c r="A136" s="52" t="inlineStr">
        <is>
          <t>PUBLIC ISLAMIC REGIONAL ESG FUND</t>
        </is>
      </c>
      <c r="B136" s="52" t="inlineStr">
        <is>
          <t>PIRESGF</t>
        </is>
      </c>
      <c r="C136" s="52" t="inlineStr">
        <is>
          <t>Shariah</t>
        </is>
      </c>
      <c r="D136" s="52" t="inlineStr">
        <is>
          <t>Equity</t>
        </is>
      </c>
      <c r="E136" s="52" t="inlineStr">
        <is>
          <t>Malaysia</t>
        </is>
      </c>
      <c r="F136" s="46" t="inlineStr">
        <is>
          <t>Capital Growth</t>
        </is>
      </c>
      <c r="G136" s="47" t="n">
        <v>5</v>
      </c>
      <c r="H136" s="46" t="inlineStr">
        <is>
          <t>Incidental</t>
        </is>
      </c>
      <c r="I136" s="48" t="n">
        <v>194.19</v>
      </c>
      <c r="J136" s="45" t="inlineStr">
        <is>
          <t>07.11.2023</t>
        </is>
      </c>
      <c r="K136" s="45" t="inlineStr">
        <is>
          <t>Disqualified</t>
        </is>
      </c>
      <c r="L136" s="49" t="n">
        <v>0</v>
      </c>
      <c r="M136" s="45" t="inlineStr">
        <is>
          <t>0/2</t>
        </is>
      </c>
      <c r="N136" s="50" t="n">
        <v>19.19</v>
      </c>
      <c r="O136" s="50" t="n">
        <v>20.02</v>
      </c>
      <c r="P136" s="50" t="n">
        <v>-0.83</v>
      </c>
      <c r="Q136" s="50" t="n">
        <v>40.1</v>
      </c>
      <c r="R136" s="50" t="n">
        <v>40.79</v>
      </c>
      <c r="S136" s="50" t="n">
        <v>-0.6899999999999999</v>
      </c>
      <c r="T136" s="50" t="n"/>
      <c r="U136" s="50" t="n"/>
      <c r="V136" s="50" t="n"/>
      <c r="W136" s="50" t="n"/>
      <c r="X136" s="50" t="n"/>
      <c r="Y136" s="50" t="n"/>
      <c r="Z136" s="50" t="n"/>
      <c r="AA136" s="50" t="n"/>
      <c r="AB136" s="50" t="n"/>
      <c r="AC136" s="50">
        <f>IF(OR(P136="",BL136="",BL136=0),"",P136/BL136)</f>
        <v/>
      </c>
      <c r="AD136" s="50">
        <f>IF(OR(S136="",BL136="",BL136=0),"",S136/BL136)</f>
        <v/>
      </c>
      <c r="AE136" s="50">
        <f>IF(OR(V136="",BL136="",BL136=0),"",V136/BL136)</f>
        <v/>
      </c>
      <c r="AF136" s="50">
        <f>IF(OR(Y136="",BL136="",BL136=0),"",Y136/BL136)</f>
        <v/>
      </c>
      <c r="AG136" s="50">
        <f>IF(OR(AB136="",BL136="",BL136=0),"",AB136/BL136)</f>
        <v/>
      </c>
      <c r="AH136" s="49" t="n"/>
      <c r="AI136" s="49" t="n">
        <v>83.90000000000001</v>
      </c>
      <c r="AJ136" s="49" t="n"/>
      <c r="AK136" s="49" t="n">
        <v>16.1</v>
      </c>
      <c r="AL136" s="49" t="n"/>
      <c r="AM136" s="49" t="n"/>
      <c r="AN136" s="49" t="n">
        <v>7.9</v>
      </c>
      <c r="AO136" s="49" t="n">
        <v>23.6</v>
      </c>
      <c r="AP136" s="49" t="n">
        <v>29.7</v>
      </c>
      <c r="AQ136" s="49" t="n">
        <v>14.7</v>
      </c>
      <c r="AR136" s="49" t="n"/>
      <c r="AS136" s="49" t="n"/>
      <c r="AT136" s="49" t="n">
        <v>8</v>
      </c>
      <c r="AU136" s="49" t="n"/>
      <c r="AV136" s="49" t="n"/>
      <c r="AW136" s="49" t="n"/>
      <c r="AX136" s="49" t="n"/>
      <c r="AY136" s="49" t="n"/>
      <c r="AZ136" s="49" t="n">
        <v>23.4</v>
      </c>
      <c r="BA136" s="49" t="n">
        <v>38.1</v>
      </c>
      <c r="BB136" s="49" t="n"/>
      <c r="BC136" s="49" t="n">
        <v>19.1</v>
      </c>
      <c r="BD136" s="49" t="n">
        <v>3.3</v>
      </c>
      <c r="BE136" s="49" t="n"/>
      <c r="BF136" s="49" t="n"/>
      <c r="BG136" s="49" t="n"/>
      <c r="BH136" s="49" t="n"/>
      <c r="BI136" s="49" t="n"/>
      <c r="BJ136" s="49" t="n"/>
      <c r="BK136" s="46" t="inlineStr">
        <is>
          <t>Taiwan Semiconductor Manufacturing Company Limited | HD Hyundai Electric Company Limited | Samsung Electronics Company Limited | SK Hynix Incorporated | Alibaba Group Holding Limited - W</t>
        </is>
      </c>
      <c r="BL136" s="49" t="n"/>
      <c r="BM136" s="45" t="n"/>
      <c r="BN136" s="46" t="n"/>
      <c r="BO136" s="46"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P136" s="51" t="n">
        <v>0.4056</v>
      </c>
      <c r="BQ136" s="45" t="inlineStr">
        <is>
          <t>2026-02-26</t>
        </is>
      </c>
      <c r="BR136" s="51" t="n">
        <v>0.3635</v>
      </c>
      <c r="BS136" s="50" t="n">
        <v>-10.38</v>
      </c>
      <c r="BT136" s="47" t="n">
        <v>39</v>
      </c>
    </row>
    <row r="137" ht="16" customHeight="1">
      <c r="A137" s="38" t="inlineStr">
        <is>
          <t>PB SUSTAINABLE GROWTH FUND</t>
        </is>
      </c>
      <c r="B137" s="38" t="inlineStr">
        <is>
          <t>PBSTGRF</t>
        </is>
      </c>
      <c r="C137" s="38" t="inlineStr">
        <is>
          <t>Conventional</t>
        </is>
      </c>
      <c r="D137" s="38" t="inlineStr">
        <is>
          <t>Equity</t>
        </is>
      </c>
      <c r="E137" s="38" t="inlineStr">
        <is>
          <t>Malaysia</t>
        </is>
      </c>
      <c r="F137" s="39" t="inlineStr">
        <is>
          <t>Capital Growth</t>
        </is>
      </c>
      <c r="G137" s="40" t="n">
        <v>4</v>
      </c>
      <c r="H137" s="39" t="inlineStr">
        <is>
          <t>Incidental</t>
        </is>
      </c>
      <c r="I137" s="41" t="n">
        <v>307.96</v>
      </c>
      <c r="J137" s="38" t="inlineStr">
        <is>
          <t>05.09.2023</t>
        </is>
      </c>
      <c r="K137" s="38" t="inlineStr">
        <is>
          <t>Disqualified</t>
        </is>
      </c>
      <c r="L137" s="42" t="n">
        <v>0</v>
      </c>
      <c r="M137" s="38" t="inlineStr">
        <is>
          <t>0/2</t>
        </is>
      </c>
      <c r="N137" s="43" t="n">
        <v>2.27</v>
      </c>
      <c r="O137" s="43" t="n">
        <v>2.6</v>
      </c>
      <c r="P137" s="43" t="n">
        <v>-0.33</v>
      </c>
      <c r="Q137" s="43" t="n">
        <v>5.43</v>
      </c>
      <c r="R137" s="43" t="n">
        <v>7.18</v>
      </c>
      <c r="S137" s="43" t="n">
        <v>-1.75</v>
      </c>
      <c r="T137" s="43" t="n"/>
      <c r="U137" s="43" t="n"/>
      <c r="V137" s="43" t="n"/>
      <c r="W137" s="43" t="n"/>
      <c r="X137" s="43" t="n"/>
      <c r="Y137" s="43" t="n"/>
      <c r="Z137" s="43" t="n"/>
      <c r="AA137" s="43" t="n"/>
      <c r="AB137" s="43" t="n"/>
      <c r="AC137" s="43">
        <f>IF(OR(P137="",BL137="",BL137=0),"",P137/BL137)</f>
        <v/>
      </c>
      <c r="AD137" s="43">
        <f>IF(OR(S137="",BL137="",BL137=0),"",S137/BL137)</f>
        <v/>
      </c>
      <c r="AE137" s="43">
        <f>IF(OR(V137="",BL137="",BL137=0),"",V137/BL137)</f>
        <v/>
      </c>
      <c r="AF137" s="43">
        <f>IF(OR(Y137="",BL137="",BL137=0),"",Y137/BL137)</f>
        <v/>
      </c>
      <c r="AG137" s="43">
        <f>IF(OR(AB137="",BL137="",BL137=0),"",AB137/BL137)</f>
        <v/>
      </c>
      <c r="AH137" s="42" t="n">
        <v>69.2</v>
      </c>
      <c r="AI137" s="42" t="n">
        <v>25.7</v>
      </c>
      <c r="AJ137" s="42" t="n"/>
      <c r="AK137" s="42" t="n">
        <v>5.1</v>
      </c>
      <c r="AL137" s="42" t="n"/>
      <c r="AM137" s="42" t="n"/>
      <c r="AN137" s="42" t="n">
        <v>11.8</v>
      </c>
      <c r="AO137" s="42" t="n">
        <v>9.4</v>
      </c>
      <c r="AP137" s="42" t="n"/>
      <c r="AQ137" s="42" t="n"/>
      <c r="AR137" s="42" t="n"/>
      <c r="AS137" s="42" t="n"/>
      <c r="AT137" s="42" t="n">
        <v>4.5</v>
      </c>
      <c r="AU137" s="42" t="n"/>
      <c r="AV137" s="42" t="n"/>
      <c r="AW137" s="42" t="n"/>
      <c r="AX137" s="42" t="n"/>
      <c r="AY137" s="42" t="n"/>
      <c r="AZ137" s="42" t="n">
        <v>10.5</v>
      </c>
      <c r="BA137" s="42" t="n">
        <v>12.4</v>
      </c>
      <c r="BB137" s="42" t="n">
        <v>30.9</v>
      </c>
      <c r="BC137" s="42" t="n">
        <v>19</v>
      </c>
      <c r="BD137" s="42" t="n"/>
      <c r="BE137" s="42" t="n"/>
      <c r="BF137" s="42" t="n">
        <v>10.9</v>
      </c>
      <c r="BG137" s="42" t="n"/>
      <c r="BH137" s="42" t="n"/>
      <c r="BI137" s="42" t="n"/>
      <c r="BJ137" s="42" t="n"/>
      <c r="BK137" s="39" t="inlineStr">
        <is>
          <t>Tenaga Nasional Berhad | Public Bank Berhad | Malayan Banking Berhad | Taiwan Semiconductor Manufacturing Company Limited | Sunway Berhad</t>
        </is>
      </c>
      <c r="BL137" s="42" t="n"/>
      <c r="BM137" s="38" t="n"/>
      <c r="BN137" s="39" t="inlineStr">
        <is>
          <t>Equity Malaysia</t>
        </is>
      </c>
      <c r="BO137" s="39" t="inlineStr">
        <is>
          <t>Index data are sourced from Lipper.</t>
        </is>
      </c>
      <c r="BP137" s="44" t="n">
        <v>0.3036</v>
      </c>
      <c r="BQ137" s="38" t="inlineStr">
        <is>
          <t>2026-01-27</t>
        </is>
      </c>
      <c r="BR137" s="44" t="n">
        <v>0.2854</v>
      </c>
      <c r="BS137" s="43" t="n">
        <v>-5.99</v>
      </c>
      <c r="BT137" s="40" t="n">
        <v>69</v>
      </c>
    </row>
    <row r="138" ht="16" customHeight="1">
      <c r="A138" s="52" t="inlineStr">
        <is>
          <t>PUBLIC e-ISLAMIC PIONEER ENTREPRENEUR 40 FUND</t>
        </is>
      </c>
      <c r="B138" s="52" t="inlineStr">
        <is>
          <t>PeIPE40F</t>
        </is>
      </c>
      <c r="C138" s="52" t="inlineStr">
        <is>
          <t>Shariah</t>
        </is>
      </c>
      <c r="D138" s="52" t="inlineStr">
        <is>
          <t>Equity</t>
        </is>
      </c>
      <c r="E138" s="52" t="inlineStr">
        <is>
          <t>Malaysia</t>
        </is>
      </c>
      <c r="F138" s="46" t="inlineStr">
        <is>
          <t>Capital Growth</t>
        </is>
      </c>
      <c r="G138" s="47" t="n">
        <v>5</v>
      </c>
      <c r="H138" s="46" t="inlineStr">
        <is>
          <t>Incidental</t>
        </is>
      </c>
      <c r="I138" s="48" t="n">
        <v>584.3099999999999</v>
      </c>
      <c r="J138" s="45" t="inlineStr">
        <is>
          <t>21.04.2021</t>
        </is>
      </c>
      <c r="K138" s="45" t="inlineStr">
        <is>
          <t>Disqualified</t>
        </is>
      </c>
      <c r="L138" s="49" t="n">
        <v>0</v>
      </c>
      <c r="M138" s="45" t="inlineStr">
        <is>
          <t>0/3</t>
        </is>
      </c>
      <c r="N138" s="50" t="n">
        <v>-6.2</v>
      </c>
      <c r="O138" s="50" t="n">
        <v>3.75</v>
      </c>
      <c r="P138" s="50" t="n">
        <v>-9.949999999999999</v>
      </c>
      <c r="Q138" s="50" t="n">
        <v>0.17</v>
      </c>
      <c r="R138" s="50" t="n">
        <v>17.35</v>
      </c>
      <c r="S138" s="50" t="n">
        <v>-17.18</v>
      </c>
      <c r="T138" s="50" t="n">
        <v>16.63</v>
      </c>
      <c r="U138" s="50" t="n">
        <v>17.01</v>
      </c>
      <c r="V138" s="50" t="n">
        <v>-0.38</v>
      </c>
      <c r="W138" s="50" t="n"/>
      <c r="X138" s="50" t="n"/>
      <c r="Y138" s="50" t="n"/>
      <c r="Z138" s="50" t="n"/>
      <c r="AA138" s="50" t="n"/>
      <c r="AB138" s="50" t="n"/>
      <c r="AC138" s="50">
        <f>IF(OR(P138="",BL138="",BL138=0),"",P138/BL138)</f>
        <v/>
      </c>
      <c r="AD138" s="50">
        <f>IF(OR(S138="",BL138="",BL138=0),"",S138/BL138)</f>
        <v/>
      </c>
      <c r="AE138" s="50">
        <f>IF(OR(V138="",BL138="",BL138=0),"",V138/BL138)</f>
        <v/>
      </c>
      <c r="AF138" s="50">
        <f>IF(OR(Y138="",BL138="",BL138=0),"",Y138/BL138)</f>
        <v/>
      </c>
      <c r="AG138" s="50">
        <f>IF(OR(AB138="",BL138="",BL138=0),"",AB138/BL138)</f>
        <v/>
      </c>
      <c r="AH138" s="49" t="n"/>
      <c r="AI138" s="49" t="n">
        <v>81.09999999999999</v>
      </c>
      <c r="AJ138" s="49" t="n"/>
      <c r="AK138" s="49" t="n">
        <v>18.9</v>
      </c>
      <c r="AL138" s="49" t="n"/>
      <c r="AM138" s="49" t="n"/>
      <c r="AN138" s="49" t="n">
        <v>51.9</v>
      </c>
      <c r="AO138" s="49" t="n">
        <v>9.699999999999999</v>
      </c>
      <c r="AP138" s="49" t="n"/>
      <c r="AQ138" s="49" t="n">
        <v>2.3</v>
      </c>
      <c r="AR138" s="49" t="n"/>
      <c r="AS138" s="49" t="n"/>
      <c r="AT138" s="49" t="n">
        <v>10.5</v>
      </c>
      <c r="AU138" s="49" t="n">
        <v>3.1</v>
      </c>
      <c r="AV138" s="49" t="n"/>
      <c r="AW138" s="49" t="n"/>
      <c r="AX138" s="49" t="n"/>
      <c r="AY138" s="49" t="n"/>
      <c r="AZ138" s="49" t="n">
        <v>3</v>
      </c>
      <c r="BA138" s="49" t="n">
        <v>29.2</v>
      </c>
      <c r="BB138" s="49" t="n"/>
      <c r="BC138" s="49" t="n">
        <v>37.8</v>
      </c>
      <c r="BD138" s="49" t="n">
        <v>11.1</v>
      </c>
      <c r="BE138" s="49" t="n"/>
      <c r="BF138" s="49" t="n"/>
      <c r="BG138" s="49" t="n"/>
      <c r="BH138" s="49" t="n"/>
      <c r="BI138" s="49" t="n"/>
      <c r="BJ138" s="49" t="n"/>
      <c r="BK138" s="46" t="inlineStr">
        <is>
          <t>Alphabet Incorporated - Class A | Taiwan Semiconductor Manufacturing Company Limited | Tesla Incorporated | Alibaba Group Holding Limited - W | Meta Platforms Incorporated</t>
        </is>
      </c>
      <c r="BL138" s="49" t="n">
        <v>17.9</v>
      </c>
      <c r="BM138" s="45" t="inlineStr">
        <is>
          <t>Very High</t>
        </is>
      </c>
      <c r="BN138" s="46" t="inlineStr">
        <is>
          <t>Equity Global Global</t>
        </is>
      </c>
      <c r="BO138"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P138" s="51" t="n">
        <v>0.359</v>
      </c>
      <c r="BQ138" s="45" t="inlineStr">
        <is>
          <t>2025-11-03</t>
        </is>
      </c>
      <c r="BR138" s="51" t="n">
        <v>0.2923</v>
      </c>
      <c r="BS138" s="50" t="n">
        <v>-18.58</v>
      </c>
      <c r="BT138" s="47" t="n">
        <v>154</v>
      </c>
    </row>
    <row r="139" ht="16" customHeight="1">
      <c r="A139" s="38" t="inlineStr">
        <is>
          <t>PB ASIA CONSUMER SECTOR FUND</t>
        </is>
      </c>
      <c r="B139" s="38" t="inlineStr">
        <is>
          <t>PBACSF</t>
        </is>
      </c>
      <c r="C139" s="38" t="inlineStr">
        <is>
          <t>Conventional</t>
        </is>
      </c>
      <c r="D139" s="38" t="inlineStr">
        <is>
          <t>Equity</t>
        </is>
      </c>
      <c r="E139" s="38" t="inlineStr">
        <is>
          <t>Asia</t>
        </is>
      </c>
      <c r="F139" s="39" t="inlineStr">
        <is>
          <t>Capital Growth</t>
        </is>
      </c>
      <c r="G139" s="40" t="n">
        <v>5</v>
      </c>
      <c r="H139" s="39" t="inlineStr">
        <is>
          <t>Incidental</t>
        </is>
      </c>
      <c r="I139" s="41" t="n">
        <v>96.33</v>
      </c>
      <c r="J139" s="38" t="inlineStr">
        <is>
          <t>03.01.2019</t>
        </is>
      </c>
      <c r="K139" s="38" t="inlineStr">
        <is>
          <t>Disqualified</t>
        </is>
      </c>
      <c r="L139" s="42" t="n">
        <v>0</v>
      </c>
      <c r="M139" s="38" t="inlineStr">
        <is>
          <t>0/4</t>
        </is>
      </c>
      <c r="N139" s="43" t="n">
        <v>2.21</v>
      </c>
      <c r="O139" s="43" t="n">
        <v>10.52</v>
      </c>
      <c r="P139" s="43" t="n">
        <v>-8.31</v>
      </c>
      <c r="Q139" s="43" t="n">
        <v>-3.28</v>
      </c>
      <c r="R139" s="43" t="n">
        <v>6.84</v>
      </c>
      <c r="S139" s="43" t="n">
        <v>-10.12</v>
      </c>
      <c r="T139" s="43" t="n">
        <v>-1.39</v>
      </c>
      <c r="U139" s="43" t="n">
        <v>-0.85</v>
      </c>
      <c r="V139" s="43" t="n">
        <v>-0.54</v>
      </c>
      <c r="W139" s="43" t="n">
        <v>-5.81</v>
      </c>
      <c r="X139" s="43" t="n">
        <v>-5.18</v>
      </c>
      <c r="Y139" s="43" t="n">
        <v>-0.63</v>
      </c>
      <c r="Z139" s="43" t="n"/>
      <c r="AA139" s="43" t="n"/>
      <c r="AB139" s="43" t="n"/>
      <c r="AC139" s="43">
        <f>IF(OR(P139="",BL139="",BL139=0),"",P139/BL139)</f>
        <v/>
      </c>
      <c r="AD139" s="43">
        <f>IF(OR(S139="",BL139="",BL139=0),"",S139/BL139)</f>
        <v/>
      </c>
      <c r="AE139" s="43">
        <f>IF(OR(V139="",BL139="",BL139=0),"",V139/BL139)</f>
        <v/>
      </c>
      <c r="AF139" s="43">
        <f>IF(OR(Y139="",BL139="",BL139=0),"",Y139/BL139)</f>
        <v/>
      </c>
      <c r="AG139" s="43">
        <f>IF(OR(AB139="",BL139="",BL139=0),"",AB139/BL139)</f>
        <v/>
      </c>
      <c r="AH139" s="42" t="n"/>
      <c r="AI139" s="42" t="n">
        <v>83.2</v>
      </c>
      <c r="AJ139" s="42" t="n"/>
      <c r="AK139" s="42" t="n">
        <v>16.8</v>
      </c>
      <c r="AL139" s="42" t="n"/>
      <c r="AM139" s="42" t="n"/>
      <c r="AN139" s="42" t="n">
        <v>4.4</v>
      </c>
      <c r="AO139" s="42" t="n"/>
      <c r="AP139" s="42" t="n">
        <v>33.3</v>
      </c>
      <c r="AQ139" s="42" t="n"/>
      <c r="AR139" s="42" t="n">
        <v>4.5</v>
      </c>
      <c r="AS139" s="42" t="n"/>
      <c r="AT139" s="42" t="n">
        <v>8.5</v>
      </c>
      <c r="AU139" s="42" t="n"/>
      <c r="AV139" s="42" t="n"/>
      <c r="AW139" s="42" t="n"/>
      <c r="AX139" s="42" t="n"/>
      <c r="AY139" s="42" t="n"/>
      <c r="AZ139" s="42" t="n"/>
      <c r="BA139" s="42" t="n">
        <v>16.4</v>
      </c>
      <c r="BB139" s="42" t="n"/>
      <c r="BC139" s="42" t="n">
        <v>21.4</v>
      </c>
      <c r="BD139" s="42" t="n">
        <v>34.8</v>
      </c>
      <c r="BE139" s="42" t="n">
        <v>10.6</v>
      </c>
      <c r="BF139" s="42" t="n"/>
      <c r="BG139" s="42" t="n"/>
      <c r="BH139" s="42" t="n"/>
      <c r="BI139" s="42" t="n"/>
      <c r="BJ139" s="42" t="n"/>
      <c r="BK139" s="39" t="inlineStr">
        <is>
          <t>Samsung Electronics Company Limited | Hyundai Mobis Company Limited | Alibaba Group Holding Limited - W | MGM China Holdings Limited | Tencent Holdings Limited</t>
        </is>
      </c>
      <c r="BL139" s="42" t="n">
        <v>14.4</v>
      </c>
      <c r="BM139" s="38" t="inlineStr">
        <is>
          <t>Very High</t>
        </is>
      </c>
      <c r="BN139" s="39" t="inlineStr">
        <is>
          <t>Equity Sector Consumer Asia</t>
        </is>
      </c>
      <c r="BO139" s="39" t="inlineStr">
        <is>
          <t>ThebenchmarkforPBACSFisacustomisedindexbyS&amp;PDowJonesIndices,LLC based on consumer sectors of S&amp;P BMI Asia Ex-Japan Index. Underlying index data are sourced from S&amp;P Dow Jones Indices, LLC and expressed in Ringgit terms.</t>
        </is>
      </c>
      <c r="BP139" s="44" t="n">
        <v>0.3703</v>
      </c>
      <c r="BQ139" s="38" t="inlineStr">
        <is>
          <t>2021-01-25</t>
        </is>
      </c>
      <c r="BR139" s="44" t="n">
        <v>0.2225</v>
      </c>
      <c r="BS139" s="43" t="n">
        <v>-39.91</v>
      </c>
      <c r="BT139" s="40" t="n">
        <v>1897</v>
      </c>
    </row>
    <row r="140" ht="16" customHeight="1">
      <c r="A140" s="45" t="inlineStr">
        <is>
          <t>PUBLIC FAR-EAST SELECT FUND</t>
        </is>
      </c>
      <c r="B140" s="45" t="inlineStr">
        <is>
          <t>PFES</t>
        </is>
      </c>
      <c r="C140" s="45" t="inlineStr">
        <is>
          <t>Conventional</t>
        </is>
      </c>
      <c r="D140" s="45" t="inlineStr">
        <is>
          <t>Equity</t>
        </is>
      </c>
      <c r="E140" s="45" t="inlineStr">
        <is>
          <t>Asia Pacific</t>
        </is>
      </c>
      <c r="F140" s="46" t="inlineStr">
        <is>
          <t>Capital Growth</t>
        </is>
      </c>
      <c r="G140" s="47" t="n">
        <v>5</v>
      </c>
      <c r="H140" s="46" t="inlineStr">
        <is>
          <t>Incidental</t>
        </is>
      </c>
      <c r="I140" s="48" t="n">
        <v>807.71</v>
      </c>
      <c r="J140" s="45" t="inlineStr">
        <is>
          <t>22.11.2005</t>
        </is>
      </c>
      <c r="K140" s="45" t="inlineStr">
        <is>
          <t>Disqualified</t>
        </is>
      </c>
      <c r="L140" s="49" t="n">
        <v>0</v>
      </c>
      <c r="M140" s="45" t="inlineStr">
        <is>
          <t>0/5</t>
        </is>
      </c>
      <c r="N140" s="50" t="n">
        <v>9.960000000000001</v>
      </c>
      <c r="O140" s="50" t="n">
        <v>11.86</v>
      </c>
      <c r="P140" s="50" t="n">
        <v>-1.9</v>
      </c>
      <c r="Q140" s="50" t="n">
        <v>24.82</v>
      </c>
      <c r="R140" s="50" t="n">
        <v>28.7</v>
      </c>
      <c r="S140" s="50" t="n">
        <v>-3.88</v>
      </c>
      <c r="T140" s="50" t="n">
        <v>14.19</v>
      </c>
      <c r="U140" s="50" t="n">
        <v>15.08</v>
      </c>
      <c r="V140" s="50" t="n">
        <v>-0.89</v>
      </c>
      <c r="W140" s="50" t="n">
        <v>1.43</v>
      </c>
      <c r="X140" s="50" t="n">
        <v>2.16</v>
      </c>
      <c r="Y140" s="50" t="n">
        <v>-0.73</v>
      </c>
      <c r="Z140" s="50" t="n">
        <v>6.53</v>
      </c>
      <c r="AA140" s="50" t="n">
        <v>7.72</v>
      </c>
      <c r="AB140" s="50" t="n">
        <v>-1.19</v>
      </c>
      <c r="AC140" s="50">
        <f>IF(OR(P140="",BL140="",BL140=0),"",P140/BL140)</f>
        <v/>
      </c>
      <c r="AD140" s="50">
        <f>IF(OR(S140="",BL140="",BL140=0),"",S140/BL140)</f>
        <v/>
      </c>
      <c r="AE140" s="50">
        <f>IF(OR(V140="",BL140="",BL140=0),"",V140/BL140)</f>
        <v/>
      </c>
      <c r="AF140" s="50">
        <f>IF(OR(Y140="",BL140="",BL140=0),"",Y140/BL140)</f>
        <v/>
      </c>
      <c r="AG140" s="50">
        <f>IF(OR(AB140="",BL140="",BL140=0),"",AB140/BL140)</f>
        <v/>
      </c>
      <c r="AH140" s="49" t="n">
        <v>1</v>
      </c>
      <c r="AI140" s="49" t="n">
        <v>91.8</v>
      </c>
      <c r="AJ140" s="49" t="n"/>
      <c r="AK140" s="49" t="n">
        <v>7.2</v>
      </c>
      <c r="AL140" s="49" t="n"/>
      <c r="AM140" s="49" t="n"/>
      <c r="AN140" s="49" t="n"/>
      <c r="AO140" s="49" t="n">
        <v>28.3</v>
      </c>
      <c r="AP140" s="49" t="n">
        <v>28</v>
      </c>
      <c r="AQ140" s="49" t="n"/>
      <c r="AR140" s="49" t="n"/>
      <c r="AS140" s="49" t="n"/>
      <c r="AT140" s="49" t="n">
        <v>34.7</v>
      </c>
      <c r="AU140" s="49" t="n"/>
      <c r="AV140" s="49" t="n"/>
      <c r="AW140" s="49" t="n"/>
      <c r="AX140" s="49" t="n"/>
      <c r="AY140" s="49" t="n">
        <v>0.8</v>
      </c>
      <c r="AZ140" s="49" t="n">
        <v>11.8</v>
      </c>
      <c r="BA140" s="49" t="n">
        <v>46.4</v>
      </c>
      <c r="BB140" s="49" t="n">
        <v>5.2</v>
      </c>
      <c r="BC140" s="49" t="n">
        <v>22.2</v>
      </c>
      <c r="BD140" s="49" t="n">
        <v>6.7</v>
      </c>
      <c r="BE140" s="49" t="n"/>
      <c r="BF140" s="49" t="n"/>
      <c r="BG140" s="49" t="n"/>
      <c r="BH140" s="49" t="n"/>
      <c r="BI140" s="49" t="n"/>
      <c r="BJ140" s="49" t="n"/>
      <c r="BK140" s="46" t="inlineStr">
        <is>
          <t>Samsung Electronics Company Limited | SK Hynix Incorporated | Taiwan Semiconductor Manufacturing Company Limited | Alibaba Group Holding Limited - W | Tencent Holdings Limited</t>
        </is>
      </c>
      <c r="BL140" s="49" t="n">
        <v>17.2</v>
      </c>
      <c r="BM140" s="45" t="inlineStr">
        <is>
          <t>Very High</t>
        </is>
      </c>
      <c r="BN140" s="46" t="inlineStr">
        <is>
          <t>Equity Asia Pacific Asia</t>
        </is>
      </c>
      <c r="BO140" s="46"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P140" s="51" t="n">
        <v>0.4224</v>
      </c>
      <c r="BQ140" s="45" t="inlineStr">
        <is>
          <t>2021-02-17</t>
        </is>
      </c>
      <c r="BR140" s="51" t="n">
        <v>0.3736</v>
      </c>
      <c r="BS140" s="50" t="n">
        <v>-11.55</v>
      </c>
      <c r="BT140" s="47" t="n">
        <v>1874</v>
      </c>
    </row>
    <row r="141" ht="16" customHeight="1">
      <c r="A141" s="53" t="inlineStr">
        <is>
          <t>PUBLIC ISLAMIC GLOBAL EQUITY FUND</t>
        </is>
      </c>
      <c r="B141" s="53" t="inlineStr">
        <is>
          <t>PISGEF</t>
        </is>
      </c>
      <c r="C141" s="53" t="inlineStr">
        <is>
          <t>Shariah</t>
        </is>
      </c>
      <c r="D141" s="53" t="inlineStr">
        <is>
          <t>Equity</t>
        </is>
      </c>
      <c r="E141" s="53" t="inlineStr">
        <is>
          <t>Global</t>
        </is>
      </c>
      <c r="F141" s="39" t="inlineStr">
        <is>
          <t>Capital Growth</t>
        </is>
      </c>
      <c r="G141" s="40" t="n">
        <v>5</v>
      </c>
      <c r="H141" s="39" t="inlineStr">
        <is>
          <t>Incidental</t>
        </is>
      </c>
      <c r="I141" s="41" t="n">
        <v>1028.17</v>
      </c>
      <c r="J141" s="38" t="inlineStr">
        <is>
          <t>26.09.2017</t>
        </is>
      </c>
      <c r="K141" s="38" t="inlineStr">
        <is>
          <t>Disqualified</t>
        </is>
      </c>
      <c r="L141" s="42" t="n">
        <v>0</v>
      </c>
      <c r="M141" s="38" t="inlineStr">
        <is>
          <t>0/4</t>
        </is>
      </c>
      <c r="N141" s="43" t="n">
        <v>-6.51</v>
      </c>
      <c r="O141" s="43" t="n">
        <v>-0.52</v>
      </c>
      <c r="P141" s="43" t="n">
        <v>-5.99</v>
      </c>
      <c r="Q141" s="43" t="n">
        <v>2.04</v>
      </c>
      <c r="R141" s="43" t="n">
        <v>7.19</v>
      </c>
      <c r="S141" s="43" t="n">
        <v>-5.15</v>
      </c>
      <c r="T141" s="43" t="n">
        <v>13.59</v>
      </c>
      <c r="U141" s="43" t="n">
        <v>14.63</v>
      </c>
      <c r="V141" s="43" t="n">
        <v>-1.04</v>
      </c>
      <c r="W141" s="43" t="n">
        <v>7.4</v>
      </c>
      <c r="X141" s="43" t="n">
        <v>10.32</v>
      </c>
      <c r="Y141" s="43" t="n">
        <v>-2.92</v>
      </c>
      <c r="Z141" s="43" t="n"/>
      <c r="AA141" s="43" t="n"/>
      <c r="AB141" s="43" t="n"/>
      <c r="AC141" s="43">
        <f>IF(OR(P141="",BL141="",BL141=0),"",P141/BL141)</f>
        <v/>
      </c>
      <c r="AD141" s="43">
        <f>IF(OR(S141="",BL141="",BL141=0),"",S141/BL141)</f>
        <v/>
      </c>
      <c r="AE141" s="43">
        <f>IF(OR(V141="",BL141="",BL141=0),"",V141/BL141)</f>
        <v/>
      </c>
      <c r="AF141" s="43">
        <f>IF(OR(Y141="",BL141="",BL141=0),"",Y141/BL141)</f>
        <v/>
      </c>
      <c r="AG141" s="43">
        <f>IF(OR(AB141="",BL141="",BL141=0),"",AB141/BL141)</f>
        <v/>
      </c>
      <c r="AH141" s="42" t="n"/>
      <c r="AI141" s="42" t="n">
        <v>92.7</v>
      </c>
      <c r="AJ141" s="42" t="n"/>
      <c r="AK141" s="42" t="n">
        <v>7.3</v>
      </c>
      <c r="AL141" s="42" t="n"/>
      <c r="AM141" s="42" t="n"/>
      <c r="AN141" s="42" t="n">
        <v>66.2</v>
      </c>
      <c r="AO141" s="42" t="n">
        <v>5.1</v>
      </c>
      <c r="AP141" s="42" t="n"/>
      <c r="AQ141" s="42" t="n"/>
      <c r="AR141" s="42" t="n">
        <v>5.7</v>
      </c>
      <c r="AS141" s="42" t="n"/>
      <c r="AT141" s="42" t="n">
        <v>5.5</v>
      </c>
      <c r="AU141" s="42" t="n"/>
      <c r="AV141" s="42" t="n">
        <v>5.5</v>
      </c>
      <c r="AW141" s="42" t="n"/>
      <c r="AX141" s="42" t="n"/>
      <c r="AY141" s="42" t="n"/>
      <c r="AZ141" s="42" t="n">
        <v>14.5</v>
      </c>
      <c r="BA141" s="42" t="n">
        <v>35.3</v>
      </c>
      <c r="BB141" s="42" t="n"/>
      <c r="BC141" s="42" t="n">
        <v>30.3</v>
      </c>
      <c r="BD141" s="42" t="n">
        <v>10.6</v>
      </c>
      <c r="BE141" s="42" t="n">
        <v>2</v>
      </c>
      <c r="BF141" s="42" t="n"/>
      <c r="BG141" s="42" t="n"/>
      <c r="BH141" s="42" t="n"/>
      <c r="BI141" s="42" t="n"/>
      <c r="BJ141" s="42" t="n"/>
      <c r="BK141" s="39" t="inlineStr">
        <is>
          <t>HEICO Corporation | Alphabet Incorporated - Class A | Meta Platforms Incorporated | Apple Incorporated | Amazon.com Incorporated</t>
        </is>
      </c>
      <c r="BL141" s="42" t="n">
        <v>14.9</v>
      </c>
      <c r="BM141" s="38" t="inlineStr">
        <is>
          <t>Very High</t>
        </is>
      </c>
      <c r="BN141" s="39" t="inlineStr">
        <is>
          <t>Equity Global Global</t>
        </is>
      </c>
      <c r="BO141" s="39" t="inlineStr">
        <is>
          <t>ThebenchmarkforPISGEFisacompositeof90%S&amp;PGlobal1200ShariahIndex and 10% 1-Month Islamic Interbank Money Market (IIMM) rate. Underlying index data are sourced from Lipper and Bank Negara Malaysia and expressed in Ringgit terms.</t>
        </is>
      </c>
      <c r="BP141" s="44" t="n">
        <v>0.4742</v>
      </c>
      <c r="BQ141" s="38" t="inlineStr">
        <is>
          <t>2025-10-29</t>
        </is>
      </c>
      <c r="BR141" s="44" t="n">
        <v>0.3987</v>
      </c>
      <c r="BS141" s="43" t="n">
        <v>-15.92</v>
      </c>
      <c r="BT141" s="40" t="n">
        <v>159</v>
      </c>
    </row>
    <row r="142" ht="16" customHeight="1">
      <c r="A142" s="45" t="inlineStr">
        <is>
          <t>PUBLIC LIFESTYLE &amp; TECHNOLOGY FUND</t>
        </is>
      </c>
      <c r="B142" s="45" t="inlineStr">
        <is>
          <t>PLTF</t>
        </is>
      </c>
      <c r="C142" s="45" t="inlineStr">
        <is>
          <t>Conventional</t>
        </is>
      </c>
      <c r="D142" s="45" t="inlineStr">
        <is>
          <t>Equity</t>
        </is>
      </c>
      <c r="E142" s="45" t="inlineStr">
        <is>
          <t>Malaysia</t>
        </is>
      </c>
      <c r="F142" s="46" t="inlineStr">
        <is>
          <t>Capital Growth</t>
        </is>
      </c>
      <c r="G142" s="47" t="n">
        <v>5</v>
      </c>
      <c r="H142" s="46" t="inlineStr">
        <is>
          <t>Incidental</t>
        </is>
      </c>
      <c r="I142" s="48" t="n">
        <v>671.6799999999999</v>
      </c>
      <c r="J142" s="45" t="inlineStr">
        <is>
          <t>08.08.2018</t>
        </is>
      </c>
      <c r="K142" s="45" t="inlineStr">
        <is>
          <t>Disqualified</t>
        </is>
      </c>
      <c r="L142" s="49" t="n">
        <v>0</v>
      </c>
      <c r="M142" s="45" t="inlineStr">
        <is>
          <t>0/4</t>
        </is>
      </c>
      <c r="N142" s="50" t="n">
        <v>-3.95</v>
      </c>
      <c r="O142" s="50" t="n">
        <v>5.95</v>
      </c>
      <c r="P142" s="50" t="n">
        <v>-9.9</v>
      </c>
      <c r="Q142" s="50" t="n">
        <v>5.73</v>
      </c>
      <c r="R142" s="50" t="n">
        <v>18.77</v>
      </c>
      <c r="S142" s="50" t="n">
        <v>-13.04</v>
      </c>
      <c r="T142" s="50" t="n">
        <v>18.87</v>
      </c>
      <c r="U142" s="50" t="n">
        <v>20.11</v>
      </c>
      <c r="V142" s="50" t="n">
        <v>-1.24</v>
      </c>
      <c r="W142" s="50" t="n">
        <v>5.09</v>
      </c>
      <c r="X142" s="50" t="n">
        <v>10.07</v>
      </c>
      <c r="Y142" s="50" t="n">
        <v>-4.98</v>
      </c>
      <c r="Z142" s="50" t="n"/>
      <c r="AA142" s="50" t="n"/>
      <c r="AB142" s="50" t="n"/>
      <c r="AC142" s="50">
        <f>IF(OR(P142="",BL142="",BL142=0),"",P142/BL142)</f>
        <v/>
      </c>
      <c r="AD142" s="50">
        <f>IF(OR(S142="",BL142="",BL142=0),"",S142/BL142)</f>
        <v/>
      </c>
      <c r="AE142" s="50">
        <f>IF(OR(V142="",BL142="",BL142=0),"",V142/BL142)</f>
        <v/>
      </c>
      <c r="AF142" s="50">
        <f>IF(OR(Y142="",BL142="",BL142=0),"",Y142/BL142)</f>
        <v/>
      </c>
      <c r="AG142" s="50">
        <f>IF(OR(AB142="",BL142="",BL142=0),"",AB142/BL142)</f>
        <v/>
      </c>
      <c r="AH142" s="49" t="n"/>
      <c r="AI142" s="49" t="n">
        <v>88</v>
      </c>
      <c r="AJ142" s="49" t="n"/>
      <c r="AK142" s="49" t="n">
        <v>12</v>
      </c>
      <c r="AL142" s="49" t="n"/>
      <c r="AM142" s="49" t="n"/>
      <c r="AN142" s="49" t="n">
        <v>45</v>
      </c>
      <c r="AO142" s="49" t="n">
        <v>12.7</v>
      </c>
      <c r="AP142" s="49" t="n">
        <v>9</v>
      </c>
      <c r="AQ142" s="49" t="n"/>
      <c r="AR142" s="49" t="n"/>
      <c r="AS142" s="49" t="n"/>
      <c r="AT142" s="49" t="n">
        <v>10</v>
      </c>
      <c r="AU142" s="49" t="n">
        <v>4.2</v>
      </c>
      <c r="AV142" s="49" t="n"/>
      <c r="AW142" s="49" t="n"/>
      <c r="AX142" s="49" t="n"/>
      <c r="AY142" s="49" t="n"/>
      <c r="AZ142" s="49" t="n"/>
      <c r="BA142" s="49" t="n">
        <v>44.8</v>
      </c>
      <c r="BB142" s="49" t="n">
        <v>1.5</v>
      </c>
      <c r="BC142" s="49" t="n">
        <v>26.5</v>
      </c>
      <c r="BD142" s="49" t="n">
        <v>15.2</v>
      </c>
      <c r="BE142" s="49" t="n"/>
      <c r="BF142" s="49" t="n"/>
      <c r="BG142" s="49" t="n"/>
      <c r="BH142" s="49" t="n"/>
      <c r="BI142" s="49" t="n"/>
      <c r="BJ142" s="49" t="n"/>
      <c r="BK142" s="46" t="inlineStr">
        <is>
          <t>Taiwan Semiconductor Manufacturing Company Limited | Tesla Incorporated | Samsung Electronics Company Limited | Alibaba Group Holding Limited - W | Alphabet Incorporated - Class A</t>
        </is>
      </c>
      <c r="BL142" s="49" t="n">
        <v>16.4</v>
      </c>
      <c r="BM142" s="45" t="inlineStr">
        <is>
          <t>Very High</t>
        </is>
      </c>
      <c r="BN142" s="46" t="inlineStr">
        <is>
          <t>Equity Global Global</t>
        </is>
      </c>
      <c r="BO142" s="46"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P142" s="51" t="n">
        <v>0.5968</v>
      </c>
      <c r="BQ142" s="45" t="inlineStr">
        <is>
          <t>2025-11-03</t>
        </is>
      </c>
      <c r="BR142" s="51" t="n">
        <v>0.47</v>
      </c>
      <c r="BS142" s="50" t="n">
        <v>-21.25</v>
      </c>
      <c r="BT142" s="47" t="n">
        <v>154</v>
      </c>
    </row>
    <row r="143" ht="16" customHeight="1">
      <c r="A143" s="38" t="inlineStr">
        <is>
          <t>PB ASIA PACIFIC ENTERPRISES FUND</t>
        </is>
      </c>
      <c r="B143" s="38" t="inlineStr">
        <is>
          <t>PBAPENTF</t>
        </is>
      </c>
      <c r="C143" s="38" t="inlineStr">
        <is>
          <t>Conventional</t>
        </is>
      </c>
      <c r="D143" s="38" t="inlineStr">
        <is>
          <t>Equity</t>
        </is>
      </c>
      <c r="E143" s="38" t="inlineStr">
        <is>
          <t>Asia Pacific</t>
        </is>
      </c>
      <c r="F143" s="39" t="inlineStr">
        <is>
          <t>Capital Growth</t>
        </is>
      </c>
      <c r="G143" s="40" t="n">
        <v>5</v>
      </c>
      <c r="H143" s="39" t="inlineStr">
        <is>
          <t>Incidental</t>
        </is>
      </c>
      <c r="I143" s="41" t="n">
        <v>57.98</v>
      </c>
      <c r="J143" s="38" t="inlineStr">
        <is>
          <t>08.03.2011</t>
        </is>
      </c>
      <c r="K143" s="38" t="inlineStr">
        <is>
          <t>Disqualified</t>
        </is>
      </c>
      <c r="L143" s="42" t="n">
        <v>0</v>
      </c>
      <c r="M143" s="38" t="inlineStr">
        <is>
          <t>0/5</t>
        </is>
      </c>
      <c r="N143" s="43" t="n">
        <v>6.4</v>
      </c>
      <c r="O143" s="43" t="n">
        <v>12.77</v>
      </c>
      <c r="P143" s="43" t="n">
        <v>-6.37</v>
      </c>
      <c r="Q143" s="43" t="n">
        <v>10.42</v>
      </c>
      <c r="R143" s="43" t="n">
        <v>26.86</v>
      </c>
      <c r="S143" s="43" t="n">
        <v>-16.44</v>
      </c>
      <c r="T143" s="43" t="n">
        <v>10.97</v>
      </c>
      <c r="U143" s="43" t="n">
        <v>13.03</v>
      </c>
      <c r="V143" s="43" t="n">
        <v>-2.06</v>
      </c>
      <c r="W143" s="43" t="n">
        <v>2.29</v>
      </c>
      <c r="X143" s="43" t="n">
        <v>4.21</v>
      </c>
      <c r="Y143" s="43" t="n">
        <v>-1.92</v>
      </c>
      <c r="Z143" s="43" t="n">
        <v>7.97</v>
      </c>
      <c r="AA143" s="43" t="n">
        <v>8.119999999999999</v>
      </c>
      <c r="AB143" s="43" t="n">
        <v>-0.15</v>
      </c>
      <c r="AC143" s="43">
        <f>IF(OR(P143="",BL143="",BL143=0),"",P143/BL143)</f>
        <v/>
      </c>
      <c r="AD143" s="43">
        <f>IF(OR(S143="",BL143="",BL143=0),"",S143/BL143)</f>
        <v/>
      </c>
      <c r="AE143" s="43">
        <f>IF(OR(V143="",BL143="",BL143=0),"",V143/BL143)</f>
        <v/>
      </c>
      <c r="AF143" s="43">
        <f>IF(OR(Y143="",BL143="",BL143=0),"",Y143/BL143)</f>
        <v/>
      </c>
      <c r="AG143" s="43">
        <f>IF(OR(AB143="",BL143="",BL143=0),"",AB143/BL143)</f>
        <v/>
      </c>
      <c r="AH143" s="42" t="n">
        <v>0.9</v>
      </c>
      <c r="AI143" s="42" t="n">
        <v>89.90000000000001</v>
      </c>
      <c r="AJ143" s="42" t="n"/>
      <c r="AK143" s="42" t="n">
        <v>9.199999999999999</v>
      </c>
      <c r="AL143" s="42" t="n"/>
      <c r="AM143" s="42" t="n"/>
      <c r="AN143" s="42" t="n">
        <v>6.4</v>
      </c>
      <c r="AO143" s="42" t="n">
        <v>20.1</v>
      </c>
      <c r="AP143" s="42" t="n">
        <v>23.5</v>
      </c>
      <c r="AQ143" s="42" t="n"/>
      <c r="AR143" s="42" t="n"/>
      <c r="AS143" s="42" t="n"/>
      <c r="AT143" s="42" t="n">
        <v>30.9</v>
      </c>
      <c r="AU143" s="42" t="n">
        <v>3.6</v>
      </c>
      <c r="AV143" s="42" t="n"/>
      <c r="AW143" s="42" t="n"/>
      <c r="AX143" s="42" t="n"/>
      <c r="AY143" s="42" t="n"/>
      <c r="AZ143" s="42" t="n">
        <v>4</v>
      </c>
      <c r="BA143" s="42" t="n">
        <v>42.5</v>
      </c>
      <c r="BB143" s="42" t="n">
        <v>11.3</v>
      </c>
      <c r="BC143" s="42" t="n">
        <v>25.7</v>
      </c>
      <c r="BD143" s="42" t="n">
        <v>5.3</v>
      </c>
      <c r="BE143" s="42" t="n"/>
      <c r="BF143" s="42" t="n"/>
      <c r="BG143" s="42" t="n"/>
      <c r="BH143" s="42" t="n"/>
      <c r="BI143" s="42" t="n"/>
      <c r="BJ143" s="42" t="n"/>
      <c r="BK143" s="39" t="inlineStr">
        <is>
          <t>Samsung Electronics Company Limited | Taiwan Semiconductor Manufacturing Company Limited | Alibaba Group Holding Limited - W | Tencent Holdings Limited | SK Hynix Incorporated</t>
        </is>
      </c>
      <c r="BL143" s="42" t="n">
        <v>14.4</v>
      </c>
      <c r="BM143" s="38" t="inlineStr">
        <is>
          <t>Very High</t>
        </is>
      </c>
      <c r="BN143" s="39" t="inlineStr">
        <is>
          <t>Equity Asia Pacific ex- Asia</t>
        </is>
      </c>
      <c r="BO143" s="39" t="inlineStr">
        <is>
          <t>2019 1.00 31.12.19 3.0 Thebenchmark forPBAPENTF isacompositeof55% S&amp;P Asia50 Index,30% 2020 1.00 31.12.20 2.5 S&amp;P Southeast Asia 40 Index and 15% S&amp;P/ASX 20 Index. UnderlyingindexdataaresourcedfromS&amp;PDowJonesIndices,LLCandLipper 2021 2.00 31.12.21 5.5 and expressed in Ringgit terms. 2022 0.50 30.12.22 1.6 Note: Distribution yield simply measures the level of distributions and is not a</t>
        </is>
      </c>
      <c r="BP143" s="44" t="n">
        <v>0.4589</v>
      </c>
      <c r="BQ143" s="38" t="inlineStr">
        <is>
          <t>2025-10-03</t>
        </is>
      </c>
      <c r="BR143" s="44" t="n">
        <v>0.4166</v>
      </c>
      <c r="BS143" s="43" t="n">
        <v>-9.220000000000001</v>
      </c>
      <c r="BT143" s="40" t="n">
        <v>185</v>
      </c>
    </row>
    <row r="144" ht="16" customHeight="1">
      <c r="A144" s="45" t="inlineStr">
        <is>
          <t>PUBLIC GLOBAL SELECT FUND</t>
        </is>
      </c>
      <c r="B144" s="45" t="inlineStr">
        <is>
          <t>PGSF</t>
        </is>
      </c>
      <c r="C144" s="45" t="inlineStr">
        <is>
          <t>Conventional</t>
        </is>
      </c>
      <c r="D144" s="45" t="inlineStr">
        <is>
          <t>Equity</t>
        </is>
      </c>
      <c r="E144" s="45" t="inlineStr">
        <is>
          <t>Global</t>
        </is>
      </c>
      <c r="F144" s="46" t="inlineStr">
        <is>
          <t>Capital Growth</t>
        </is>
      </c>
      <c r="G144" s="47" t="n">
        <v>5</v>
      </c>
      <c r="H144" s="46" t="inlineStr">
        <is>
          <t>Incidental</t>
        </is>
      </c>
      <c r="I144" s="48" t="n">
        <v>3959.2</v>
      </c>
      <c r="J144" s="45" t="inlineStr">
        <is>
          <t>28.09.2006</t>
        </is>
      </c>
      <c r="K144" s="45" t="inlineStr">
        <is>
          <t>Disqualified</t>
        </is>
      </c>
      <c r="L144" s="49" t="n">
        <v>0</v>
      </c>
      <c r="M144" s="45" t="inlineStr">
        <is>
          <t>0/5</t>
        </is>
      </c>
      <c r="N144" s="50" t="n">
        <v>-3.95</v>
      </c>
      <c r="O144" s="50" t="n">
        <v>-0.75</v>
      </c>
      <c r="P144" s="50" t="n">
        <v>-3.2</v>
      </c>
      <c r="Q144" s="50" t="n">
        <v>1.71</v>
      </c>
      <c r="R144" s="50" t="n">
        <v>6.39</v>
      </c>
      <c r="S144" s="50" t="n">
        <v>-4.68</v>
      </c>
      <c r="T144" s="50" t="n">
        <v>11.04</v>
      </c>
      <c r="U144" s="50" t="n">
        <v>13.24</v>
      </c>
      <c r="V144" s="50" t="n">
        <v>-2.2</v>
      </c>
      <c r="W144" s="50" t="n">
        <v>5.71</v>
      </c>
      <c r="X144" s="50" t="n">
        <v>8.83</v>
      </c>
      <c r="Y144" s="50" t="n">
        <v>-3.12</v>
      </c>
      <c r="Z144" s="50" t="n">
        <v>9.449999999999999</v>
      </c>
      <c r="AA144" s="50" t="n">
        <v>9.66</v>
      </c>
      <c r="AB144" s="50" t="n">
        <v>-0.21</v>
      </c>
      <c r="AC144" s="50">
        <f>IF(OR(P144="",BL144="",BL144=0),"",P144/BL144)</f>
        <v/>
      </c>
      <c r="AD144" s="50">
        <f>IF(OR(S144="",BL144="",BL144=0),"",S144/BL144)</f>
        <v/>
      </c>
      <c r="AE144" s="50">
        <f>IF(OR(V144="",BL144="",BL144=0),"",V144/BL144)</f>
        <v/>
      </c>
      <c r="AF144" s="50">
        <f>IF(OR(Y144="",BL144="",BL144=0),"",Y144/BL144)</f>
        <v/>
      </c>
      <c r="AG144" s="50">
        <f>IF(OR(AB144="",BL144="",BL144=0),"",AB144/BL144)</f>
        <v/>
      </c>
      <c r="AH144" s="49" t="n">
        <v>1.1</v>
      </c>
      <c r="AI144" s="49" t="n">
        <v>75</v>
      </c>
      <c r="AJ144" s="49" t="n"/>
      <c r="AK144" s="49" t="n">
        <v>23.9</v>
      </c>
      <c r="AL144" s="49" t="n"/>
      <c r="AM144" s="49" t="n"/>
      <c r="AN144" s="49" t="n">
        <v>37.9</v>
      </c>
      <c r="AO144" s="49" t="n">
        <v>9.699999999999999</v>
      </c>
      <c r="AP144" s="49" t="n">
        <v>13.9</v>
      </c>
      <c r="AQ144" s="49" t="n"/>
      <c r="AR144" s="49" t="n"/>
      <c r="AS144" s="49" t="n"/>
      <c r="AT144" s="49" t="n">
        <v>10.9</v>
      </c>
      <c r="AU144" s="49" t="n"/>
      <c r="AV144" s="49" t="n">
        <v>1.6</v>
      </c>
      <c r="AW144" s="49" t="n"/>
      <c r="AX144" s="49" t="n"/>
      <c r="AY144" s="49" t="n"/>
      <c r="AZ144" s="49" t="n">
        <v>7.2</v>
      </c>
      <c r="BA144" s="49" t="n">
        <v>37.7</v>
      </c>
      <c r="BB144" s="49" t="n">
        <v>1.1</v>
      </c>
      <c r="BC144" s="49" t="n">
        <v>25.5</v>
      </c>
      <c r="BD144" s="49" t="n">
        <v>4.6</v>
      </c>
      <c r="BE144" s="49" t="n"/>
      <c r="BF144" s="49" t="n"/>
      <c r="BG144" s="49" t="n"/>
      <c r="BH144" s="49" t="n"/>
      <c r="BI144" s="49" t="n"/>
      <c r="BJ144" s="49" t="n"/>
      <c r="BK144" s="46" t="inlineStr">
        <is>
          <t>Taiwan Semiconductor Manufacturing Company Limited | Alphabet Incorporated - Class A | Alibaba Group Holding Limited - W | NVIDIA Corporation | SK Hynix Incorporated</t>
        </is>
      </c>
      <c r="BL144" s="49" t="n">
        <v>15.5</v>
      </c>
      <c r="BM144" s="45" t="inlineStr">
        <is>
          <t>Very High</t>
        </is>
      </c>
      <c r="BN144" s="46" t="inlineStr">
        <is>
          <t>Equity Global Global</t>
        </is>
      </c>
      <c r="BO144" s="46"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P144" s="51" t="n">
        <v>0.6852</v>
      </c>
      <c r="BQ144" s="45" t="inlineStr">
        <is>
          <t>2006-11-01</t>
        </is>
      </c>
      <c r="BR144" s="51" t="n">
        <v>0.4405</v>
      </c>
      <c r="BS144" s="50" t="n">
        <v>-35.71</v>
      </c>
      <c r="BT144" s="47" t="n">
        <v>7096</v>
      </c>
    </row>
    <row r="145" ht="16" customHeight="1">
      <c r="A145" s="38" t="inlineStr">
        <is>
          <t>PUBLIC JAPAN GLOBAL EQUITY FUND</t>
        </is>
      </c>
      <c r="B145" s="38" t="inlineStr">
        <is>
          <t>PJGEF</t>
        </is>
      </c>
      <c r="C145" s="38" t="inlineStr">
        <is>
          <t>Conventional</t>
        </is>
      </c>
      <c r="D145" s="38" t="inlineStr">
        <is>
          <t>Equity</t>
        </is>
      </c>
      <c r="E145" s="38" t="inlineStr">
        <is>
          <t>Global</t>
        </is>
      </c>
      <c r="F145" s="39" t="inlineStr">
        <is>
          <t>Capital Growth</t>
        </is>
      </c>
      <c r="G145" s="40" t="n">
        <v>5</v>
      </c>
      <c r="H145" s="39" t="inlineStr">
        <is>
          <t>Incidental</t>
        </is>
      </c>
      <c r="I145" s="41" t="n">
        <v>46.9</v>
      </c>
      <c r="J145" s="38" t="inlineStr">
        <is>
          <t>03.12.2019</t>
        </is>
      </c>
      <c r="K145" s="38" t="inlineStr">
        <is>
          <t>Disqualified</t>
        </is>
      </c>
      <c r="L145" s="42" t="n">
        <v>0</v>
      </c>
      <c r="M145" s="38" t="inlineStr">
        <is>
          <t>0/4</t>
        </is>
      </c>
      <c r="N145" s="43" t="n">
        <v>1.71</v>
      </c>
      <c r="O145" s="43" t="n">
        <v>5.42</v>
      </c>
      <c r="P145" s="43" t="n">
        <v>-3.71</v>
      </c>
      <c r="Q145" s="43" t="n">
        <v>7.32</v>
      </c>
      <c r="R145" s="43" t="n">
        <v>16.05</v>
      </c>
      <c r="S145" s="43" t="n">
        <v>-8.73</v>
      </c>
      <c r="T145" s="43" t="n">
        <v>11.97</v>
      </c>
      <c r="U145" s="43" t="n">
        <v>14.31</v>
      </c>
      <c r="V145" s="43" t="n">
        <v>-2.34</v>
      </c>
      <c r="W145" s="43" t="n">
        <v>2.99</v>
      </c>
      <c r="X145" s="43" t="n">
        <v>7.19</v>
      </c>
      <c r="Y145" s="43" t="n">
        <v>-4.2</v>
      </c>
      <c r="Z145" s="43" t="n"/>
      <c r="AA145" s="43" t="n"/>
      <c r="AB145" s="43" t="n"/>
      <c r="AC145" s="43">
        <f>IF(OR(P145="",BL145="",BL145=0),"",P145/BL145)</f>
        <v/>
      </c>
      <c r="AD145" s="43">
        <f>IF(OR(S145="",BL145="",BL145=0),"",S145/BL145)</f>
        <v/>
      </c>
      <c r="AE145" s="43">
        <f>IF(OR(V145="",BL145="",BL145=0),"",V145/BL145)</f>
        <v/>
      </c>
      <c r="AF145" s="43">
        <f>IF(OR(Y145="",BL145="",BL145=0),"",Y145/BL145)</f>
        <v/>
      </c>
      <c r="AG145" s="43">
        <f>IF(OR(AB145="",BL145="",BL145=0),"",AB145/BL145)</f>
        <v/>
      </c>
      <c r="AH145" s="42" t="n">
        <v>1</v>
      </c>
      <c r="AI145" s="42" t="n">
        <v>88.40000000000001</v>
      </c>
      <c r="AJ145" s="42" t="n"/>
      <c r="AK145" s="42" t="n">
        <v>10.6</v>
      </c>
      <c r="AL145" s="42" t="n"/>
      <c r="AM145" s="42" t="n"/>
      <c r="AN145" s="42" t="n">
        <v>16.6</v>
      </c>
      <c r="AO145" s="42" t="n">
        <v>7.6</v>
      </c>
      <c r="AP145" s="42" t="n">
        <v>7.9</v>
      </c>
      <c r="AQ145" s="42" t="n">
        <v>39.3</v>
      </c>
      <c r="AR145" s="42" t="n"/>
      <c r="AS145" s="42" t="n"/>
      <c r="AT145" s="42" t="n">
        <v>7.7</v>
      </c>
      <c r="AU145" s="42" t="n"/>
      <c r="AV145" s="42" t="n"/>
      <c r="AW145" s="42" t="n"/>
      <c r="AX145" s="42" t="n"/>
      <c r="AY145" s="42" t="n"/>
      <c r="AZ145" s="42" t="n">
        <v>17</v>
      </c>
      <c r="BA145" s="42" t="n">
        <v>24.7</v>
      </c>
      <c r="BB145" s="42" t="n">
        <v>11.8</v>
      </c>
      <c r="BC145" s="42" t="n">
        <v>17.6</v>
      </c>
      <c r="BD145" s="42" t="n">
        <v>18.3</v>
      </c>
      <c r="BE145" s="42" t="n"/>
      <c r="BF145" s="42" t="n"/>
      <c r="BG145" s="42" t="n"/>
      <c r="BH145" s="42" t="n"/>
      <c r="BI145" s="42" t="n"/>
      <c r="BJ145" s="42" t="n"/>
      <c r="BK145" s="39" t="inlineStr">
        <is>
          <t>Mitsubishi UFJ Financial Group Incorporated | SK Hynix Incorporated | Meta Platforms Incorporated | Shibaura Mechatronics Corporation | Taiwan Semiconductor Manufacturing Company Limited</t>
        </is>
      </c>
      <c r="BL145" s="42" t="n">
        <v>12.9</v>
      </c>
      <c r="BM145" s="38" t="inlineStr">
        <is>
          <t>High</t>
        </is>
      </c>
      <c r="BN145" s="39" t="inlineStr">
        <is>
          <t>Equity Global Global</t>
        </is>
      </c>
      <c r="BO145" s="39" t="n"/>
      <c r="BP145" s="44" t="n">
        <v>0.3893</v>
      </c>
      <c r="BQ145" s="38" t="inlineStr">
        <is>
          <t>2025-10-27</t>
        </is>
      </c>
      <c r="BR145" s="44" t="n">
        <v>0.3361</v>
      </c>
      <c r="BS145" s="43" t="n">
        <v>-13.67</v>
      </c>
      <c r="BT145" s="40" t="n">
        <v>161</v>
      </c>
    </row>
    <row r="146" ht="16" customHeight="1">
      <c r="A146" s="45" t="inlineStr">
        <is>
          <t>PB GLOBAL EQUITY FUND</t>
        </is>
      </c>
      <c r="B146" s="45" t="inlineStr">
        <is>
          <t>PBGEF</t>
        </is>
      </c>
      <c r="C146" s="45" t="inlineStr">
        <is>
          <t>Conventional</t>
        </is>
      </c>
      <c r="D146" s="45" t="inlineStr">
        <is>
          <t>Equity</t>
        </is>
      </c>
      <c r="E146" s="45" t="inlineStr">
        <is>
          <t>Global</t>
        </is>
      </c>
      <c r="F146" s="46" t="inlineStr">
        <is>
          <t>Capital Growth</t>
        </is>
      </c>
      <c r="G146" s="47" t="n">
        <v>5</v>
      </c>
      <c r="H146" s="46" t="inlineStr">
        <is>
          <t>Incidental</t>
        </is>
      </c>
      <c r="I146" s="48" t="n">
        <v>84.95999999999999</v>
      </c>
      <c r="J146" s="45" t="inlineStr">
        <is>
          <t>07.10.2014</t>
        </is>
      </c>
      <c r="K146" s="45" t="inlineStr">
        <is>
          <t>Disqualified</t>
        </is>
      </c>
      <c r="L146" s="49" t="n">
        <v>0</v>
      </c>
      <c r="M146" s="45" t="inlineStr">
        <is>
          <t>0/5</t>
        </is>
      </c>
      <c r="N146" s="50" t="n">
        <v>-4.37</v>
      </c>
      <c r="O146" s="50" t="n">
        <v>1.82</v>
      </c>
      <c r="P146" s="50" t="n">
        <v>-6.19</v>
      </c>
      <c r="Q146" s="50" t="n">
        <v>-3.59</v>
      </c>
      <c r="R146" s="50" t="n">
        <v>6.84</v>
      </c>
      <c r="S146" s="50" t="n">
        <v>-10.43</v>
      </c>
      <c r="T146" s="50" t="n">
        <v>8.56</v>
      </c>
      <c r="U146" s="50" t="n">
        <v>10.95</v>
      </c>
      <c r="V146" s="50" t="n">
        <v>-2.39</v>
      </c>
      <c r="W146" s="50" t="n">
        <v>-0.45</v>
      </c>
      <c r="X146" s="50" t="n">
        <v>8.41</v>
      </c>
      <c r="Y146" s="50" t="n">
        <v>-8.859999999999999</v>
      </c>
      <c r="Z146" s="50" t="n">
        <v>6.68</v>
      </c>
      <c r="AA146" s="50" t="n">
        <v>9.48</v>
      </c>
      <c r="AB146" s="50" t="n">
        <v>-2.8</v>
      </c>
      <c r="AC146" s="50">
        <f>IF(OR(P146="",BL146="",BL146=0),"",P146/BL146)</f>
        <v/>
      </c>
      <c r="AD146" s="50">
        <f>IF(OR(S146="",BL146="",BL146=0),"",S146/BL146)</f>
        <v/>
      </c>
      <c r="AE146" s="50">
        <f>IF(OR(V146="",BL146="",BL146=0),"",V146/BL146)</f>
        <v/>
      </c>
      <c r="AF146" s="50">
        <f>IF(OR(Y146="",BL146="",BL146=0),"",Y146/BL146)</f>
        <v/>
      </c>
      <c r="AG146" s="50">
        <f>IF(OR(AB146="",BL146="",BL146=0),"",AB146/BL146)</f>
        <v/>
      </c>
      <c r="AH146" s="49" t="n">
        <v>1.1</v>
      </c>
      <c r="AI146" s="49" t="n">
        <v>84.40000000000001</v>
      </c>
      <c r="AJ146" s="49" t="n"/>
      <c r="AK146" s="49" t="n">
        <v>14.5</v>
      </c>
      <c r="AL146" s="49" t="n"/>
      <c r="AM146" s="49" t="n"/>
      <c r="AN146" s="49" t="n">
        <v>50.1</v>
      </c>
      <c r="AO146" s="49" t="n">
        <v>9.4</v>
      </c>
      <c r="AP146" s="49" t="n">
        <v>4.7</v>
      </c>
      <c r="AQ146" s="49" t="n"/>
      <c r="AR146" s="49" t="n"/>
      <c r="AS146" s="49" t="n"/>
      <c r="AT146" s="49" t="n">
        <v>7.3</v>
      </c>
      <c r="AU146" s="49" t="n"/>
      <c r="AV146" s="49" t="n">
        <v>3.7</v>
      </c>
      <c r="AW146" s="49" t="n"/>
      <c r="AX146" s="49" t="n"/>
      <c r="AY146" s="49" t="n"/>
      <c r="AZ146" s="49" t="n">
        <v>8.300000000000001</v>
      </c>
      <c r="BA146" s="49" t="n">
        <v>31.3</v>
      </c>
      <c r="BB146" s="49" t="n">
        <v>1.1</v>
      </c>
      <c r="BC146" s="49" t="n">
        <v>31.3</v>
      </c>
      <c r="BD146" s="49" t="n">
        <v>13.5</v>
      </c>
      <c r="BE146" s="49" t="n"/>
      <c r="BF146" s="49" t="n"/>
      <c r="BG146" s="49" t="n"/>
      <c r="BH146" s="49" t="n"/>
      <c r="BI146" s="49" t="n"/>
      <c r="BJ146" s="49" t="n"/>
      <c r="BK146" s="46" t="inlineStr">
        <is>
          <t>Alphabet Incorporated - Class A | Meta Platforms Incorporated | Taiwan Semiconductor Manufacturing Company Limited | Tesla Incorporated | Advanced Micro Devices Incorporated</t>
        </is>
      </c>
      <c r="BL146" s="49" t="n">
        <v>12.5</v>
      </c>
      <c r="BM146" s="45" t="inlineStr">
        <is>
          <t>High</t>
        </is>
      </c>
      <c r="BN146" s="46" t="inlineStr">
        <is>
          <t>Equity Global Global</t>
        </is>
      </c>
      <c r="BO146" s="46"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P146" s="51" t="n">
        <v>0.3985</v>
      </c>
      <c r="BQ146" s="45" t="inlineStr">
        <is>
          <t>2025-10-29</t>
        </is>
      </c>
      <c r="BR146" s="51" t="n">
        <v>0.328</v>
      </c>
      <c r="BS146" s="50" t="n">
        <v>-17.69</v>
      </c>
      <c r="BT146" s="47" t="n">
        <v>159</v>
      </c>
    </row>
    <row r="147" ht="16" customHeight="1">
      <c r="A147" s="38" t="inlineStr">
        <is>
          <t>PUBLIC FAR-EAST ALPHA-30 FUND</t>
        </is>
      </c>
      <c r="B147" s="38" t="inlineStr">
        <is>
          <t>PFA30F</t>
        </is>
      </c>
      <c r="C147" s="38" t="inlineStr">
        <is>
          <t>Conventional</t>
        </is>
      </c>
      <c r="D147" s="38" t="inlineStr">
        <is>
          <t>Equity</t>
        </is>
      </c>
      <c r="E147" s="38" t="inlineStr">
        <is>
          <t>Asia Pacific</t>
        </is>
      </c>
      <c r="F147" s="39" t="inlineStr">
        <is>
          <t>Capital Growth</t>
        </is>
      </c>
      <c r="G147" s="40" t="n">
        <v>5</v>
      </c>
      <c r="H147" s="39" t="inlineStr">
        <is>
          <t>Incidental</t>
        </is>
      </c>
      <c r="I147" s="41" t="n">
        <v>338.55</v>
      </c>
      <c r="J147" s="38" t="inlineStr">
        <is>
          <t>06.04.2010</t>
        </is>
      </c>
      <c r="K147" s="38" t="inlineStr">
        <is>
          <t>Disqualified</t>
        </is>
      </c>
      <c r="L147" s="42" t="n">
        <v>0</v>
      </c>
      <c r="M147" s="38" t="inlineStr">
        <is>
          <t>0/5</t>
        </is>
      </c>
      <c r="N147" s="43" t="n">
        <v>6.96</v>
      </c>
      <c r="O147" s="43" t="n">
        <v>9.35</v>
      </c>
      <c r="P147" s="43" t="n">
        <v>-2.39</v>
      </c>
      <c r="Q147" s="43" t="n">
        <v>19.02</v>
      </c>
      <c r="R147" s="43" t="n">
        <v>24.76</v>
      </c>
      <c r="S147" s="43" t="n">
        <v>-5.74</v>
      </c>
      <c r="T147" s="43" t="n">
        <v>13.74</v>
      </c>
      <c r="U147" s="43" t="n">
        <v>16.43</v>
      </c>
      <c r="V147" s="43" t="n">
        <v>-2.69</v>
      </c>
      <c r="W147" s="43" t="n">
        <v>1.78</v>
      </c>
      <c r="X147" s="43" t="n">
        <v>2.86</v>
      </c>
      <c r="Y147" s="43" t="n">
        <v>-1.08</v>
      </c>
      <c r="Z147" s="43" t="n">
        <v>8.800000000000001</v>
      </c>
      <c r="AA147" s="43" t="n">
        <v>9.220000000000001</v>
      </c>
      <c r="AB147" s="43" t="n">
        <v>-0.42</v>
      </c>
      <c r="AC147" s="43">
        <f>IF(OR(P147="",BL147="",BL147=0),"",P147/BL147)</f>
        <v/>
      </c>
      <c r="AD147" s="43">
        <f>IF(OR(S147="",BL147="",BL147=0),"",S147/BL147)</f>
        <v/>
      </c>
      <c r="AE147" s="43">
        <f>IF(OR(V147="",BL147="",BL147=0),"",V147/BL147)</f>
        <v/>
      </c>
      <c r="AF147" s="43">
        <f>IF(OR(Y147="",BL147="",BL147=0),"",Y147/BL147)</f>
        <v/>
      </c>
      <c r="AG147" s="43">
        <f>IF(OR(AB147="",BL147="",BL147=0),"",AB147/BL147)</f>
        <v/>
      </c>
      <c r="AH147" s="42" t="n"/>
      <c r="AI147" s="42" t="n">
        <v>92.40000000000001</v>
      </c>
      <c r="AJ147" s="42" t="n"/>
      <c r="AK147" s="42" t="n">
        <v>7.6</v>
      </c>
      <c r="AL147" s="42" t="n"/>
      <c r="AM147" s="42" t="n"/>
      <c r="AN147" s="42" t="n">
        <v>7.5</v>
      </c>
      <c r="AO147" s="42" t="n">
        <v>21.3</v>
      </c>
      <c r="AP147" s="42" t="n">
        <v>25</v>
      </c>
      <c r="AQ147" s="42" t="n">
        <v>4.9</v>
      </c>
      <c r="AR147" s="42" t="n"/>
      <c r="AS147" s="42" t="n"/>
      <c r="AT147" s="42" t="n">
        <v>31.7</v>
      </c>
      <c r="AU147" s="42" t="n"/>
      <c r="AV147" s="42" t="n"/>
      <c r="AW147" s="42" t="n"/>
      <c r="AX147" s="42" t="n"/>
      <c r="AY147" s="42" t="n"/>
      <c r="AZ147" s="42" t="n">
        <v>15.1</v>
      </c>
      <c r="BA147" s="42" t="n">
        <v>38.3</v>
      </c>
      <c r="BB147" s="42" t="n">
        <v>3.9</v>
      </c>
      <c r="BC147" s="42" t="n">
        <v>26.8</v>
      </c>
      <c r="BD147" s="42" t="n">
        <v>8</v>
      </c>
      <c r="BE147" s="42" t="n"/>
      <c r="BF147" s="42" t="n"/>
      <c r="BG147" s="42" t="n"/>
      <c r="BH147" s="42" t="n"/>
      <c r="BI147" s="42" t="n"/>
      <c r="BJ147" s="42" t="n"/>
      <c r="BK147" s="39" t="inlineStr">
        <is>
          <t>Taiwan Semiconductor Manufacturing Company Limited | Samsung Electronics Company Limited | SK Hynix Incorporated | Alibaba Group Holding Limited - W | Tencent Holdings Limited</t>
        </is>
      </c>
      <c r="BL147" s="42" t="n">
        <v>17.5</v>
      </c>
      <c r="BM147" s="38" t="inlineStr">
        <is>
          <t>Very High</t>
        </is>
      </c>
      <c r="BN147" s="39" t="inlineStr">
        <is>
          <t>Equity Asia Pacific Asia</t>
        </is>
      </c>
      <c r="BO147" s="39" t="n"/>
      <c r="BP147" s="44" t="n">
        <v>0.6365</v>
      </c>
      <c r="BQ147" s="38" t="inlineStr">
        <is>
          <t>2021-02-17</t>
        </is>
      </c>
      <c r="BR147" s="44" t="n">
        <v>0.5859</v>
      </c>
      <c r="BS147" s="43" t="n">
        <v>-7.95</v>
      </c>
      <c r="BT147" s="40" t="n">
        <v>1874</v>
      </c>
    </row>
    <row r="148" ht="16" customHeight="1">
      <c r="A148" s="45" t="inlineStr">
        <is>
          <t>PUBLIC VIETNAM-GLOBAL EQUITY FUND</t>
        </is>
      </c>
      <c r="B148" s="45" t="inlineStr">
        <is>
          <t>PVGEF</t>
        </is>
      </c>
      <c r="C148" s="45" t="inlineStr">
        <is>
          <t>Conventional</t>
        </is>
      </c>
      <c r="D148" s="45" t="inlineStr">
        <is>
          <t>Equity</t>
        </is>
      </c>
      <c r="E148" s="45" t="inlineStr">
        <is>
          <t>Global</t>
        </is>
      </c>
      <c r="F148" s="46" t="inlineStr">
        <is>
          <t>Capital Growth</t>
        </is>
      </c>
      <c r="G148" s="47" t="n">
        <v>5</v>
      </c>
      <c r="H148" s="46" t="inlineStr">
        <is>
          <t>Incidental</t>
        </is>
      </c>
      <c r="I148" s="48" t="n">
        <v>203.7</v>
      </c>
      <c r="J148" s="45" t="inlineStr">
        <is>
          <t>02.10.2019</t>
        </is>
      </c>
      <c r="K148" s="45" t="inlineStr">
        <is>
          <t>Disqualified</t>
        </is>
      </c>
      <c r="L148" s="49" t="n">
        <v>0</v>
      </c>
      <c r="M148" s="45" t="inlineStr">
        <is>
          <t>0/4</t>
        </is>
      </c>
      <c r="N148" s="50" t="n">
        <v>-1.78</v>
      </c>
      <c r="O148" s="50" t="n">
        <v>1.67</v>
      </c>
      <c r="P148" s="50" t="n">
        <v>-3.45</v>
      </c>
      <c r="Q148" s="50" t="n">
        <v>9.69</v>
      </c>
      <c r="R148" s="50" t="n">
        <v>20.05</v>
      </c>
      <c r="S148" s="50" t="n">
        <v>-10.36</v>
      </c>
      <c r="T148" s="50" t="n">
        <v>12.03</v>
      </c>
      <c r="U148" s="50" t="n">
        <v>14.99</v>
      </c>
      <c r="V148" s="50" t="n">
        <v>-2.96</v>
      </c>
      <c r="W148" s="50" t="n">
        <v>4.47</v>
      </c>
      <c r="X148" s="50" t="n">
        <v>7.44</v>
      </c>
      <c r="Y148" s="50" t="n">
        <v>-2.97</v>
      </c>
      <c r="Z148" s="50" t="n"/>
      <c r="AA148" s="50" t="n"/>
      <c r="AB148" s="50" t="n"/>
      <c r="AC148" s="50">
        <f>IF(OR(P148="",BL148="",BL148=0),"",P148/BL148)</f>
        <v/>
      </c>
      <c r="AD148" s="50">
        <f>IF(OR(S148="",BL148="",BL148=0),"",S148/BL148)</f>
        <v/>
      </c>
      <c r="AE148" s="50">
        <f>IF(OR(V148="",BL148="",BL148=0),"",V148/BL148)</f>
        <v/>
      </c>
      <c r="AF148" s="50">
        <f>IF(OR(Y148="",BL148="",BL148=0),"",Y148/BL148)</f>
        <v/>
      </c>
      <c r="AG148" s="50">
        <f>IF(OR(AB148="",BL148="",BL148=0),"",AB148/BL148)</f>
        <v/>
      </c>
      <c r="AH148" s="49" t="n">
        <v>1.6</v>
      </c>
      <c r="AI148" s="49" t="n">
        <v>79.40000000000001</v>
      </c>
      <c r="AJ148" s="49" t="n"/>
      <c r="AK148" s="49" t="n">
        <v>19</v>
      </c>
      <c r="AL148" s="49" t="n"/>
      <c r="AM148" s="49" t="n"/>
      <c r="AN148" s="49" t="n">
        <v>20.6</v>
      </c>
      <c r="AO148" s="49" t="n">
        <v>9.5</v>
      </c>
      <c r="AP148" s="49" t="n"/>
      <c r="AQ148" s="49" t="n"/>
      <c r="AR148" s="49" t="n">
        <v>1</v>
      </c>
      <c r="AS148" s="49" t="n"/>
      <c r="AT148" s="49" t="n">
        <v>10.4</v>
      </c>
      <c r="AU148" s="49" t="n"/>
      <c r="AV148" s="49" t="n"/>
      <c r="AW148" s="49" t="n"/>
      <c r="AX148" s="49" t="n"/>
      <c r="AY148" s="49" t="n">
        <v>37</v>
      </c>
      <c r="AZ148" s="49" t="n">
        <v>3.1</v>
      </c>
      <c r="BA148" s="49" t="n">
        <v>18.7</v>
      </c>
      <c r="BB148" s="49" t="n">
        <v>12.3</v>
      </c>
      <c r="BC148" s="49" t="n">
        <v>22.7</v>
      </c>
      <c r="BD148" s="49" t="n"/>
      <c r="BE148" s="49" t="n"/>
      <c r="BF148" s="49" t="n"/>
      <c r="BG148" s="49" t="n"/>
      <c r="BH148" s="49" t="n"/>
      <c r="BI148" s="49" t="n"/>
      <c r="BJ148" s="49" t="n">
        <v>21.2</v>
      </c>
      <c r="BK148" s="46" t="inlineStr">
        <is>
          <t>DCVFMVN Diamond ETF | Taiwan Semiconductor Manufacturing Company Limited | Alphabet Incorporated - Class A | Alibaba Group Holding Limited - W | DCVFMVN30 ETF</t>
        </is>
      </c>
      <c r="BL148" s="49" t="n">
        <v>13.9</v>
      </c>
      <c r="BM148" s="45" t="inlineStr">
        <is>
          <t>Very High</t>
        </is>
      </c>
      <c r="BN148" s="46" t="inlineStr">
        <is>
          <t>Equity Global Global</t>
        </is>
      </c>
      <c r="BO148" s="46" t="n"/>
      <c r="BP148" s="51" t="n">
        <v>0.4473</v>
      </c>
      <c r="BQ148" s="45" t="inlineStr">
        <is>
          <t>2025-10-09</t>
        </is>
      </c>
      <c r="BR148" s="51" t="n">
        <v>0.3774</v>
      </c>
      <c r="BS148" s="50" t="n">
        <v>-15.63</v>
      </c>
      <c r="BT148" s="47" t="n">
        <v>179</v>
      </c>
    </row>
    <row r="149" ht="16" customHeight="1">
      <c r="A149" s="53" t="inlineStr">
        <is>
          <t>PUBLIC ISLAMIC ASIA LEADERS EQUITY FUND</t>
        </is>
      </c>
      <c r="B149" s="53" t="inlineStr">
        <is>
          <t>PIALEF</t>
        </is>
      </c>
      <c r="C149" s="53" t="inlineStr">
        <is>
          <t>Shariah</t>
        </is>
      </c>
      <c r="D149" s="53" t="inlineStr">
        <is>
          <t>Equity</t>
        </is>
      </c>
      <c r="E149" s="53" t="inlineStr">
        <is>
          <t>Asia</t>
        </is>
      </c>
      <c r="F149" s="39" t="inlineStr">
        <is>
          <t>Capital Growth</t>
        </is>
      </c>
      <c r="G149" s="40" t="n">
        <v>5</v>
      </c>
      <c r="H149" s="39" t="inlineStr">
        <is>
          <t>Incidental</t>
        </is>
      </c>
      <c r="I149" s="41" t="n">
        <v>1718.77</v>
      </c>
      <c r="J149" s="38" t="inlineStr">
        <is>
          <t>19.01.2010</t>
        </is>
      </c>
      <c r="K149" s="38" t="inlineStr">
        <is>
          <t>Disqualified</t>
        </is>
      </c>
      <c r="L149" s="42" t="n">
        <v>0</v>
      </c>
      <c r="M149" s="38" t="inlineStr">
        <is>
          <t>0/5</t>
        </is>
      </c>
      <c r="N149" s="43" t="n">
        <v>18.57</v>
      </c>
      <c r="O149" s="43" t="n">
        <v>18.94</v>
      </c>
      <c r="P149" s="43" t="n">
        <v>-0.37</v>
      </c>
      <c r="Q149" s="43" t="n">
        <v>36.92</v>
      </c>
      <c r="R149" s="43" t="n">
        <v>37.54</v>
      </c>
      <c r="S149" s="43" t="n">
        <v>-0.62</v>
      </c>
      <c r="T149" s="43" t="n">
        <v>13.81</v>
      </c>
      <c r="U149" s="43" t="n">
        <v>16.96</v>
      </c>
      <c r="V149" s="43" t="n">
        <v>-3.15</v>
      </c>
      <c r="W149" s="43" t="n">
        <v>1.07</v>
      </c>
      <c r="X149" s="43" t="n">
        <v>2.94</v>
      </c>
      <c r="Y149" s="43" t="n">
        <v>-1.87</v>
      </c>
      <c r="Z149" s="43" t="n">
        <v>8.32</v>
      </c>
      <c r="AA149" s="43" t="n">
        <v>9.140000000000001</v>
      </c>
      <c r="AB149" s="43" t="n">
        <v>-0.82</v>
      </c>
      <c r="AC149" s="43">
        <f>IF(OR(P149="",BL149="",BL149=0),"",P149/BL149)</f>
        <v/>
      </c>
      <c r="AD149" s="43">
        <f>IF(OR(S149="",BL149="",BL149=0),"",S149/BL149)</f>
        <v/>
      </c>
      <c r="AE149" s="43">
        <f>IF(OR(V149="",BL149="",BL149=0),"",V149/BL149)</f>
        <v/>
      </c>
      <c r="AF149" s="43">
        <f>IF(OR(Y149="",BL149="",BL149=0),"",Y149/BL149)</f>
        <v/>
      </c>
      <c r="AG149" s="43">
        <f>IF(OR(AB149="",BL149="",BL149=0),"",AB149/BL149)</f>
        <v/>
      </c>
      <c r="AH149" s="42" t="n"/>
      <c r="AI149" s="42" t="n">
        <v>89.90000000000001</v>
      </c>
      <c r="AJ149" s="42" t="n"/>
      <c r="AK149" s="42" t="n">
        <v>10.1</v>
      </c>
      <c r="AL149" s="42" t="n"/>
      <c r="AM149" s="42" t="n"/>
      <c r="AN149" s="42" t="n">
        <v>11</v>
      </c>
      <c r="AO149" s="42" t="n">
        <v>27.5</v>
      </c>
      <c r="AP149" s="42" t="n">
        <v>40.8</v>
      </c>
      <c r="AQ149" s="42" t="n"/>
      <c r="AR149" s="42" t="n"/>
      <c r="AS149" s="42" t="n"/>
      <c r="AT149" s="42" t="n">
        <v>10.2</v>
      </c>
      <c r="AU149" s="42" t="n"/>
      <c r="AV149" s="42" t="n"/>
      <c r="AW149" s="42" t="n"/>
      <c r="AX149" s="42" t="n">
        <v>0.4</v>
      </c>
      <c r="AY149" s="42" t="n"/>
      <c r="AZ149" s="42" t="n">
        <v>20.8</v>
      </c>
      <c r="BA149" s="42" t="n">
        <v>48.8</v>
      </c>
      <c r="BB149" s="42" t="n"/>
      <c r="BC149" s="42" t="n">
        <v>19.9</v>
      </c>
      <c r="BD149" s="42" t="n"/>
      <c r="BE149" s="42" t="n"/>
      <c r="BF149" s="42" t="n"/>
      <c r="BG149" s="42" t="n"/>
      <c r="BH149" s="42" t="n">
        <v>0.4</v>
      </c>
      <c r="BI149" s="42" t="n"/>
      <c r="BJ149" s="42" t="n"/>
      <c r="BK149" s="39" t="inlineStr">
        <is>
          <t>Samsung Electronics Company Limited | SK Hynix Incorporated | Taiwan Semiconductor Manufacturing Company Limited | HD Hyundai Electric Company Limited | Alibaba Group Holding Limited - W</t>
        </is>
      </c>
      <c r="BL149" s="42" t="n">
        <v>18.5</v>
      </c>
      <c r="BM149" s="38" t="inlineStr">
        <is>
          <t>Very High</t>
        </is>
      </c>
      <c r="BN149" s="39" t="inlineStr">
        <is>
          <t>Equity Asia Pacific Asia</t>
        </is>
      </c>
      <c r="BO149" s="39"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P149" s="44" t="n">
        <v>0.6581</v>
      </c>
      <c r="BQ149" s="38" t="inlineStr">
        <is>
          <t>2021-02-17</t>
        </is>
      </c>
      <c r="BR149" s="44" t="n">
        <v>0.5495</v>
      </c>
      <c r="BS149" s="43" t="n">
        <v>-16.5</v>
      </c>
      <c r="BT149" s="40" t="n">
        <v>1874</v>
      </c>
    </row>
    <row r="150" ht="16" customHeight="1">
      <c r="A150" s="52" t="inlineStr">
        <is>
          <t>PUBLIC ISLAMIC ASEAN GROWTH FUND</t>
        </is>
      </c>
      <c r="B150" s="52" t="inlineStr">
        <is>
          <t>PIASGF</t>
        </is>
      </c>
      <c r="C150" s="52" t="inlineStr">
        <is>
          <t>Shariah</t>
        </is>
      </c>
      <c r="D150" s="52" t="inlineStr">
        <is>
          <t>Equity</t>
        </is>
      </c>
      <c r="E150" s="52" t="inlineStr">
        <is>
          <t>ASEAN</t>
        </is>
      </c>
      <c r="F150" s="46" t="inlineStr">
        <is>
          <t>Capital Growth</t>
        </is>
      </c>
      <c r="G150" s="47" t="n">
        <v>5</v>
      </c>
      <c r="H150" s="46" t="inlineStr">
        <is>
          <t>Incidental</t>
        </is>
      </c>
      <c r="I150" s="48" t="n">
        <v>858.14</v>
      </c>
      <c r="J150" s="45" t="inlineStr">
        <is>
          <t>21.06.2018</t>
        </is>
      </c>
      <c r="K150" s="45" t="inlineStr">
        <is>
          <t>Disqualified</t>
        </is>
      </c>
      <c r="L150" s="49" t="n">
        <v>0</v>
      </c>
      <c r="M150" s="45" t="inlineStr">
        <is>
          <t>0/4</t>
        </is>
      </c>
      <c r="N150" s="50" t="n">
        <v>3.2</v>
      </c>
      <c r="O150" s="50" t="n">
        <v>5.92</v>
      </c>
      <c r="P150" s="50" t="n">
        <v>-2.72</v>
      </c>
      <c r="Q150" s="50" t="n">
        <v>13.54</v>
      </c>
      <c r="R150" s="50" t="n">
        <v>23.53</v>
      </c>
      <c r="S150" s="50" t="n">
        <v>-9.99</v>
      </c>
      <c r="T150" s="50" t="n">
        <v>-1.92</v>
      </c>
      <c r="U150" s="50" t="n">
        <v>1.58</v>
      </c>
      <c r="V150" s="50" t="n">
        <v>-3.5</v>
      </c>
      <c r="W150" s="50" t="n">
        <v>-2.27</v>
      </c>
      <c r="X150" s="50" t="n">
        <v>-0.97</v>
      </c>
      <c r="Y150" s="50" t="n">
        <v>-1.3</v>
      </c>
      <c r="Z150" s="50" t="n"/>
      <c r="AA150" s="50" t="n"/>
      <c r="AB150" s="50" t="n"/>
      <c r="AC150" s="50">
        <f>IF(OR(P150="",BL150="",BL150=0),"",P150/BL150)</f>
        <v/>
      </c>
      <c r="AD150" s="50">
        <f>IF(OR(S150="",BL150="",BL150=0),"",S150/BL150)</f>
        <v/>
      </c>
      <c r="AE150" s="50">
        <f>IF(OR(V150="",BL150="",BL150=0),"",V150/BL150)</f>
        <v/>
      </c>
      <c r="AF150" s="50">
        <f>IF(OR(Y150="",BL150="",BL150=0),"",Y150/BL150)</f>
        <v/>
      </c>
      <c r="AG150" s="50">
        <f>IF(OR(AB150="",BL150="",BL150=0),"",AB150/BL150)</f>
        <v/>
      </c>
      <c r="AH150" s="49" t="n">
        <v>18.1</v>
      </c>
      <c r="AI150" s="49" t="n">
        <v>72.8</v>
      </c>
      <c r="AJ150" s="49" t="n"/>
      <c r="AK150" s="49" t="n">
        <v>9.1</v>
      </c>
      <c r="AL150" s="49" t="n"/>
      <c r="AM150" s="49" t="n"/>
      <c r="AN150" s="49" t="n">
        <v>5.5</v>
      </c>
      <c r="AO150" s="49" t="n">
        <v>5.4</v>
      </c>
      <c r="AP150" s="49" t="n"/>
      <c r="AQ150" s="49" t="n"/>
      <c r="AR150" s="49" t="n"/>
      <c r="AS150" s="49" t="n"/>
      <c r="AT150" s="49" t="n"/>
      <c r="AU150" s="49" t="n">
        <v>9.300000000000001</v>
      </c>
      <c r="AV150" s="49" t="n"/>
      <c r="AW150" s="49" t="n">
        <v>30.1</v>
      </c>
      <c r="AX150" s="49" t="n"/>
      <c r="AY150" s="49" t="n">
        <v>22.3</v>
      </c>
      <c r="AZ150" s="49" t="n">
        <v>26.5</v>
      </c>
      <c r="BA150" s="49" t="n">
        <v>5.4</v>
      </c>
      <c r="BB150" s="49" t="n"/>
      <c r="BC150" s="49" t="n">
        <v>21.7</v>
      </c>
      <c r="BD150" s="49" t="n">
        <v>9.800000000000001</v>
      </c>
      <c r="BE150" s="49" t="n">
        <v>14.9</v>
      </c>
      <c r="BF150" s="49" t="n"/>
      <c r="BG150" s="49" t="n"/>
      <c r="BH150" s="49" t="n"/>
      <c r="BI150" s="49" t="n"/>
      <c r="BJ150" s="49" t="n"/>
      <c r="BK150" s="46" t="inlineStr">
        <is>
          <t>Delta Electronics (Thailand) Public Company Limited - Foreign | Bumrungrad Hospital Public Company Limited - Foreign | Meta Platforms Incorporated | Taiwan Semiconductor Manufacturing Company Limited | Airports Of Thailand Public Company Limited - Foreign</t>
        </is>
      </c>
      <c r="BL150" s="49" t="n">
        <v>11.2</v>
      </c>
      <c r="BM150" s="45" t="inlineStr">
        <is>
          <t>High</t>
        </is>
      </c>
      <c r="BN150" s="46" t="inlineStr">
        <is>
          <t>Equity ASEAN ASEAN</t>
        </is>
      </c>
      <c r="BO150" s="46" t="inlineStr">
        <is>
          <t>Index data are sourced from S&amp;P Dow Jones Indices, LLC and expressed in Ringgit terms.</t>
        </is>
      </c>
      <c r="BP150" s="51" t="n">
        <v>0.3426</v>
      </c>
      <c r="BQ150" s="45" t="inlineStr">
        <is>
          <t>2021-02-15</t>
        </is>
      </c>
      <c r="BR150" s="51" t="n">
        <v>0.2474</v>
      </c>
      <c r="BS150" s="50" t="n">
        <v>-27.79</v>
      </c>
      <c r="BT150" s="47" t="n">
        <v>1876</v>
      </c>
    </row>
    <row r="151" ht="16" customHeight="1">
      <c r="A151" s="38" t="inlineStr">
        <is>
          <t>PB ASIA PACIFIC DIVIDEND FUND</t>
        </is>
      </c>
      <c r="B151" s="38" t="inlineStr">
        <is>
          <t>PBAPDF</t>
        </is>
      </c>
      <c r="C151" s="38" t="inlineStr">
        <is>
          <t>Conventional</t>
        </is>
      </c>
      <c r="D151" s="38" t="inlineStr">
        <is>
          <t>Equity</t>
        </is>
      </c>
      <c r="E151" s="38" t="inlineStr">
        <is>
          <t>Asia Pacific</t>
        </is>
      </c>
      <c r="F151" s="39" t="inlineStr">
        <is>
          <t>Income</t>
        </is>
      </c>
      <c r="G151" s="40" t="n">
        <v>5</v>
      </c>
      <c r="H151" s="39" t="inlineStr">
        <is>
          <t>Annual</t>
        </is>
      </c>
      <c r="I151" s="41" t="n">
        <v>145.84</v>
      </c>
      <c r="J151" s="38" t="inlineStr">
        <is>
          <t>15.08.2017</t>
        </is>
      </c>
      <c r="K151" s="38" t="inlineStr">
        <is>
          <t>Disqualified</t>
        </is>
      </c>
      <c r="L151" s="42" t="n">
        <v>0</v>
      </c>
      <c r="M151" s="38" t="inlineStr">
        <is>
          <t>0/4</t>
        </is>
      </c>
      <c r="N151" s="43" t="n">
        <v>7</v>
      </c>
      <c r="O151" s="43" t="n">
        <v>12.95</v>
      </c>
      <c r="P151" s="43" t="n">
        <v>-5.95</v>
      </c>
      <c r="Q151" s="43" t="n">
        <v>9.51</v>
      </c>
      <c r="R151" s="43" t="n">
        <v>22.81</v>
      </c>
      <c r="S151" s="43" t="n">
        <v>-13.3</v>
      </c>
      <c r="T151" s="43" t="n">
        <v>10.78</v>
      </c>
      <c r="U151" s="43" t="n">
        <v>14.94</v>
      </c>
      <c r="V151" s="43" t="n">
        <v>-4.16</v>
      </c>
      <c r="W151" s="43" t="n">
        <v>7.11</v>
      </c>
      <c r="X151" s="43" t="n">
        <v>8.289999999999999</v>
      </c>
      <c r="Y151" s="43" t="n">
        <v>-1.18</v>
      </c>
      <c r="Z151" s="43" t="n"/>
      <c r="AA151" s="43" t="n"/>
      <c r="AB151" s="43" t="n"/>
      <c r="AC151" s="43">
        <f>IF(OR(P151="",BL151="",BL151=0),"",P151/BL151)</f>
        <v/>
      </c>
      <c r="AD151" s="43">
        <f>IF(OR(S151="",BL151="",BL151=0),"",S151/BL151)</f>
        <v/>
      </c>
      <c r="AE151" s="43">
        <f>IF(OR(V151="",BL151="",BL151=0),"",V151/BL151)</f>
        <v/>
      </c>
      <c r="AF151" s="43">
        <f>IF(OR(Y151="",BL151="",BL151=0),"",Y151/BL151)</f>
        <v/>
      </c>
      <c r="AG151" s="43">
        <f>IF(OR(AB151="",BL151="",BL151=0),"",AB151/BL151)</f>
        <v/>
      </c>
      <c r="AH151" s="42" t="n">
        <v>7</v>
      </c>
      <c r="AI151" s="42" t="n">
        <v>74.90000000000001</v>
      </c>
      <c r="AJ151" s="42" t="n"/>
      <c r="AK151" s="42" t="n">
        <v>18.1</v>
      </c>
      <c r="AL151" s="42" t="n"/>
      <c r="AM151" s="42" t="n"/>
      <c r="AN151" s="42" t="n">
        <v>3.9</v>
      </c>
      <c r="AO151" s="42" t="n">
        <v>21.4</v>
      </c>
      <c r="AP151" s="42" t="n">
        <v>9.4</v>
      </c>
      <c r="AQ151" s="42" t="n"/>
      <c r="AR151" s="42" t="n"/>
      <c r="AS151" s="42" t="n"/>
      <c r="AT151" s="42" t="n">
        <v>12.7</v>
      </c>
      <c r="AU151" s="42" t="n"/>
      <c r="AV151" s="42" t="n"/>
      <c r="AW151" s="42" t="n"/>
      <c r="AX151" s="42" t="n"/>
      <c r="AY151" s="42" t="n"/>
      <c r="AZ151" s="42" t="n">
        <v>5.8</v>
      </c>
      <c r="BA151" s="42" t="n">
        <v>26.4</v>
      </c>
      <c r="BB151" s="42" t="n">
        <v>34.9</v>
      </c>
      <c r="BC151" s="42" t="n">
        <v>13.8</v>
      </c>
      <c r="BD151" s="42" t="n">
        <v>1</v>
      </c>
      <c r="BE151" s="42" t="n"/>
      <c r="BF151" s="42" t="n"/>
      <c r="BG151" s="42" t="n"/>
      <c r="BH151" s="42" t="n"/>
      <c r="BI151" s="42" t="n"/>
      <c r="BJ151" s="42" t="n"/>
      <c r="BK151" s="39" t="inlineStr">
        <is>
          <t>Sun Hung Kai Properties Limited | Taiwan Semiconductor Manufacturing Company Limited | MediaTek Incorporated | China Construction Bank Corporation - H Shares | Public Bank Berhad</t>
        </is>
      </c>
      <c r="BL151" s="42" t="n">
        <v>9.300000000000001</v>
      </c>
      <c r="BM151" s="38" t="inlineStr">
        <is>
          <t>Moderate</t>
        </is>
      </c>
      <c r="BN151" s="39" t="inlineStr">
        <is>
          <t>Equity Asia Pacific ex- Asia</t>
        </is>
      </c>
      <c r="BO151" s="39" t="n"/>
      <c r="BP151" s="44" t="n">
        <v>0.312</v>
      </c>
      <c r="BQ151" s="38" t="inlineStr">
        <is>
          <t>2026-02-25</t>
        </is>
      </c>
      <c r="BR151" s="44" t="n">
        <v>0.2964</v>
      </c>
      <c r="BS151" s="43" t="n">
        <v>-5</v>
      </c>
      <c r="BT151" s="40" t="n">
        <v>40</v>
      </c>
    </row>
    <row r="152" ht="16" customHeight="1">
      <c r="A152" s="45" t="inlineStr">
        <is>
          <t>PB CHINA AUSTRALIA EQUITY FUND</t>
        </is>
      </c>
      <c r="B152" s="45" t="inlineStr">
        <is>
          <t>PBCAUEF</t>
        </is>
      </c>
      <c r="C152" s="45" t="inlineStr">
        <is>
          <t>Conventional</t>
        </is>
      </c>
      <c r="D152" s="45" t="inlineStr">
        <is>
          <t>Equity</t>
        </is>
      </c>
      <c r="E152" s="45" t="inlineStr">
        <is>
          <t>Greater China</t>
        </is>
      </c>
      <c r="F152" s="46" t="inlineStr">
        <is>
          <t>Capital Growth</t>
        </is>
      </c>
      <c r="G152" s="47" t="n">
        <v>5</v>
      </c>
      <c r="H152" s="46" t="inlineStr">
        <is>
          <t>Incidental</t>
        </is>
      </c>
      <c r="I152" s="48" t="n">
        <v>143.2</v>
      </c>
      <c r="J152" s="45" t="inlineStr">
        <is>
          <t>02.03.2010</t>
        </is>
      </c>
      <c r="K152" s="45" t="inlineStr">
        <is>
          <t>Disqualified</t>
        </is>
      </c>
      <c r="L152" s="49" t="n">
        <v>0</v>
      </c>
      <c r="M152" s="45" t="inlineStr">
        <is>
          <t>0/5</t>
        </is>
      </c>
      <c r="N152" s="50" t="n">
        <v>-2.22</v>
      </c>
      <c r="O152" s="50" t="n">
        <v>2.19</v>
      </c>
      <c r="P152" s="50" t="n">
        <v>-4.41</v>
      </c>
      <c r="Q152" s="50" t="n">
        <v>-6.89</v>
      </c>
      <c r="R152" s="50" t="n">
        <v>7.03</v>
      </c>
      <c r="S152" s="50" t="n">
        <v>-13.92</v>
      </c>
      <c r="T152" s="50" t="n">
        <v>0.18</v>
      </c>
      <c r="U152" s="50" t="n">
        <v>5.04</v>
      </c>
      <c r="V152" s="50" t="n">
        <v>-4.86</v>
      </c>
      <c r="W152" s="50" t="n">
        <v>-1.79</v>
      </c>
      <c r="X152" s="50" t="n">
        <v>-0.93</v>
      </c>
      <c r="Y152" s="50" t="n">
        <v>-0.86</v>
      </c>
      <c r="Z152" s="50" t="n">
        <v>4.43</v>
      </c>
      <c r="AA152" s="50" t="n">
        <v>5.67</v>
      </c>
      <c r="AB152" s="50" t="n">
        <v>-1.24</v>
      </c>
      <c r="AC152" s="50">
        <f>IF(OR(P152="",BL152="",BL152=0),"",P152/BL152)</f>
        <v/>
      </c>
      <c r="AD152" s="50">
        <f>IF(OR(S152="",BL152="",BL152=0),"",S152/BL152)</f>
        <v/>
      </c>
      <c r="AE152" s="50">
        <f>IF(OR(V152="",BL152="",BL152=0),"",V152/BL152)</f>
        <v/>
      </c>
      <c r="AF152" s="50">
        <f>IF(OR(Y152="",BL152="",BL152=0),"",Y152/BL152)</f>
        <v/>
      </c>
      <c r="AG152" s="50">
        <f>IF(OR(AB152="",BL152="",BL152=0),"",AB152/BL152)</f>
        <v/>
      </c>
      <c r="AH152" s="49" t="n"/>
      <c r="AI152" s="49" t="n">
        <v>81.09999999999999</v>
      </c>
      <c r="AJ152" s="49" t="n"/>
      <c r="AK152" s="49" t="n">
        <v>18.9</v>
      </c>
      <c r="AL152" s="49" t="n"/>
      <c r="AM152" s="49" t="n"/>
      <c r="AN152" s="49" t="n"/>
      <c r="AO152" s="49" t="n"/>
      <c r="AP152" s="49" t="n"/>
      <c r="AQ152" s="49" t="n"/>
      <c r="AR152" s="49" t="n"/>
      <c r="AS152" s="49" t="n"/>
      <c r="AT152" s="49" t="n">
        <v>3.5</v>
      </c>
      <c r="AU152" s="49" t="n"/>
      <c r="AV152" s="49" t="n"/>
      <c r="AW152" s="49" t="n"/>
      <c r="AX152" s="49" t="n">
        <v>30.7</v>
      </c>
      <c r="AY152" s="49" t="n"/>
      <c r="AZ152" s="49" t="n"/>
      <c r="BA152" s="49" t="n">
        <v>3.9</v>
      </c>
      <c r="BB152" s="49" t="n">
        <v>23.9</v>
      </c>
      <c r="BC152" s="49" t="n">
        <v>20.9</v>
      </c>
      <c r="BD152" s="49" t="n">
        <v>16.9</v>
      </c>
      <c r="BE152" s="49" t="n"/>
      <c r="BF152" s="49" t="n"/>
      <c r="BG152" s="49" t="n"/>
      <c r="BH152" s="49" t="n">
        <v>10.9</v>
      </c>
      <c r="BI152" s="49" t="n"/>
      <c r="BJ152" s="49" t="n"/>
      <c r="BK152" s="46" t="inlineStr">
        <is>
          <t>Alibaba Group Holding Limited - W | BHP Group Limited | Tencent Holdings Limited | Commonwealth Bank of Australia | Contemporary Amperex Technology Company Limited - H Shares</t>
        </is>
      </c>
      <c r="BL152" s="49" t="n">
        <v>15.1</v>
      </c>
      <c r="BM152" s="45" t="inlineStr">
        <is>
          <t>Very High</t>
        </is>
      </c>
      <c r="BN152" s="46" t="inlineStr">
        <is>
          <t>Equity Asia Pacific ex- Asia</t>
        </is>
      </c>
      <c r="BO152" s="46" t="n"/>
      <c r="BP152" s="51" t="n">
        <v>0.3197</v>
      </c>
      <c r="BQ152" s="45" t="inlineStr">
        <is>
          <t>2011-04-21</t>
        </is>
      </c>
      <c r="BR152" s="51" t="n">
        <v>0.2309</v>
      </c>
      <c r="BS152" s="50" t="n">
        <v>-27.78</v>
      </c>
      <c r="BT152" s="47" t="n">
        <v>5464</v>
      </c>
    </row>
    <row r="153" ht="16" customHeight="1">
      <c r="A153" s="38" t="inlineStr">
        <is>
          <t>PB ASEAN DIVIDEND FUND</t>
        </is>
      </c>
      <c r="B153" s="38" t="inlineStr">
        <is>
          <t>PBADF</t>
        </is>
      </c>
      <c r="C153" s="38" t="inlineStr">
        <is>
          <t>Conventional</t>
        </is>
      </c>
      <c r="D153" s="38" t="inlineStr">
        <is>
          <t>Equity</t>
        </is>
      </c>
      <c r="E153" s="38" t="inlineStr">
        <is>
          <t>ASEAN</t>
        </is>
      </c>
      <c r="F153" s="39" t="inlineStr">
        <is>
          <t>Income</t>
        </is>
      </c>
      <c r="G153" s="40" t="n">
        <v>5</v>
      </c>
      <c r="H153" s="39" t="inlineStr">
        <is>
          <t>Annual</t>
        </is>
      </c>
      <c r="I153" s="41" t="n">
        <v>536.8200000000001</v>
      </c>
      <c r="J153" s="38" t="inlineStr">
        <is>
          <t>08.05.2007</t>
        </is>
      </c>
      <c r="K153" s="38" t="inlineStr">
        <is>
          <t>Disqualified</t>
        </is>
      </c>
      <c r="L153" s="42" t="n">
        <v>0</v>
      </c>
      <c r="M153" s="38" t="inlineStr">
        <is>
          <t>0/5</t>
        </is>
      </c>
      <c r="N153" s="43" t="n">
        <v>1.6</v>
      </c>
      <c r="O153" s="43" t="n">
        <v>5.88</v>
      </c>
      <c r="P153" s="43" t="n">
        <v>-4.28</v>
      </c>
      <c r="Q153" s="43" t="n">
        <v>2.23</v>
      </c>
      <c r="R153" s="43" t="n">
        <v>13.84</v>
      </c>
      <c r="S153" s="43" t="n">
        <v>-11.61</v>
      </c>
      <c r="T153" s="43" t="n">
        <v>0.67</v>
      </c>
      <c r="U153" s="43" t="n">
        <v>6.38</v>
      </c>
      <c r="V153" s="43" t="n">
        <v>-5.71</v>
      </c>
      <c r="W153" s="43" t="n">
        <v>2.36</v>
      </c>
      <c r="X153" s="43" t="n">
        <v>6.02</v>
      </c>
      <c r="Y153" s="43" t="n">
        <v>-3.66</v>
      </c>
      <c r="Z153" s="43" t="n">
        <v>4.06</v>
      </c>
      <c r="AA153" s="43" t="n">
        <v>4.56</v>
      </c>
      <c r="AB153" s="43" t="n">
        <v>-0.5</v>
      </c>
      <c r="AC153" s="43">
        <f>IF(OR(P153="",BL153="",BL153=0),"",P153/BL153)</f>
        <v/>
      </c>
      <c r="AD153" s="43">
        <f>IF(OR(S153="",BL153="",BL153=0),"",S153/BL153)</f>
        <v/>
      </c>
      <c r="AE153" s="43">
        <f>IF(OR(V153="",BL153="",BL153=0),"",V153/BL153)</f>
        <v/>
      </c>
      <c r="AF153" s="43">
        <f>IF(OR(Y153="",BL153="",BL153=0),"",Y153/BL153)</f>
        <v/>
      </c>
      <c r="AG153" s="43">
        <f>IF(OR(AB153="",BL153="",BL153=0),"",AB153/BL153)</f>
        <v/>
      </c>
      <c r="AH153" s="42" t="n">
        <v>11.3</v>
      </c>
      <c r="AI153" s="42" t="n">
        <v>85.90000000000001</v>
      </c>
      <c r="AJ153" s="42" t="n"/>
      <c r="AK153" s="42" t="n">
        <v>2.8</v>
      </c>
      <c r="AL153" s="42" t="n"/>
      <c r="AM153" s="42" t="n"/>
      <c r="AN153" s="42" t="n"/>
      <c r="AO153" s="42" t="n">
        <v>7.7</v>
      </c>
      <c r="AP153" s="42" t="n">
        <v>5.3</v>
      </c>
      <c r="AQ153" s="42" t="n"/>
      <c r="AR153" s="42" t="n"/>
      <c r="AS153" s="42" t="n"/>
      <c r="AT153" s="42" t="n">
        <v>5</v>
      </c>
      <c r="AU153" s="42" t="n">
        <v>50.2</v>
      </c>
      <c r="AV153" s="42" t="n"/>
      <c r="AW153" s="42" t="n">
        <v>7.7</v>
      </c>
      <c r="AX153" s="42" t="n"/>
      <c r="AY153" s="42" t="n"/>
      <c r="AZ153" s="42" t="n">
        <v>18.3</v>
      </c>
      <c r="BA153" s="42" t="n">
        <v>12.5</v>
      </c>
      <c r="BB153" s="42" t="n">
        <v>39.9</v>
      </c>
      <c r="BC153" s="42" t="n">
        <v>20.3</v>
      </c>
      <c r="BD153" s="42" t="n"/>
      <c r="BE153" s="42" t="n"/>
      <c r="BF153" s="42" t="n">
        <v>2.8</v>
      </c>
      <c r="BG153" s="42" t="n"/>
      <c r="BH153" s="42" t="n"/>
      <c r="BI153" s="42" t="n"/>
      <c r="BJ153" s="42" t="n"/>
      <c r="BK153" s="39" t="inlineStr">
        <is>
          <t>DBS Group Holdings Limited | Oversea-Chinese Banking Corporation Limited | Taiwan Semiconductor Manufacturing Company Limited | Singapore Technologies Engineering Limited | Singapore Telecommunications Limited</t>
        </is>
      </c>
      <c r="BL153" s="42" t="n">
        <v>6.5</v>
      </c>
      <c r="BM153" s="38" t="inlineStr">
        <is>
          <t>Low</t>
        </is>
      </c>
      <c r="BN153" s="39" t="inlineStr">
        <is>
          <t>Equity ASEAN ASEAN</t>
        </is>
      </c>
      <c r="BO153" s="39"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P153" s="44" t="n">
        <v>0.3461</v>
      </c>
      <c r="BQ153" s="38" t="inlineStr">
        <is>
          <t>2013-05-22</t>
        </is>
      </c>
      <c r="BR153" s="44" t="n">
        <v>0.2586</v>
      </c>
      <c r="BS153" s="43" t="n">
        <v>-25.28</v>
      </c>
      <c r="BT153" s="40" t="n">
        <v>4702</v>
      </c>
    </row>
    <row r="154" ht="16" customHeight="1">
      <c r="A154" s="45" t="inlineStr">
        <is>
          <t>PB CHINA ASEAN EQUITY FUND</t>
        </is>
      </c>
      <c r="B154" s="45" t="inlineStr">
        <is>
          <t>PBCAEF</t>
        </is>
      </c>
      <c r="C154" s="45" t="inlineStr">
        <is>
          <t>Conventional</t>
        </is>
      </c>
      <c r="D154" s="45" t="inlineStr">
        <is>
          <t>Equity</t>
        </is>
      </c>
      <c r="E154" s="45" t="inlineStr">
        <is>
          <t>Greater China</t>
        </is>
      </c>
      <c r="F154" s="46" t="inlineStr">
        <is>
          <t>Capital Growth</t>
        </is>
      </c>
      <c r="G154" s="47" t="n">
        <v>5</v>
      </c>
      <c r="H154" s="46" t="inlineStr">
        <is>
          <t>Incidental</t>
        </is>
      </c>
      <c r="I154" s="48" t="n">
        <v>83.81</v>
      </c>
      <c r="J154" s="45" t="inlineStr">
        <is>
          <t>05.03.2008</t>
        </is>
      </c>
      <c r="K154" s="45" t="inlineStr">
        <is>
          <t>Disqualified</t>
        </is>
      </c>
      <c r="L154" s="49" t="n">
        <v>0</v>
      </c>
      <c r="M154" s="45" t="inlineStr">
        <is>
          <t>0/5</t>
        </is>
      </c>
      <c r="N154" s="50" t="n">
        <v>-5.7</v>
      </c>
      <c r="O154" s="50" t="n">
        <v>1.37</v>
      </c>
      <c r="P154" s="50" t="n">
        <v>-7.07</v>
      </c>
      <c r="Q154" s="50" t="n">
        <v>-10.51</v>
      </c>
      <c r="R154" s="50" t="n">
        <v>8.039999999999999</v>
      </c>
      <c r="S154" s="50" t="n">
        <v>-18.55</v>
      </c>
      <c r="T154" s="50" t="n">
        <v>-0.11</v>
      </c>
      <c r="U154" s="50" t="n">
        <v>5.72</v>
      </c>
      <c r="V154" s="50" t="n">
        <v>-5.83</v>
      </c>
      <c r="W154" s="50" t="n">
        <v>-3.5</v>
      </c>
      <c r="X154" s="50" t="n">
        <v>-0.27</v>
      </c>
      <c r="Y154" s="50" t="n">
        <v>-3.23</v>
      </c>
      <c r="Z154" s="50" t="n">
        <v>3.04</v>
      </c>
      <c r="AA154" s="50" t="n">
        <v>4.98</v>
      </c>
      <c r="AB154" s="50" t="n">
        <v>-1.94</v>
      </c>
      <c r="AC154" s="50">
        <f>IF(OR(P154="",BL154="",BL154=0),"",P154/BL154)</f>
        <v/>
      </c>
      <c r="AD154" s="50">
        <f>IF(OR(S154="",BL154="",BL154=0),"",S154/BL154)</f>
        <v/>
      </c>
      <c r="AE154" s="50">
        <f>IF(OR(V154="",BL154="",BL154=0),"",V154/BL154)</f>
        <v/>
      </c>
      <c r="AF154" s="50">
        <f>IF(OR(Y154="",BL154="",BL154=0),"",Y154/BL154)</f>
        <v/>
      </c>
      <c r="AG154" s="50">
        <f>IF(OR(AB154="",BL154="",BL154=0),"",AB154/BL154)</f>
        <v/>
      </c>
      <c r="AH154" s="49" t="n">
        <v>1.8</v>
      </c>
      <c r="AI154" s="49" t="n">
        <v>86</v>
      </c>
      <c r="AJ154" s="49" t="n"/>
      <c r="AK154" s="49" t="n">
        <v>12.2</v>
      </c>
      <c r="AL154" s="49" t="n"/>
      <c r="AM154" s="49" t="n"/>
      <c r="AN154" s="49" t="n"/>
      <c r="AO154" s="49" t="n"/>
      <c r="AP154" s="49" t="n"/>
      <c r="AQ154" s="49" t="n"/>
      <c r="AR154" s="49" t="n"/>
      <c r="AS154" s="49" t="n"/>
      <c r="AT154" s="49" t="n">
        <v>2.2</v>
      </c>
      <c r="AU154" s="49" t="n">
        <v>10.3</v>
      </c>
      <c r="AV154" s="49" t="n"/>
      <c r="AW154" s="49" t="n">
        <v>13.9</v>
      </c>
      <c r="AX154" s="49" t="n"/>
      <c r="AY154" s="49" t="n">
        <v>17.4</v>
      </c>
      <c r="AZ154" s="49" t="n"/>
      <c r="BA154" s="49" t="n">
        <v>9.6</v>
      </c>
      <c r="BB154" s="49" t="n">
        <v>31.1</v>
      </c>
      <c r="BC154" s="49" t="n">
        <v>24.5</v>
      </c>
      <c r="BD154" s="49" t="n">
        <v>10.2</v>
      </c>
      <c r="BE154" s="49" t="n">
        <v>6.8</v>
      </c>
      <c r="BF154" s="49" t="n"/>
      <c r="BG154" s="49" t="n"/>
      <c r="BH154" s="49" t="n"/>
      <c r="BI154" s="49" t="n"/>
      <c r="BJ154" s="49" t="n"/>
      <c r="BK154" s="46" t="inlineStr">
        <is>
          <t>Alibaba Group Holding Limited - W | Tencent Holdings Limited | Bumrungrad Hospital Public Company Limited - Foreign | Semiconductor Manufacturing International Corporation | Pop Mart International Group Limited</t>
        </is>
      </c>
      <c r="BL154" s="49" t="n">
        <v>16</v>
      </c>
      <c r="BM154" s="45" t="inlineStr">
        <is>
          <t>Very High</t>
        </is>
      </c>
      <c r="BN154" s="46" t="inlineStr">
        <is>
          <t>Equity Asia Pacific ex- Asia</t>
        </is>
      </c>
      <c r="BO154" s="46"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P154" s="51" t="n">
        <v>0.451</v>
      </c>
      <c r="BQ154" s="45" t="inlineStr">
        <is>
          <t>2018-01-26</t>
        </is>
      </c>
      <c r="BR154" s="51" t="n">
        <v>0.2791</v>
      </c>
      <c r="BS154" s="50" t="n">
        <v>-38.12</v>
      </c>
      <c r="BT154" s="47" t="n">
        <v>2992</v>
      </c>
    </row>
    <row r="155" ht="16" customHeight="1">
      <c r="A155" s="38" t="inlineStr">
        <is>
          <t>PUBLIC FAR-EAST CONSUMER THEMES FUND</t>
        </is>
      </c>
      <c r="B155" s="38" t="inlineStr">
        <is>
          <t>PFECTF</t>
        </is>
      </c>
      <c r="C155" s="38" t="inlineStr">
        <is>
          <t>Conventional</t>
        </is>
      </c>
      <c r="D155" s="38" t="inlineStr">
        <is>
          <t>Equity</t>
        </is>
      </c>
      <c r="E155" s="38" t="inlineStr">
        <is>
          <t>Asia Pacific</t>
        </is>
      </c>
      <c r="F155" s="39" t="inlineStr">
        <is>
          <t>Capital Growth</t>
        </is>
      </c>
      <c r="G155" s="40" t="n">
        <v>5</v>
      </c>
      <c r="H155" s="39" t="inlineStr">
        <is>
          <t>Incidental</t>
        </is>
      </c>
      <c r="I155" s="41" t="n">
        <v>144.33</v>
      </c>
      <c r="J155" s="38" t="inlineStr">
        <is>
          <t>08.01.2008</t>
        </is>
      </c>
      <c r="K155" s="38" t="inlineStr">
        <is>
          <t>Disqualified</t>
        </is>
      </c>
      <c r="L155" s="42" t="n">
        <v>0</v>
      </c>
      <c r="M155" s="38" t="inlineStr">
        <is>
          <t>0/5</t>
        </is>
      </c>
      <c r="N155" s="43" t="n">
        <v>-1</v>
      </c>
      <c r="O155" s="43" t="n">
        <v>10.52</v>
      </c>
      <c r="P155" s="43" t="n">
        <v>-11.52</v>
      </c>
      <c r="Q155" s="43" t="n">
        <v>-11.74</v>
      </c>
      <c r="R155" s="43" t="n">
        <v>6.84</v>
      </c>
      <c r="S155" s="43" t="n">
        <v>-18.58</v>
      </c>
      <c r="T155" s="43" t="n">
        <v>-6.86</v>
      </c>
      <c r="U155" s="43" t="n">
        <v>-0.85</v>
      </c>
      <c r="V155" s="43" t="n">
        <v>-6.01</v>
      </c>
      <c r="W155" s="43" t="n">
        <v>-9.31</v>
      </c>
      <c r="X155" s="43" t="n">
        <v>-5.18</v>
      </c>
      <c r="Y155" s="43" t="n">
        <v>-4.13</v>
      </c>
      <c r="Z155" s="43" t="n">
        <v>0.42</v>
      </c>
      <c r="AA155" s="43" t="n">
        <v>1.71</v>
      </c>
      <c r="AB155" s="43" t="n">
        <v>-1.29</v>
      </c>
      <c r="AC155" s="43">
        <f>IF(OR(P155="",BL155="",BL155=0),"",P155/BL155)</f>
        <v/>
      </c>
      <c r="AD155" s="43">
        <f>IF(OR(S155="",BL155="",BL155=0),"",S155/BL155)</f>
        <v/>
      </c>
      <c r="AE155" s="43">
        <f>IF(OR(V155="",BL155="",BL155=0),"",V155/BL155)</f>
        <v/>
      </c>
      <c r="AF155" s="43">
        <f>IF(OR(Y155="",BL155="",BL155=0),"",Y155/BL155)</f>
        <v/>
      </c>
      <c r="AG155" s="43">
        <f>IF(OR(AB155="",BL155="",BL155=0),"",AB155/BL155)</f>
        <v/>
      </c>
      <c r="AH155" s="42" t="n"/>
      <c r="AI155" s="42" t="n">
        <v>80.90000000000001</v>
      </c>
      <c r="AJ155" s="42" t="n"/>
      <c r="AK155" s="42" t="n">
        <v>19.1</v>
      </c>
      <c r="AL155" s="42" t="n"/>
      <c r="AM155" s="42" t="n"/>
      <c r="AN155" s="42" t="n">
        <v>7</v>
      </c>
      <c r="AO155" s="42" t="n">
        <v>5.3</v>
      </c>
      <c r="AP155" s="42" t="n">
        <v>15.2</v>
      </c>
      <c r="AQ155" s="42" t="n">
        <v>11.5</v>
      </c>
      <c r="AR155" s="42" t="n"/>
      <c r="AS155" s="42" t="n"/>
      <c r="AT155" s="42" t="n">
        <v>32.4</v>
      </c>
      <c r="AU155" s="42" t="n"/>
      <c r="AV155" s="42" t="n"/>
      <c r="AW155" s="42" t="n"/>
      <c r="AX155" s="42" t="n"/>
      <c r="AY155" s="42" t="n"/>
      <c r="AZ155" s="42" t="n">
        <v>5.3</v>
      </c>
      <c r="BA155" s="42" t="n">
        <v>17.6</v>
      </c>
      <c r="BB155" s="42" t="n"/>
      <c r="BC155" s="42" t="n">
        <v>23.6</v>
      </c>
      <c r="BD155" s="42" t="n">
        <v>32.1</v>
      </c>
      <c r="BE155" s="42" t="n">
        <v>2.3</v>
      </c>
      <c r="BF155" s="42" t="n"/>
      <c r="BG155" s="42" t="n"/>
      <c r="BH155" s="42" t="n"/>
      <c r="BI155" s="42" t="n"/>
      <c r="BJ155" s="42" t="n"/>
      <c r="BK155" s="39" t="inlineStr">
        <is>
          <t>Alibaba Group Holding Limited - W | Samsung Electronics Company Limited | Tencent Holdings Limited | BYD Company Limited - H Shares | ASICS Corporation</t>
        </is>
      </c>
      <c r="BL155" s="42" t="n">
        <v>13.6</v>
      </c>
      <c r="BM155" s="38" t="inlineStr">
        <is>
          <t>Very High</t>
        </is>
      </c>
      <c r="BN155" s="39" t="inlineStr">
        <is>
          <t>Equity Sector Consumer Asia</t>
        </is>
      </c>
      <c r="BO155"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P155" s="44" t="n">
        <v>0.4053</v>
      </c>
      <c r="BQ155" s="38" t="inlineStr">
        <is>
          <t>2021-02-17</t>
        </is>
      </c>
      <c r="BR155" s="44" t="n">
        <v>0.2038</v>
      </c>
      <c r="BS155" s="43" t="n">
        <v>-49.72</v>
      </c>
      <c r="BT155" s="40" t="n">
        <v>1874</v>
      </c>
    </row>
    <row r="156" ht="16" customHeight="1">
      <c r="A156" s="52" t="inlineStr">
        <is>
          <t>PUBLIC INDIA-GLOBAL EQUITY FUND</t>
        </is>
      </c>
      <c r="B156" s="52" t="inlineStr">
        <is>
          <t>PINGEF</t>
        </is>
      </c>
      <c r="C156" s="52" t="inlineStr">
        <is>
          <t>Shariah</t>
        </is>
      </c>
      <c r="D156" s="52" t="inlineStr">
        <is>
          <t>Equity</t>
        </is>
      </c>
      <c r="E156" s="52" t="inlineStr">
        <is>
          <t>Global</t>
        </is>
      </c>
      <c r="F156" s="46" t="inlineStr">
        <is>
          <t>Capital Growth</t>
        </is>
      </c>
      <c r="G156" s="47" t="n">
        <v>5</v>
      </c>
      <c r="H156" s="46" t="inlineStr">
        <is>
          <t>Incidental</t>
        </is>
      </c>
      <c r="I156" s="48" t="n">
        <v>144.08</v>
      </c>
      <c r="J156" s="45" t="inlineStr">
        <is>
          <t>19.01.2018</t>
        </is>
      </c>
      <c r="K156" s="45" t="inlineStr">
        <is>
          <t>Disqualified</t>
        </is>
      </c>
      <c r="L156" s="49" t="n">
        <v>0</v>
      </c>
      <c r="M156" s="45" t="inlineStr">
        <is>
          <t>0/4</t>
        </is>
      </c>
      <c r="N156" s="50" t="n">
        <v>-5.89</v>
      </c>
      <c r="O156" s="50" t="n">
        <v>-0.65</v>
      </c>
      <c r="P156" s="50" t="n">
        <v>-5.24</v>
      </c>
      <c r="Q156" s="50" t="n">
        <v>-2.36</v>
      </c>
      <c r="R156" s="50" t="n">
        <v>5.86</v>
      </c>
      <c r="S156" s="50" t="n">
        <v>-8.220000000000001</v>
      </c>
      <c r="T156" s="50" t="n">
        <v>4.24</v>
      </c>
      <c r="U156" s="50" t="n">
        <v>10.37</v>
      </c>
      <c r="V156" s="50" t="n">
        <v>-6.13</v>
      </c>
      <c r="W156" s="50" t="n">
        <v>0.84</v>
      </c>
      <c r="X156" s="50" t="n">
        <v>6.55</v>
      </c>
      <c r="Y156" s="50" t="n">
        <v>-5.71</v>
      </c>
      <c r="Z156" s="50" t="n"/>
      <c r="AA156" s="50" t="n"/>
      <c r="AB156" s="50" t="n"/>
      <c r="AC156" s="50">
        <f>IF(OR(P156="",BL156="",BL156=0),"",P156/BL156)</f>
        <v/>
      </c>
      <c r="AD156" s="50">
        <f>IF(OR(S156="",BL156="",BL156=0),"",S156/BL156)</f>
        <v/>
      </c>
      <c r="AE156" s="50">
        <f>IF(OR(V156="",BL156="",BL156=0),"",V156/BL156)</f>
        <v/>
      </c>
      <c r="AF156" s="50">
        <f>IF(OR(Y156="",BL156="",BL156=0),"",Y156/BL156)</f>
        <v/>
      </c>
      <c r="AG156" s="50">
        <f>IF(OR(AB156="",BL156="",BL156=0),"",AB156/BL156)</f>
        <v/>
      </c>
      <c r="AH156" s="49" t="n">
        <v>0.4</v>
      </c>
      <c r="AI156" s="49" t="n">
        <v>78.40000000000001</v>
      </c>
      <c r="AJ156" s="49" t="n"/>
      <c r="AK156" s="49" t="n">
        <v>21.2</v>
      </c>
      <c r="AL156" s="49" t="n"/>
      <c r="AM156" s="49" t="n"/>
      <c r="AN156" s="49" t="n">
        <v>26.3</v>
      </c>
      <c r="AO156" s="49" t="n">
        <v>9.699999999999999</v>
      </c>
      <c r="AP156" s="49" t="n"/>
      <c r="AQ156" s="49" t="n"/>
      <c r="AR156" s="49" t="n"/>
      <c r="AS156" s="49" t="n"/>
      <c r="AT156" s="49" t="n">
        <v>9.699999999999999</v>
      </c>
      <c r="AU156" s="49" t="n"/>
      <c r="AV156" s="49" t="n">
        <v>1.6</v>
      </c>
      <c r="AW156" s="49" t="n"/>
      <c r="AX156" s="49" t="n"/>
      <c r="AY156" s="49" t="n">
        <v>31.1</v>
      </c>
      <c r="AZ156" s="49" t="n">
        <v>6.6</v>
      </c>
      <c r="BA156" s="49" t="n">
        <v>18.3</v>
      </c>
      <c r="BB156" s="49" t="n">
        <v>5.2</v>
      </c>
      <c r="BC156" s="49" t="n">
        <v>37.9</v>
      </c>
      <c r="BD156" s="49" t="n">
        <v>6.4</v>
      </c>
      <c r="BE156" s="49" t="n"/>
      <c r="BF156" s="49" t="n"/>
      <c r="BG156" s="49" t="n"/>
      <c r="BH156" s="49" t="n"/>
      <c r="BI156" s="49" t="n"/>
      <c r="BJ156" s="49" t="n"/>
      <c r="BK156" s="46" t="inlineStr">
        <is>
          <t>Taiwan Semiconductor Manufacturing Company Limited | Alphabet Incorporated - Class A | Meta Platforms Incorporated | Alibaba Group Holding Limited - W | NVIDIA Corporation</t>
        </is>
      </c>
      <c r="BL156" s="49" t="n">
        <v>11.5</v>
      </c>
      <c r="BM156" s="45" t="inlineStr">
        <is>
          <t>High</t>
        </is>
      </c>
      <c r="BN156" s="46" t="inlineStr">
        <is>
          <t>Global</t>
        </is>
      </c>
      <c r="BO156"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P156" s="51" t="n">
        <v>0.385</v>
      </c>
      <c r="BQ156" s="45" t="inlineStr">
        <is>
          <t>2025-10-27</t>
        </is>
      </c>
      <c r="BR156" s="51" t="n">
        <v>0.3052</v>
      </c>
      <c r="BS156" s="50" t="n">
        <v>-20.73</v>
      </c>
      <c r="BT156" s="47" t="n">
        <v>161</v>
      </c>
    </row>
    <row r="157" ht="16" customHeight="1">
      <c r="A157" s="38" t="inlineStr">
        <is>
          <t>PUBLIC FAR-EAST TELCO &amp; INFRASTRUCTURE FUND</t>
        </is>
      </c>
      <c r="B157" s="38" t="inlineStr">
        <is>
          <t>PFETIF</t>
        </is>
      </c>
      <c r="C157" s="38" t="inlineStr">
        <is>
          <t>Conventional</t>
        </is>
      </c>
      <c r="D157" s="38" t="inlineStr">
        <is>
          <t>Equity</t>
        </is>
      </c>
      <c r="E157" s="38" t="inlineStr">
        <is>
          <t>Asia Pacific</t>
        </is>
      </c>
      <c r="F157" s="39" t="inlineStr">
        <is>
          <t>Capital Growth</t>
        </is>
      </c>
      <c r="G157" s="40" t="n">
        <v>5</v>
      </c>
      <c r="H157" s="39" t="inlineStr">
        <is>
          <t>Incidental</t>
        </is>
      </c>
      <c r="I157" s="41" t="n">
        <v>49.36</v>
      </c>
      <c r="J157" s="38" t="inlineStr">
        <is>
          <t>08.07.2008</t>
        </is>
      </c>
      <c r="K157" s="38" t="inlineStr">
        <is>
          <t>Disqualified</t>
        </is>
      </c>
      <c r="L157" s="42" t="n">
        <v>0</v>
      </c>
      <c r="M157" s="38" t="inlineStr">
        <is>
          <t>0/5</t>
        </is>
      </c>
      <c r="N157" s="43" t="n">
        <v>-6.77</v>
      </c>
      <c r="O157" s="43" t="n">
        <v>3.21</v>
      </c>
      <c r="P157" s="43" t="n">
        <v>-9.98</v>
      </c>
      <c r="Q157" s="43" t="n">
        <v>-9.31</v>
      </c>
      <c r="R157" s="43" t="n">
        <v>12.25</v>
      </c>
      <c r="S157" s="43" t="n">
        <v>-21.56</v>
      </c>
      <c r="T157" s="43" t="n">
        <v>-2.32</v>
      </c>
      <c r="U157" s="43" t="n">
        <v>4.24</v>
      </c>
      <c r="V157" s="43" t="n">
        <v>-6.56</v>
      </c>
      <c r="W157" s="43" t="n">
        <v>-7.36</v>
      </c>
      <c r="X157" s="43" t="n">
        <v>-2.17</v>
      </c>
      <c r="Y157" s="43" t="n">
        <v>-5.19</v>
      </c>
      <c r="Z157" s="43" t="n">
        <v>-1.03</v>
      </c>
      <c r="AA157" s="43" t="n">
        <v>0.5</v>
      </c>
      <c r="AB157" s="43" t="n">
        <v>-1.53</v>
      </c>
      <c r="AC157" s="43">
        <f>IF(OR(P157="",BL157="",BL157=0),"",P157/BL157)</f>
        <v/>
      </c>
      <c r="AD157" s="43">
        <f>IF(OR(S157="",BL157="",BL157=0),"",S157/BL157)</f>
        <v/>
      </c>
      <c r="AE157" s="43">
        <f>IF(OR(V157="",BL157="",BL157=0),"",V157/BL157)</f>
        <v/>
      </c>
      <c r="AF157" s="43">
        <f>IF(OR(Y157="",BL157="",BL157=0),"",Y157/BL157)</f>
        <v/>
      </c>
      <c r="AG157" s="43">
        <f>IF(OR(AB157="",BL157="",BL157=0),"",AB157/BL157)</f>
        <v/>
      </c>
      <c r="AH157" s="42" t="n">
        <v>16.2</v>
      </c>
      <c r="AI157" s="42" t="n">
        <v>58.4</v>
      </c>
      <c r="AJ157" s="42" t="n"/>
      <c r="AK157" s="42" t="n">
        <v>25.4</v>
      </c>
      <c r="AL157" s="42" t="n"/>
      <c r="AM157" s="42" t="n"/>
      <c r="AN157" s="42" t="n"/>
      <c r="AO157" s="42" t="n">
        <v>2.8</v>
      </c>
      <c r="AP157" s="42" t="n">
        <v>6.1</v>
      </c>
      <c r="AQ157" s="42" t="n"/>
      <c r="AR157" s="42" t="n"/>
      <c r="AS157" s="42" t="n"/>
      <c r="AT157" s="42" t="n">
        <v>37.2</v>
      </c>
      <c r="AU157" s="42" t="n">
        <v>12.3</v>
      </c>
      <c r="AV157" s="42" t="n"/>
      <c r="AW157" s="42" t="n"/>
      <c r="AX157" s="42" t="n"/>
      <c r="AY157" s="42" t="n"/>
      <c r="AZ157" s="42" t="n"/>
      <c r="BA157" s="42" t="n"/>
      <c r="BB157" s="42" t="n"/>
      <c r="BC157" s="42" t="n">
        <v>55.3</v>
      </c>
      <c r="BD157" s="42" t="n"/>
      <c r="BE157" s="42" t="n"/>
      <c r="BF157" s="42" t="n">
        <v>9.199999999999999</v>
      </c>
      <c r="BG157" s="42" t="n">
        <v>5.7</v>
      </c>
      <c r="BH157" s="42" t="n"/>
      <c r="BI157" s="42" t="n"/>
      <c r="BJ157" s="42" t="n"/>
      <c r="BK157" s="39" t="inlineStr">
        <is>
          <t>Alibaba Group Holding Limited - W | Tencent Holdings Limited | Naver Corporation | Telekom Malaysia Berhad | Tenaga Nasional Berhad</t>
        </is>
      </c>
      <c r="BL157" s="42" t="n">
        <v>13.7</v>
      </c>
      <c r="BM157" s="38" t="inlineStr">
        <is>
          <t>Very High</t>
        </is>
      </c>
      <c r="BN157" s="39" t="inlineStr">
        <is>
          <t>Asia</t>
        </is>
      </c>
      <c r="BO157" s="39"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P157" s="44" t="n">
        <v>0.4055</v>
      </c>
      <c r="BQ157" s="38" t="inlineStr">
        <is>
          <t>2021-02-19</t>
        </is>
      </c>
      <c r="BR157" s="44" t="n">
        <v>0.227</v>
      </c>
      <c r="BS157" s="43" t="n">
        <v>-44.02</v>
      </c>
      <c r="BT157" s="40" t="n">
        <v>1872</v>
      </c>
    </row>
    <row r="158" ht="16" customHeight="1">
      <c r="A158" s="45" t="inlineStr">
        <is>
          <t>PUBLIC SOUTH-EAST ASIA SELECT FUND</t>
        </is>
      </c>
      <c r="B158" s="45" t="inlineStr">
        <is>
          <t>PSEASF</t>
        </is>
      </c>
      <c r="C158" s="45" t="inlineStr">
        <is>
          <t>Conventional</t>
        </is>
      </c>
      <c r="D158" s="45" t="inlineStr">
        <is>
          <t>Equity</t>
        </is>
      </c>
      <c r="E158" s="45" t="inlineStr">
        <is>
          <t>ASEAN</t>
        </is>
      </c>
      <c r="F158" s="46" t="inlineStr">
        <is>
          <t>Capital Growth</t>
        </is>
      </c>
      <c r="G158" s="47" t="n">
        <v>5</v>
      </c>
      <c r="H158" s="46" t="inlineStr">
        <is>
          <t>Incidental</t>
        </is>
      </c>
      <c r="I158" s="48" t="n">
        <v>897.78</v>
      </c>
      <c r="J158" s="45" t="inlineStr">
        <is>
          <t>02.10.2007</t>
        </is>
      </c>
      <c r="K158" s="45" t="inlineStr">
        <is>
          <t>Disqualified</t>
        </is>
      </c>
      <c r="L158" s="49" t="n">
        <v>0</v>
      </c>
      <c r="M158" s="45" t="inlineStr">
        <is>
          <t>0/5</t>
        </is>
      </c>
      <c r="N158" s="50" t="n">
        <v>-1.72</v>
      </c>
      <c r="O158" s="50" t="n">
        <v>6.49</v>
      </c>
      <c r="P158" s="50" t="n">
        <v>-8.210000000000001</v>
      </c>
      <c r="Q158" s="50" t="n">
        <v>-1.04</v>
      </c>
      <c r="R158" s="50" t="n">
        <v>14.99</v>
      </c>
      <c r="S158" s="50" t="n">
        <v>-16.03</v>
      </c>
      <c r="T158" s="50" t="n">
        <v>-0.06</v>
      </c>
      <c r="U158" s="50" t="n">
        <v>6.64</v>
      </c>
      <c r="V158" s="50" t="n">
        <v>-6.7</v>
      </c>
      <c r="W158" s="50" t="n">
        <v>2.27</v>
      </c>
      <c r="X158" s="50" t="n">
        <v>6.29</v>
      </c>
      <c r="Y158" s="50" t="n">
        <v>-4.02</v>
      </c>
      <c r="Z158" s="50" t="n">
        <v>3.14</v>
      </c>
      <c r="AA158" s="50" t="n">
        <v>4.64</v>
      </c>
      <c r="AB158" s="50" t="n">
        <v>-1.5</v>
      </c>
      <c r="AC158" s="50">
        <f>IF(OR(P158="",BL158="",BL158=0),"",P158/BL158)</f>
        <v/>
      </c>
      <c r="AD158" s="50">
        <f>IF(OR(S158="",BL158="",BL158=0),"",S158/BL158)</f>
        <v/>
      </c>
      <c r="AE158" s="50">
        <f>IF(OR(V158="",BL158="",BL158=0),"",V158/BL158)</f>
        <v/>
      </c>
      <c r="AF158" s="50">
        <f>IF(OR(Y158="",BL158="",BL158=0),"",Y158/BL158)</f>
        <v/>
      </c>
      <c r="AG158" s="50">
        <f>IF(OR(AB158="",BL158="",BL158=0),"",AB158/BL158)</f>
        <v/>
      </c>
      <c r="AH158" s="49" t="n">
        <v>11.8</v>
      </c>
      <c r="AI158" s="49" t="n">
        <v>79.59999999999999</v>
      </c>
      <c r="AJ158" s="49" t="n"/>
      <c r="AK158" s="49" t="n">
        <v>8.6</v>
      </c>
      <c r="AL158" s="49" t="n"/>
      <c r="AM158" s="49" t="n"/>
      <c r="AN158" s="49" t="n">
        <v>14.4</v>
      </c>
      <c r="AO158" s="49" t="n"/>
      <c r="AP158" s="49" t="n"/>
      <c r="AQ158" s="49" t="n"/>
      <c r="AR158" s="49" t="n"/>
      <c r="AS158" s="49" t="n"/>
      <c r="AT158" s="49" t="n"/>
      <c r="AU158" s="49" t="n">
        <v>51</v>
      </c>
      <c r="AV158" s="49" t="n"/>
      <c r="AW158" s="49" t="n">
        <v>9.199999999999999</v>
      </c>
      <c r="AX158" s="49" t="n"/>
      <c r="AY158" s="49" t="n">
        <v>5</v>
      </c>
      <c r="AZ158" s="49" t="n">
        <v>14.6</v>
      </c>
      <c r="BA158" s="49" t="n"/>
      <c r="BB158" s="49" t="n">
        <v>42.8</v>
      </c>
      <c r="BC158" s="49" t="n">
        <v>25.3</v>
      </c>
      <c r="BD158" s="49" t="n">
        <v>6</v>
      </c>
      <c r="BE158" s="49" t="n"/>
      <c r="BF158" s="49" t="n">
        <v>2</v>
      </c>
      <c r="BG158" s="49" t="n"/>
      <c r="BH158" s="49" t="n"/>
      <c r="BI158" s="49" t="n"/>
      <c r="BJ158" s="49" t="n"/>
      <c r="BK158" s="46" t="inlineStr">
        <is>
          <t>DBS Group Holdings Limited | Oversea-Chinese Banking Corporation Limited | Public Bank Berhad | Singapore Technologies Engineering Limited | Bank Central Asia Tbk</t>
        </is>
      </c>
      <c r="BL158" s="49" t="n">
        <v>6.2</v>
      </c>
      <c r="BM158" s="45" t="inlineStr">
        <is>
          <t>Low</t>
        </is>
      </c>
      <c r="BN158" s="46" t="inlineStr">
        <is>
          <t>Equity ASEAN ASEAN</t>
        </is>
      </c>
      <c r="BO158" s="46" t="n"/>
      <c r="BP158" s="51" t="n">
        <v>0.3173</v>
      </c>
      <c r="BQ158" s="45" t="inlineStr">
        <is>
          <t>2013-05-20</t>
        </is>
      </c>
      <c r="BR158" s="51" t="n">
        <v>0.2698</v>
      </c>
      <c r="BS158" s="50" t="n">
        <v>-14.97</v>
      </c>
      <c r="BT158" s="47" t="n">
        <v>4704</v>
      </c>
    </row>
    <row r="159" ht="16" customHeight="1">
      <c r="A159" s="38" t="inlineStr">
        <is>
          <t>PUBLIC ASEAN GROWTH FUND</t>
        </is>
      </c>
      <c r="B159" s="38" t="inlineStr">
        <is>
          <t>PASGF</t>
        </is>
      </c>
      <c r="C159" s="38" t="inlineStr">
        <is>
          <t>Conventional</t>
        </is>
      </c>
      <c r="D159" s="38" t="inlineStr">
        <is>
          <t>Equity</t>
        </is>
      </c>
      <c r="E159" s="38" t="inlineStr">
        <is>
          <t>ASEAN</t>
        </is>
      </c>
      <c r="F159" s="39" t="inlineStr">
        <is>
          <t>Capital Growth</t>
        </is>
      </c>
      <c r="G159" s="40" t="n">
        <v>5</v>
      </c>
      <c r="H159" s="39" t="inlineStr">
        <is>
          <t>Incidental</t>
        </is>
      </c>
      <c r="I159" s="41" t="n">
        <v>76.54000000000001</v>
      </c>
      <c r="J159" s="38" t="inlineStr">
        <is>
          <t>26.10.2017</t>
        </is>
      </c>
      <c r="K159" s="38" t="inlineStr">
        <is>
          <t>Disqualified</t>
        </is>
      </c>
      <c r="L159" s="42" t="n">
        <v>0</v>
      </c>
      <c r="M159" s="38" t="inlineStr">
        <is>
          <t>0/4</t>
        </is>
      </c>
      <c r="N159" s="43" t="n">
        <v>0.5</v>
      </c>
      <c r="O159" s="43" t="n">
        <v>6.49</v>
      </c>
      <c r="P159" s="43" t="n">
        <v>-5.99</v>
      </c>
      <c r="Q159" s="43" t="n">
        <v>0.62</v>
      </c>
      <c r="R159" s="43" t="n">
        <v>14.99</v>
      </c>
      <c r="S159" s="43" t="n">
        <v>-14.37</v>
      </c>
      <c r="T159" s="43" t="n">
        <v>-2.47</v>
      </c>
      <c r="U159" s="43" t="n">
        <v>6.64</v>
      </c>
      <c r="V159" s="43" t="n">
        <v>-9.109999999999999</v>
      </c>
      <c r="W159" s="43" t="n">
        <v>-0.09</v>
      </c>
      <c r="X159" s="43" t="n">
        <v>6.29</v>
      </c>
      <c r="Y159" s="43" t="n">
        <v>-6.38</v>
      </c>
      <c r="Z159" s="43" t="n"/>
      <c r="AA159" s="43" t="n"/>
      <c r="AB159" s="43" t="n"/>
      <c r="AC159" s="43">
        <f>IF(OR(P159="",BL159="",BL159=0),"",P159/BL159)</f>
        <v/>
      </c>
      <c r="AD159" s="43">
        <f>IF(OR(S159="",BL159="",BL159=0),"",S159/BL159)</f>
        <v/>
      </c>
      <c r="AE159" s="43">
        <f>IF(OR(V159="",BL159="",BL159=0),"",V159/BL159)</f>
        <v/>
      </c>
      <c r="AF159" s="43">
        <f>IF(OR(Y159="",BL159="",BL159=0),"",Y159/BL159)</f>
        <v/>
      </c>
      <c r="AG159" s="43">
        <f>IF(OR(AB159="",BL159="",BL159=0),"",AB159/BL159)</f>
        <v/>
      </c>
      <c r="AH159" s="42" t="n">
        <v>10</v>
      </c>
      <c r="AI159" s="42" t="n">
        <v>80.8</v>
      </c>
      <c r="AJ159" s="42" t="n"/>
      <c r="AK159" s="42" t="n">
        <v>9.199999999999999</v>
      </c>
      <c r="AL159" s="42" t="n"/>
      <c r="AM159" s="42" t="n"/>
      <c r="AN159" s="42" t="n"/>
      <c r="AO159" s="42" t="n"/>
      <c r="AP159" s="42" t="n"/>
      <c r="AQ159" s="42" t="n"/>
      <c r="AR159" s="42" t="n"/>
      <c r="AS159" s="42" t="n"/>
      <c r="AT159" s="42" t="n"/>
      <c r="AU159" s="42" t="n">
        <v>52.4</v>
      </c>
      <c r="AV159" s="42" t="n"/>
      <c r="AW159" s="42" t="n">
        <v>12.8</v>
      </c>
      <c r="AX159" s="42" t="n"/>
      <c r="AY159" s="42" t="n">
        <v>15.6</v>
      </c>
      <c r="AZ159" s="42" t="n">
        <v>22</v>
      </c>
      <c r="BA159" s="42" t="n"/>
      <c r="BB159" s="42" t="n">
        <v>37.3</v>
      </c>
      <c r="BC159" s="42" t="n">
        <v>14.7</v>
      </c>
      <c r="BD159" s="42" t="n">
        <v>4.8</v>
      </c>
      <c r="BE159" s="42" t="n"/>
      <c r="BF159" s="42" t="n">
        <v>5.8</v>
      </c>
      <c r="BG159" s="42" t="n"/>
      <c r="BH159" s="42" t="n"/>
      <c r="BI159" s="42" t="n"/>
      <c r="BJ159" s="42" t="n"/>
      <c r="BK159" s="39" t="inlineStr">
        <is>
          <t>Oversea-Chinese Banking Corporation Limited | DBS Group Holdings Limited | Keppel Limited | Singapore Technologies Engineering Limited | Tenaga Nasional Berhad</t>
        </is>
      </c>
      <c r="BL159" s="42" t="n">
        <v>7.4</v>
      </c>
      <c r="BM159" s="38" t="inlineStr">
        <is>
          <t>Low</t>
        </is>
      </c>
      <c r="BN159" s="39" t="inlineStr">
        <is>
          <t>ASEAN</t>
        </is>
      </c>
      <c r="BO159" s="39" t="inlineStr">
        <is>
          <t>Index data are sourced from Lipper and expressed in Ringgit terms.</t>
        </is>
      </c>
      <c r="BP159" s="44" t="n">
        <v>0.3109</v>
      </c>
      <c r="BQ159" s="38" t="inlineStr">
        <is>
          <t>2024-02-20</t>
        </is>
      </c>
      <c r="BR159" s="44" t="n">
        <v>0.2542</v>
      </c>
      <c r="BS159" s="43" t="n">
        <v>-18.24</v>
      </c>
      <c r="BT159" s="40" t="n">
        <v>776</v>
      </c>
    </row>
    <row r="160" ht="16" customHeight="1">
      <c r="A160" s="45" t="inlineStr">
        <is>
          <t>PB ASIA EMERGING GROWTH FUND</t>
        </is>
      </c>
      <c r="B160" s="45" t="inlineStr">
        <is>
          <t>PBAEGF</t>
        </is>
      </c>
      <c r="C160" s="45" t="inlineStr">
        <is>
          <t>Conventional</t>
        </is>
      </c>
      <c r="D160" s="45" t="inlineStr">
        <is>
          <t>Equity</t>
        </is>
      </c>
      <c r="E160" s="45" t="inlineStr">
        <is>
          <t>Asia</t>
        </is>
      </c>
      <c r="F160" s="46" t="inlineStr">
        <is>
          <t>Capital Growth</t>
        </is>
      </c>
      <c r="G160" s="47" t="n">
        <v>5</v>
      </c>
      <c r="H160" s="46" t="inlineStr">
        <is>
          <t>Incidental</t>
        </is>
      </c>
      <c r="I160" s="48" t="n">
        <v>20.14</v>
      </c>
      <c r="J160" s="45" t="inlineStr">
        <is>
          <t>06.09.2011</t>
        </is>
      </c>
      <c r="K160" s="45" t="inlineStr">
        <is>
          <t>Disqualified</t>
        </is>
      </c>
      <c r="L160" s="49" t="n">
        <v>0</v>
      </c>
      <c r="M160" s="45" t="inlineStr">
        <is>
          <t>0/5</t>
        </is>
      </c>
      <c r="N160" s="50" t="n">
        <v>-0.46</v>
      </c>
      <c r="O160" s="50" t="n">
        <v>14.44</v>
      </c>
      <c r="P160" s="50" t="n">
        <v>-14.9</v>
      </c>
      <c r="Q160" s="50" t="n">
        <v>12.27</v>
      </c>
      <c r="R160" s="50" t="n">
        <v>28.27</v>
      </c>
      <c r="S160" s="50" t="n">
        <v>-16</v>
      </c>
      <c r="T160" s="50" t="n">
        <v>0.32</v>
      </c>
      <c r="U160" s="50" t="n">
        <v>9.470000000000001</v>
      </c>
      <c r="V160" s="50" t="n">
        <v>-9.15</v>
      </c>
      <c r="W160" s="50" t="n">
        <v>-1.8</v>
      </c>
      <c r="X160" s="50" t="n">
        <v>2.29</v>
      </c>
      <c r="Y160" s="50" t="n">
        <v>-4.09</v>
      </c>
      <c r="Z160" s="50" t="n">
        <v>3.45</v>
      </c>
      <c r="AA160" s="50" t="n">
        <v>4.89</v>
      </c>
      <c r="AB160" s="50" t="n">
        <v>-1.44</v>
      </c>
      <c r="AC160" s="50">
        <f>IF(OR(P160="",BL160="",BL160=0),"",P160/BL160)</f>
        <v/>
      </c>
      <c r="AD160" s="50">
        <f>IF(OR(S160="",BL160="",BL160=0),"",S160/BL160)</f>
        <v/>
      </c>
      <c r="AE160" s="50">
        <f>IF(OR(V160="",BL160="",BL160=0),"",V160/BL160)</f>
        <v/>
      </c>
      <c r="AF160" s="50">
        <f>IF(OR(Y160="",BL160="",BL160=0),"",Y160/BL160)</f>
        <v/>
      </c>
      <c r="AG160" s="50">
        <f>IF(OR(AB160="",BL160="",BL160=0),"",AB160/BL160)</f>
        <v/>
      </c>
      <c r="AH160" s="49" t="n">
        <v>11.5</v>
      </c>
      <c r="AI160" s="49" t="n">
        <v>71.3</v>
      </c>
      <c r="AJ160" s="49" t="n"/>
      <c r="AK160" s="49" t="n">
        <v>17.2</v>
      </c>
      <c r="AL160" s="49" t="n"/>
      <c r="AM160" s="49" t="n"/>
      <c r="AN160" s="49" t="n"/>
      <c r="AO160" s="49" t="n">
        <v>33.6</v>
      </c>
      <c r="AP160" s="49" t="n"/>
      <c r="AQ160" s="49" t="n"/>
      <c r="AR160" s="49" t="n"/>
      <c r="AS160" s="49" t="n"/>
      <c r="AT160" s="49" t="n">
        <v>18.9</v>
      </c>
      <c r="AU160" s="49" t="n">
        <v>9.5</v>
      </c>
      <c r="AV160" s="49" t="n"/>
      <c r="AW160" s="49" t="n">
        <v>3.6</v>
      </c>
      <c r="AX160" s="49" t="n"/>
      <c r="AY160" s="49" t="n">
        <v>2.6</v>
      </c>
      <c r="AZ160" s="49" t="n">
        <v>38.3</v>
      </c>
      <c r="BA160" s="49" t="n">
        <v>15.5</v>
      </c>
      <c r="BB160" s="49" t="n">
        <v>5.7</v>
      </c>
      <c r="BC160" s="49" t="n">
        <v>12.1</v>
      </c>
      <c r="BD160" s="49" t="n"/>
      <c r="BE160" s="49" t="n">
        <v>10.2</v>
      </c>
      <c r="BF160" s="49" t="n"/>
      <c r="BG160" s="49" t="n"/>
      <c r="BH160" s="49" t="n"/>
      <c r="BI160" s="49" t="n"/>
      <c r="BJ160" s="49" t="n"/>
      <c r="BK160" s="46" t="inlineStr">
        <is>
          <t>Gold Circuit Electronics Limited | King Yuan Electronics Company Limited | Kinik Company | Jentech Precision Industrial Company Limited | UWC Berhad</t>
        </is>
      </c>
      <c r="BL160" s="49" t="n">
        <v>10.5</v>
      </c>
      <c r="BM160" s="45" t="inlineStr">
        <is>
          <t>High</t>
        </is>
      </c>
      <c r="BN160" s="46" t="inlineStr">
        <is>
          <t>Equity Asia Pacific Small Asia</t>
        </is>
      </c>
      <c r="BO160" s="46"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P160" s="51" t="n">
        <v>0.3866</v>
      </c>
      <c r="BQ160" s="45" t="inlineStr">
        <is>
          <t>2021-02-17</t>
        </is>
      </c>
      <c r="BR160" s="51" t="n">
        <v>0.3108</v>
      </c>
      <c r="BS160" s="50" t="n">
        <v>-19.61</v>
      </c>
      <c r="BT160" s="47" t="n">
        <v>1874</v>
      </c>
    </row>
    <row r="161" ht="16" customHeight="1">
      <c r="A161" s="38" t="inlineStr">
        <is>
          <t>PUBLIC STRATEGIC BALANCED FUND</t>
        </is>
      </c>
      <c r="B161" s="38" t="inlineStr">
        <is>
          <t>PSTBLF</t>
        </is>
      </c>
      <c r="C161" s="38" t="inlineStr">
        <is>
          <t>Conventional</t>
        </is>
      </c>
      <c r="D161" s="38" t="inlineStr">
        <is>
          <t>Mixed Asset / Balanced</t>
        </is>
      </c>
      <c r="E161" s="38" t="inlineStr">
        <is>
          <t>Malaysia</t>
        </is>
      </c>
      <c r="F161" s="39" t="inlineStr">
        <is>
          <t>Capital Growth</t>
        </is>
      </c>
      <c r="G161" s="40" t="n">
        <v>4</v>
      </c>
      <c r="H161" s="39" t="inlineStr">
        <is>
          <t>Incidental</t>
        </is>
      </c>
      <c r="I161" s="41" t="n">
        <v>53.54</v>
      </c>
      <c r="J161" s="38" t="inlineStr">
        <is>
          <t>09.06.2016</t>
        </is>
      </c>
      <c r="K161" s="38" t="inlineStr">
        <is>
          <t>Disqualified</t>
        </is>
      </c>
      <c r="L161" s="42" t="n">
        <v>50</v>
      </c>
      <c r="M161" s="38" t="inlineStr">
        <is>
          <t>2/4</t>
        </is>
      </c>
      <c r="N161" s="43" t="n">
        <v>-0.74</v>
      </c>
      <c r="O161" s="43" t="n">
        <v>2.54</v>
      </c>
      <c r="P161" s="43" t="n">
        <v>-3.28</v>
      </c>
      <c r="Q161" s="43" t="n">
        <v>9.73</v>
      </c>
      <c r="R161" s="43" t="n">
        <v>9.23</v>
      </c>
      <c r="S161" s="43" t="n">
        <v>0.5</v>
      </c>
      <c r="T161" s="43" t="n">
        <v>11.67</v>
      </c>
      <c r="U161" s="43" t="n">
        <v>9.210000000000001</v>
      </c>
      <c r="V161" s="43" t="n">
        <v>2.46</v>
      </c>
      <c r="W161" s="43" t="n">
        <v>5.41</v>
      </c>
      <c r="X161" s="43" t="n">
        <v>5.94</v>
      </c>
      <c r="Y161" s="43" t="n">
        <v>-0.53</v>
      </c>
      <c r="Z161" s="43" t="n"/>
      <c r="AA161" s="43" t="n"/>
      <c r="AB161" s="43" t="n"/>
      <c r="AC161" s="43">
        <f>IF(OR(P161="",BL161="",BL161=0),"",P161/BL161)</f>
        <v/>
      </c>
      <c r="AD161" s="43">
        <f>IF(OR(S161="",BL161="",BL161=0),"",S161/BL161)</f>
        <v/>
      </c>
      <c r="AE161" s="43">
        <f>IF(OR(V161="",BL161="",BL161=0),"",V161/BL161)</f>
        <v/>
      </c>
      <c r="AF161" s="43">
        <f>IF(OR(Y161="",BL161="",BL161=0),"",Y161/BL161)</f>
        <v/>
      </c>
      <c r="AG161" s="43">
        <f>IF(OR(AB161="",BL161="",BL161=0),"",AB161/BL161)</f>
        <v/>
      </c>
      <c r="AH161" s="42" t="n"/>
      <c r="AI161" s="42" t="n">
        <v>47.8</v>
      </c>
      <c r="AJ161" s="42" t="n">
        <v>41</v>
      </c>
      <c r="AK161" s="42" t="n">
        <v>11.2</v>
      </c>
      <c r="AL161" s="42" t="n"/>
      <c r="AM161" s="42" t="n"/>
      <c r="AN161" s="42" t="n">
        <v>16.4</v>
      </c>
      <c r="AO161" s="42" t="n">
        <v>6.3</v>
      </c>
      <c r="AP161" s="42" t="n">
        <v>5.9</v>
      </c>
      <c r="AQ161" s="42" t="n"/>
      <c r="AR161" s="42" t="n"/>
      <c r="AS161" s="42" t="n"/>
      <c r="AT161" s="42" t="n">
        <v>2.3</v>
      </c>
      <c r="AU161" s="42" t="n"/>
      <c r="AV161" s="42" t="n"/>
      <c r="AW161" s="42" t="n"/>
      <c r="AX161" s="42" t="n"/>
      <c r="AY161" s="42" t="n"/>
      <c r="AZ161" s="42" t="n">
        <v>2.1</v>
      </c>
      <c r="BA161" s="42" t="n">
        <v>16</v>
      </c>
      <c r="BB161" s="42" t="n">
        <v>4.2</v>
      </c>
      <c r="BC161" s="42" t="n">
        <v>21</v>
      </c>
      <c r="BD161" s="42" t="n">
        <v>4.5</v>
      </c>
      <c r="BE161" s="42" t="n"/>
      <c r="BF161" s="42" t="n"/>
      <c r="BG161" s="42" t="n"/>
      <c r="BH161" s="42" t="n"/>
      <c r="BI161" s="42" t="n"/>
      <c r="BJ161" s="42" t="n"/>
      <c r="BK161" s="39" t="inlineStr">
        <is>
          <t>Taiwan Semiconductor Manufacturing Company Limited | Alibaba Group Holding Limited - W | Meta Platforms Incorporated | Samsung Electronics Company Limited | Alphabet Incorporated - Class A</t>
        </is>
      </c>
      <c r="BL161" s="42" t="n">
        <v>7.1</v>
      </c>
      <c r="BM161" s="38" t="inlineStr">
        <is>
          <t>Low</t>
        </is>
      </c>
      <c r="BN161" s="39" t="inlineStr">
        <is>
          <t>Mixed Asset MYR Global</t>
        </is>
      </c>
      <c r="BO161" s="39" t="n"/>
      <c r="BP161" s="44" t="n">
        <v>0.4475</v>
      </c>
      <c r="BQ161" s="38" t="inlineStr">
        <is>
          <t>2025-11-03</t>
        </is>
      </c>
      <c r="BR161" s="44" t="n">
        <v>0.4173</v>
      </c>
      <c r="BS161" s="43" t="n">
        <v>-6.75</v>
      </c>
      <c r="BT161" s="40" t="n">
        <v>154</v>
      </c>
    </row>
    <row r="162" ht="16" customHeight="1">
      <c r="A162" s="45" t="inlineStr">
        <is>
          <t>PUBLIC e-ATARAXIA MIXED ASSET FUND</t>
        </is>
      </c>
      <c r="B162" s="45" t="inlineStr">
        <is>
          <t>PeAXMAF</t>
        </is>
      </c>
      <c r="C162" s="45" t="inlineStr">
        <is>
          <t>Conventional</t>
        </is>
      </c>
      <c r="D162" s="45" t="inlineStr">
        <is>
          <t>Mixed Asset / Balanced</t>
        </is>
      </c>
      <c r="E162" s="45" t="inlineStr">
        <is>
          <t>Malaysia</t>
        </is>
      </c>
      <c r="F162" s="46" t="inlineStr">
        <is>
          <t>Capital Growth</t>
        </is>
      </c>
      <c r="G162" s="47" t="n">
        <v>3</v>
      </c>
      <c r="H162" s="46" t="inlineStr">
        <is>
          <t>Incidental</t>
        </is>
      </c>
      <c r="I162" s="48" t="n">
        <v>732.89</v>
      </c>
      <c r="J162" s="45" t="inlineStr">
        <is>
          <t>23.05.2023</t>
        </is>
      </c>
      <c r="K162" s="45" t="inlineStr">
        <is>
          <t>Disqualified</t>
        </is>
      </c>
      <c r="L162" s="49" t="n">
        <v>50</v>
      </c>
      <c r="M162" s="45" t="inlineStr">
        <is>
          <t>1/2</t>
        </is>
      </c>
      <c r="N162" s="50" t="n">
        <v>-1.06</v>
      </c>
      <c r="O162" s="50" t="n">
        <v>0.1</v>
      </c>
      <c r="P162" s="50" t="n">
        <v>-1.16</v>
      </c>
      <c r="Q162" s="50" t="n">
        <v>4.62</v>
      </c>
      <c r="R162" s="50" t="n">
        <v>4.58</v>
      </c>
      <c r="S162" s="50" t="n">
        <v>0.04</v>
      </c>
      <c r="T162" s="50" t="n"/>
      <c r="U162" s="50" t="n"/>
      <c r="V162" s="50" t="n"/>
      <c r="W162" s="50" t="n"/>
      <c r="X162" s="50" t="n"/>
      <c r="Y162" s="50" t="n"/>
      <c r="Z162" s="50" t="n"/>
      <c r="AA162" s="50" t="n"/>
      <c r="AB162" s="50" t="n"/>
      <c r="AC162" s="50">
        <f>IF(OR(P162="",BL162="",BL162=0),"",P162/BL162)</f>
        <v/>
      </c>
      <c r="AD162" s="50">
        <f>IF(OR(S162="",BL162="",BL162=0),"",S162/BL162)</f>
        <v/>
      </c>
      <c r="AE162" s="50">
        <f>IF(OR(V162="",BL162="",BL162=0),"",V162/BL162)</f>
        <v/>
      </c>
      <c r="AF162" s="50">
        <f>IF(OR(Y162="",BL162="",BL162=0),"",Y162/BL162)</f>
        <v/>
      </c>
      <c r="AG162" s="50">
        <f>IF(OR(AB162="",BL162="",BL162=0),"",AB162/BL162)</f>
        <v/>
      </c>
      <c r="AH162" s="49" t="n">
        <v>1.1</v>
      </c>
      <c r="AI162" s="49" t="n">
        <v>30.5</v>
      </c>
      <c r="AJ162" s="49" t="n">
        <v>61.2</v>
      </c>
      <c r="AK162" s="49" t="n">
        <v>7.2</v>
      </c>
      <c r="AL162" s="49" t="n"/>
      <c r="AM162" s="49" t="n"/>
      <c r="AN162" s="49" t="n">
        <v>13</v>
      </c>
      <c r="AO162" s="49" t="n">
        <v>2.5</v>
      </c>
      <c r="AP162" s="49" t="n">
        <v>5.7</v>
      </c>
      <c r="AQ162" s="49" t="n"/>
      <c r="AR162" s="49" t="n"/>
      <c r="AS162" s="49" t="n"/>
      <c r="AT162" s="49" t="n">
        <v>5.2</v>
      </c>
      <c r="AU162" s="49" t="n"/>
      <c r="AV162" s="49" t="n">
        <v>1.7</v>
      </c>
      <c r="AW162" s="49" t="n"/>
      <c r="AX162" s="49" t="n"/>
      <c r="AY162" s="49" t="n"/>
      <c r="AZ162" s="49" t="n"/>
      <c r="BA162" s="49" t="n">
        <v>15.7</v>
      </c>
      <c r="BB162" s="49" t="n">
        <v>1.3</v>
      </c>
      <c r="BC162" s="49" t="n">
        <v>6.6</v>
      </c>
      <c r="BD162" s="49" t="n">
        <v>4.8</v>
      </c>
      <c r="BE162" s="49" t="n">
        <v>2.4</v>
      </c>
      <c r="BF162" s="49" t="n"/>
      <c r="BG162" s="49" t="n"/>
      <c r="BH162" s="49" t="n"/>
      <c r="BI162" s="49" t="n"/>
      <c r="BJ162" s="49" t="n"/>
      <c r="BK162" s="46" t="inlineStr">
        <is>
          <t>Samsung Electronics Company Limited | Alibaba Group Holding Limited - W | Tesla Incorporated | Intuitive Surgical Incorporated | Broadcom Incorporated</t>
        </is>
      </c>
      <c r="BL162" s="49" t="n"/>
      <c r="BM162" s="45" t="n"/>
      <c r="BN162" s="46" t="n"/>
      <c r="BO162" s="46"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P162" s="51" t="n">
        <v>0.305</v>
      </c>
      <c r="BQ162" s="45" t="inlineStr">
        <is>
          <t>2025-10-27</t>
        </is>
      </c>
      <c r="BR162" s="51" t="n">
        <v>0.2699</v>
      </c>
      <c r="BS162" s="50" t="n">
        <v>-11.51</v>
      </c>
      <c r="BT162" s="47" t="n">
        <v>161</v>
      </c>
    </row>
    <row r="163" ht="16" customHeight="1">
      <c r="A163" s="53" t="inlineStr">
        <is>
          <t>PUBLIC EHSAN MIXED ASSET GROWTH FUND</t>
        </is>
      </c>
      <c r="B163" s="53" t="inlineStr">
        <is>
          <t>PESMAGF</t>
        </is>
      </c>
      <c r="C163" s="53" t="inlineStr">
        <is>
          <t>Shariah</t>
        </is>
      </c>
      <c r="D163" s="53" t="inlineStr">
        <is>
          <t>Mixed Asset / Balanced</t>
        </is>
      </c>
      <c r="E163" s="53" t="inlineStr">
        <is>
          <t>Malaysia</t>
        </is>
      </c>
      <c r="F163" s="39" t="inlineStr">
        <is>
          <t>Capital Growth</t>
        </is>
      </c>
      <c r="G163" s="40" t="n">
        <v>4</v>
      </c>
      <c r="H163" s="39" t="inlineStr">
        <is>
          <t>Incidental</t>
        </is>
      </c>
      <c r="I163" s="41" t="n">
        <v>32.82</v>
      </c>
      <c r="J163" s="38" t="inlineStr">
        <is>
          <t>25.11.2014</t>
        </is>
      </c>
      <c r="K163" s="38" t="inlineStr">
        <is>
          <t>Disqualified</t>
        </is>
      </c>
      <c r="L163" s="42" t="n">
        <v>40</v>
      </c>
      <c r="M163" s="38" t="inlineStr">
        <is>
          <t>2/5</t>
        </is>
      </c>
      <c r="N163" s="43" t="n">
        <v>-0.9</v>
      </c>
      <c r="O163" s="43" t="n">
        <v>0.13</v>
      </c>
      <c r="P163" s="43" t="n">
        <v>-1.03</v>
      </c>
      <c r="Q163" s="43" t="n">
        <v>5.71</v>
      </c>
      <c r="R163" s="43" t="n">
        <v>6.48</v>
      </c>
      <c r="S163" s="43" t="n">
        <v>-0.77</v>
      </c>
      <c r="T163" s="43" t="n">
        <v>8.51</v>
      </c>
      <c r="U163" s="43" t="n">
        <v>4.55</v>
      </c>
      <c r="V163" s="43" t="n">
        <v>3.96</v>
      </c>
      <c r="W163" s="43" t="n">
        <v>-0.64</v>
      </c>
      <c r="X163" s="43" t="n">
        <v>0.72</v>
      </c>
      <c r="Y163" s="43" t="n">
        <v>-1.36</v>
      </c>
      <c r="Z163" s="43" t="n">
        <v>2.94</v>
      </c>
      <c r="AA163" s="43" t="n">
        <v>0.89</v>
      </c>
      <c r="AB163" s="43" t="n">
        <v>2.05</v>
      </c>
      <c r="AC163" s="43">
        <f>IF(OR(P163="",BL163="",BL163=0),"",P163/BL163)</f>
        <v/>
      </c>
      <c r="AD163" s="43">
        <f>IF(OR(S163="",BL163="",BL163=0),"",S163/BL163)</f>
        <v/>
      </c>
      <c r="AE163" s="43">
        <f>IF(OR(V163="",BL163="",BL163=0),"",V163/BL163)</f>
        <v/>
      </c>
      <c r="AF163" s="43">
        <f>IF(OR(Y163="",BL163="",BL163=0),"",Y163/BL163)</f>
        <v/>
      </c>
      <c r="AG163" s="43">
        <f>IF(OR(AB163="",BL163="",BL163=0),"",AB163/BL163)</f>
        <v/>
      </c>
      <c r="AH163" s="42" t="n">
        <v>41.8</v>
      </c>
      <c r="AI163" s="42" t="n">
        <v>23.8</v>
      </c>
      <c r="AJ163" s="42" t="n">
        <v>31.4</v>
      </c>
      <c r="AK163" s="42" t="n">
        <v>3</v>
      </c>
      <c r="AL163" s="42" t="n"/>
      <c r="AM163" s="42" t="n"/>
      <c r="AN163" s="42" t="n">
        <v>15.7</v>
      </c>
      <c r="AO163" s="42" t="n">
        <v>5.9</v>
      </c>
      <c r="AP163" s="42" t="n"/>
      <c r="AQ163" s="42" t="n"/>
      <c r="AR163" s="42" t="n"/>
      <c r="AS163" s="42" t="n"/>
      <c r="AT163" s="42" t="n">
        <v>2.2</v>
      </c>
      <c r="AU163" s="42" t="n"/>
      <c r="AV163" s="42" t="n"/>
      <c r="AW163" s="42" t="n"/>
      <c r="AX163" s="42" t="n"/>
      <c r="AY163" s="42" t="n"/>
      <c r="AZ163" s="42" t="n">
        <v>6.7</v>
      </c>
      <c r="BA163" s="42" t="n">
        <v>7.3</v>
      </c>
      <c r="BB163" s="42" t="n"/>
      <c r="BC163" s="42" t="n">
        <v>21.5</v>
      </c>
      <c r="BD163" s="42" t="n"/>
      <c r="BE163" s="42" t="n">
        <v>12.2</v>
      </c>
      <c r="BF163" s="42" t="n">
        <v>8.699999999999999</v>
      </c>
      <c r="BG163" s="42" t="n"/>
      <c r="BH163" s="42" t="n"/>
      <c r="BI163" s="42" t="n"/>
      <c r="BJ163" s="42" t="n"/>
      <c r="BK163" s="39" t="inlineStr">
        <is>
          <t>Alphabet Incorporated - Class A | Tenaga Nasional Berhad | IHH Healthcare Berhad | Taiwan Semiconductor Manufacturing Company Limited | Meta Platforms Incorporated</t>
        </is>
      </c>
      <c r="BL163" s="42" t="n">
        <v>7</v>
      </c>
      <c r="BM163" s="38" t="inlineStr">
        <is>
          <t>Low</t>
        </is>
      </c>
      <c r="BN163" s="39" t="inlineStr">
        <is>
          <t>Mixed Asset MYR Domestic</t>
        </is>
      </c>
      <c r="BO163" s="39" t="inlineStr">
        <is>
          <t>2021 1.00 30.4.21 2.8 ThebenchmarkforPESMAGFisacompositeof70%FTSEBursaMalaysiaHijrah Shariah Index and 30% 3-Month Islamic Interbank Money Market (IIMM) rate. 2022 2.00 29.4.22 7.5 Underlying index data are sourced from Lipper and Bank Negara Malaysia. Note: Distribution yield simply measures the level of distributions and is not a measure of fund performance.</t>
        </is>
      </c>
      <c r="BP163" s="44" t="n">
        <v>0.4083</v>
      </c>
      <c r="BQ163" s="38" t="inlineStr">
        <is>
          <t>2020-08-06</t>
        </is>
      </c>
      <c r="BR163" s="44" t="n">
        <v>0.3164</v>
      </c>
      <c r="BS163" s="43" t="n">
        <v>-22.51</v>
      </c>
      <c r="BT163" s="40" t="n">
        <v>2069</v>
      </c>
    </row>
    <row r="164" ht="16" customHeight="1">
      <c r="A164" s="52" t="inlineStr">
        <is>
          <t>PUBLIC ISLAMIC GROWTH BALANCED FUND</t>
        </is>
      </c>
      <c r="B164" s="52" t="inlineStr">
        <is>
          <t>PIGRBF</t>
        </is>
      </c>
      <c r="C164" s="52" t="inlineStr">
        <is>
          <t>Shariah</t>
        </is>
      </c>
      <c r="D164" s="52" t="inlineStr">
        <is>
          <t>Mixed Asset / Balanced</t>
        </is>
      </c>
      <c r="E164" s="52" t="inlineStr">
        <is>
          <t>Malaysia</t>
        </is>
      </c>
      <c r="F164" s="46" t="inlineStr">
        <is>
          <t>Capital Growth</t>
        </is>
      </c>
      <c r="G164" s="47" t="n">
        <v>3</v>
      </c>
      <c r="H164" s="46" t="inlineStr">
        <is>
          <t>Incidental</t>
        </is>
      </c>
      <c r="I164" s="48" t="n">
        <v>335.44</v>
      </c>
      <c r="J164" s="45" t="inlineStr">
        <is>
          <t>07.10.2015</t>
        </is>
      </c>
      <c r="K164" s="45" t="inlineStr">
        <is>
          <t>Disqualified</t>
        </is>
      </c>
      <c r="L164" s="49" t="n">
        <v>40</v>
      </c>
      <c r="M164" s="45" t="inlineStr">
        <is>
          <t>2/5</t>
        </is>
      </c>
      <c r="N164" s="50" t="n">
        <v>-1.96</v>
      </c>
      <c r="O164" s="50" t="n">
        <v>0.19</v>
      </c>
      <c r="P164" s="50" t="n">
        <v>-2.15</v>
      </c>
      <c r="Q164" s="50" t="n">
        <v>3.27</v>
      </c>
      <c r="R164" s="50" t="n">
        <v>6.08</v>
      </c>
      <c r="S164" s="50" t="n">
        <v>-2.81</v>
      </c>
      <c r="T164" s="50" t="n">
        <v>6.66</v>
      </c>
      <c r="U164" s="50" t="n">
        <v>4.44</v>
      </c>
      <c r="V164" s="50" t="n">
        <v>2.22</v>
      </c>
      <c r="W164" s="50" t="n">
        <v>1.04</v>
      </c>
      <c r="X164" s="50" t="n">
        <v>1.1</v>
      </c>
      <c r="Y164" s="50" t="n">
        <v>-0.06</v>
      </c>
      <c r="Z164" s="50" t="n">
        <v>5.95</v>
      </c>
      <c r="AA164" s="50" t="n">
        <v>1.26</v>
      </c>
      <c r="AB164" s="50" t="n">
        <v>4.69</v>
      </c>
      <c r="AC164" s="50">
        <f>IF(OR(P164="",BL164="",BL164=0),"",P164/BL164)</f>
        <v/>
      </c>
      <c r="AD164" s="50">
        <f>IF(OR(S164="",BL164="",BL164=0),"",S164/BL164)</f>
        <v/>
      </c>
      <c r="AE164" s="50">
        <f>IF(OR(V164="",BL164="",BL164=0),"",V164/BL164)</f>
        <v/>
      </c>
      <c r="AF164" s="50">
        <f>IF(OR(Y164="",BL164="",BL164=0),"",Y164/BL164)</f>
        <v/>
      </c>
      <c r="AG164" s="50">
        <f>IF(OR(AB164="",BL164="",BL164=0),"",AB164/BL164)</f>
        <v/>
      </c>
      <c r="AH164" s="49" t="n">
        <v>31.1</v>
      </c>
      <c r="AI164" s="49" t="n">
        <v>18.9</v>
      </c>
      <c r="AJ164" s="49" t="n">
        <v>37.8</v>
      </c>
      <c r="AK164" s="49" t="n">
        <v>12.2</v>
      </c>
      <c r="AL164" s="49" t="n"/>
      <c r="AM164" s="49" t="n"/>
      <c r="AN164" s="49" t="n">
        <v>13.6</v>
      </c>
      <c r="AO164" s="49" t="n">
        <v>1</v>
      </c>
      <c r="AP164" s="49" t="n"/>
      <c r="AQ164" s="49" t="n">
        <v>4.3</v>
      </c>
      <c r="AR164" s="49" t="n"/>
      <c r="AS164" s="49" t="n"/>
      <c r="AT164" s="49" t="n"/>
      <c r="AU164" s="49" t="n"/>
      <c r="AV164" s="49" t="n"/>
      <c r="AW164" s="49" t="n"/>
      <c r="AX164" s="49" t="n"/>
      <c r="AY164" s="49" t="n"/>
      <c r="AZ164" s="49" t="n">
        <v>16</v>
      </c>
      <c r="BA164" s="49" t="n">
        <v>4.4</v>
      </c>
      <c r="BB164" s="49" t="n">
        <v>4</v>
      </c>
      <c r="BC164" s="49" t="n">
        <v>12.1</v>
      </c>
      <c r="BD164" s="49" t="n">
        <v>6.5</v>
      </c>
      <c r="BE164" s="49" t="n"/>
      <c r="BF164" s="49" t="n"/>
      <c r="BG164" s="49" t="n"/>
      <c r="BH164" s="49" t="n"/>
      <c r="BI164" s="49" t="n"/>
      <c r="BJ164" s="49" t="n"/>
      <c r="BK164" s="46" t="inlineStr">
        <is>
          <t>Tesla Incorporated | Frontken Corporation Berhad | TIME dotCom Berhad | Gamuda Berhad | Shibaura Mechatronics Corporation</t>
        </is>
      </c>
      <c r="BL164" s="49" t="n">
        <v>6</v>
      </c>
      <c r="BM164" s="45" t="inlineStr">
        <is>
          <t>Low</t>
        </is>
      </c>
      <c r="BN164" s="46" t="inlineStr">
        <is>
          <t>Mixed Asset MYR Domestic</t>
        </is>
      </c>
      <c r="BO164" s="46" t="inlineStr">
        <is>
          <t>ThebenchmarkforPIGRBFisacompositeof60%FTSEBursaMalaysiaHijrah Shariah Index and 40% 3-Month Islamic Interbank Money Market (IIMM) rate. Underlying index data are sourced from Lipper and Bank Negara Malaysia.</t>
        </is>
      </c>
      <c r="BP164" s="51" t="n">
        <v>0.3979</v>
      </c>
      <c r="BQ164" s="45" t="inlineStr">
        <is>
          <t>2025-10-29</t>
        </is>
      </c>
      <c r="BR164" s="51" t="n">
        <v>0.3679</v>
      </c>
      <c r="BS164" s="50" t="n">
        <v>-7.54</v>
      </c>
      <c r="BT164" s="47" t="n">
        <v>159</v>
      </c>
    </row>
    <row r="165" ht="16" customHeight="1">
      <c r="A165" s="38" t="inlineStr">
        <is>
          <t>PB ASIA REAL ESTATE INCOME FUND</t>
        </is>
      </c>
      <c r="B165" s="38" t="inlineStr">
        <is>
          <t>PBAREIF</t>
        </is>
      </c>
      <c r="C165" s="38" t="inlineStr">
        <is>
          <t>Conventional</t>
        </is>
      </c>
      <c r="D165" s="38" t="inlineStr">
        <is>
          <t>Mixed Asset / Balanced</t>
        </is>
      </c>
      <c r="E165" s="38" t="inlineStr">
        <is>
          <t>Asia</t>
        </is>
      </c>
      <c r="F165" s="39" t="inlineStr">
        <is>
          <t>Capital Growth + Income</t>
        </is>
      </c>
      <c r="G165" s="40" t="n">
        <v>4</v>
      </c>
      <c r="H165" s="39" t="inlineStr">
        <is>
          <t>Annual</t>
        </is>
      </c>
      <c r="I165" s="41" t="n">
        <v>51.7</v>
      </c>
      <c r="J165" s="38" t="inlineStr">
        <is>
          <t>18.12.2007</t>
        </is>
      </c>
      <c r="K165" s="38" t="inlineStr">
        <is>
          <t>Disqualified</t>
        </is>
      </c>
      <c r="L165" s="42" t="n">
        <v>40</v>
      </c>
      <c r="M165" s="38" t="inlineStr">
        <is>
          <t>2/5</t>
        </is>
      </c>
      <c r="N165" s="43" t="n">
        <v>4.8</v>
      </c>
      <c r="O165" s="43" t="n">
        <v>5.15</v>
      </c>
      <c r="P165" s="43" t="n">
        <v>-0.35</v>
      </c>
      <c r="Q165" s="43" t="n">
        <v>10.07</v>
      </c>
      <c r="R165" s="43" t="n">
        <v>10.37</v>
      </c>
      <c r="S165" s="43" t="n">
        <v>-0.3</v>
      </c>
      <c r="T165" s="43" t="n">
        <v>4.92</v>
      </c>
      <c r="U165" s="43" t="n">
        <v>5.01</v>
      </c>
      <c r="V165" s="43" t="n">
        <v>-0.09</v>
      </c>
      <c r="W165" s="43" t="n">
        <v>2.38</v>
      </c>
      <c r="X165" s="43" t="n">
        <v>1.91</v>
      </c>
      <c r="Y165" s="43" t="n">
        <v>0.47</v>
      </c>
      <c r="Z165" s="43" t="n">
        <v>2.71</v>
      </c>
      <c r="AA165" s="43" t="n">
        <v>2.21</v>
      </c>
      <c r="AB165" s="43" t="n">
        <v>0.5</v>
      </c>
      <c r="AC165" s="43">
        <f>IF(OR(P165="",BL165="",BL165=0),"",P165/BL165)</f>
        <v/>
      </c>
      <c r="AD165" s="43">
        <f>IF(OR(S165="",BL165="",BL165=0),"",S165/BL165)</f>
        <v/>
      </c>
      <c r="AE165" s="43">
        <f>IF(OR(V165="",BL165="",BL165=0),"",V165/BL165)</f>
        <v/>
      </c>
      <c r="AF165" s="43">
        <f>IF(OR(Y165="",BL165="",BL165=0),"",Y165/BL165)</f>
        <v/>
      </c>
      <c r="AG165" s="43">
        <f>IF(OR(AB165="",BL165="",BL165=0),"",AB165/BL165)</f>
        <v/>
      </c>
      <c r="AH165" s="42" t="n">
        <v>17.2</v>
      </c>
      <c r="AI165" s="42" t="n">
        <v>34.9</v>
      </c>
      <c r="AJ165" s="42" t="n">
        <v>43</v>
      </c>
      <c r="AK165" s="42" t="n">
        <v>4.9</v>
      </c>
      <c r="AL165" s="42" t="n"/>
      <c r="AM165" s="42" t="n"/>
      <c r="AN165" s="42" t="n"/>
      <c r="AO165" s="42" t="n"/>
      <c r="AP165" s="42" t="n"/>
      <c r="AQ165" s="42" t="n">
        <v>9.300000000000001</v>
      </c>
      <c r="AR165" s="42" t="n"/>
      <c r="AS165" s="42" t="n"/>
      <c r="AT165" s="42" t="n">
        <v>6.9</v>
      </c>
      <c r="AU165" s="42" t="n">
        <v>1</v>
      </c>
      <c r="AV165" s="42" t="n"/>
      <c r="AW165" s="42" t="n"/>
      <c r="AX165" s="42" t="n">
        <v>7.9</v>
      </c>
      <c r="AY165" s="42" t="n"/>
      <c r="AZ165" s="42" t="n"/>
      <c r="BA165" s="42" t="n"/>
      <c r="BB165" s="42" t="n"/>
      <c r="BC165" s="42" t="n"/>
      <c r="BD165" s="42" t="n"/>
      <c r="BE165" s="42" t="n"/>
      <c r="BF165" s="42" t="n"/>
      <c r="BG165" s="42" t="n"/>
      <c r="BH165" s="42" t="n"/>
      <c r="BI165" s="42" t="n">
        <v>52.1</v>
      </c>
      <c r="BJ165" s="42" t="n"/>
      <c r="BK165" s="39" t="inlineStr">
        <is>
          <t>China Resources Land Limited | Sun Hung Kai Properties Limited | Mitsubishi Estate Company Limited | Link Real Estate Investment Trust | Pavilion Real Estate Investment Trust</t>
        </is>
      </c>
      <c r="BL165" s="42" t="n">
        <v>5.5</v>
      </c>
      <c r="BM165" s="38" t="inlineStr">
        <is>
          <t>Low</t>
        </is>
      </c>
      <c r="BN165" s="39" t="inlineStr">
        <is>
          <t>Mixed Asset MYR Asia</t>
        </is>
      </c>
      <c r="BO165" s="39"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 (w.e.f. 1 January 2009) and 40% 3-Month Kuala Lumpur Interbank Offered Rate (KLIBOR). Underlying indexdata are sourced from S&amp;P Dow Jones Indices,LLC andBank Negara Malaysia and expressed in Ringgit terms.</t>
        </is>
      </c>
      <c r="BP165" s="44" t="n">
        <v>0.3441</v>
      </c>
      <c r="BQ165" s="38" t="inlineStr">
        <is>
          <t>2017-08-01</t>
        </is>
      </c>
      <c r="BR165" s="44" t="n">
        <v>0.2853</v>
      </c>
      <c r="BS165" s="43" t="n">
        <v>-17.09</v>
      </c>
      <c r="BT165" s="40" t="n">
        <v>3170</v>
      </c>
    </row>
    <row r="166" ht="16" customHeight="1">
      <c r="A166" s="45" t="inlineStr">
        <is>
          <t>PUBLIC e-AL-MUTAWAZAN STRATEGY FUND</t>
        </is>
      </c>
      <c r="B166" s="45" t="inlineStr">
        <is>
          <t>PeMZSF</t>
        </is>
      </c>
      <c r="C166" s="45" t="inlineStr">
        <is>
          <t>Conventional</t>
        </is>
      </c>
      <c r="D166" s="45" t="inlineStr">
        <is>
          <t>Mixed Asset / Balanced</t>
        </is>
      </c>
      <c r="E166" s="45" t="inlineStr">
        <is>
          <t>Malaysia</t>
        </is>
      </c>
      <c r="F166" s="46" t="inlineStr">
        <is>
          <t>Capital Growth</t>
        </is>
      </c>
      <c r="G166" s="47" t="n">
        <v>3</v>
      </c>
      <c r="H166" s="46" t="inlineStr">
        <is>
          <t>Incidental</t>
        </is>
      </c>
      <c r="I166" s="48" t="n">
        <v>17.78</v>
      </c>
      <c r="J166" s="45" t="inlineStr">
        <is>
          <t>30.11.2021</t>
        </is>
      </c>
      <c r="K166" s="45" t="inlineStr">
        <is>
          <t>Disqualified</t>
        </is>
      </c>
      <c r="L166" s="49" t="n">
        <v>33.3</v>
      </c>
      <c r="M166" s="45" t="inlineStr">
        <is>
          <t>1/3</t>
        </is>
      </c>
      <c r="N166" s="50" t="n">
        <v>-1.65</v>
      </c>
      <c r="O166" s="50" t="n">
        <v>0.19</v>
      </c>
      <c r="P166" s="50" t="n">
        <v>-1.84</v>
      </c>
      <c r="Q166" s="50" t="n">
        <v>1.67</v>
      </c>
      <c r="R166" s="50" t="n">
        <v>6.08</v>
      </c>
      <c r="S166" s="50" t="n">
        <v>-4.41</v>
      </c>
      <c r="T166" s="50" t="n">
        <v>5.44</v>
      </c>
      <c r="U166" s="50" t="n">
        <v>4.44</v>
      </c>
      <c r="V166" s="50" t="n">
        <v>1</v>
      </c>
      <c r="W166" s="50" t="n"/>
      <c r="X166" s="50" t="n"/>
      <c r="Y166" s="50" t="n"/>
      <c r="Z166" s="50" t="n"/>
      <c r="AA166" s="50" t="n"/>
      <c r="AB166" s="50" t="n"/>
      <c r="AC166" s="50">
        <f>IF(OR(P166="",BL166="",BL166=0),"",P166/BL166)</f>
        <v/>
      </c>
      <c r="AD166" s="50">
        <f>IF(OR(S166="",BL166="",BL166=0),"",S166/BL166)</f>
        <v/>
      </c>
      <c r="AE166" s="50">
        <f>IF(OR(V166="",BL166="",BL166=0),"",V166/BL166)</f>
        <v/>
      </c>
      <c r="AF166" s="50">
        <f>IF(OR(Y166="",BL166="",BL166=0),"",Y166/BL166)</f>
        <v/>
      </c>
      <c r="AG166" s="50">
        <f>IF(OR(AB166="",BL166="",BL166=0),"",AB166/BL166)</f>
        <v/>
      </c>
      <c r="AH166" s="49" t="n">
        <v>15.1</v>
      </c>
      <c r="AI166" s="49" t="n">
        <v>41.1</v>
      </c>
      <c r="AJ166" s="49" t="n">
        <v>36.3</v>
      </c>
      <c r="AK166" s="49" t="n">
        <v>7.5</v>
      </c>
      <c r="AL166" s="49" t="n"/>
      <c r="AM166" s="49" t="n"/>
      <c r="AN166" s="49" t="n">
        <v>8.4</v>
      </c>
      <c r="AO166" s="49" t="n"/>
      <c r="AP166" s="49" t="n">
        <v>3.7</v>
      </c>
      <c r="AQ166" s="49" t="n"/>
      <c r="AR166" s="49" t="n"/>
      <c r="AS166" s="49" t="n"/>
      <c r="AT166" s="49" t="n">
        <v>3</v>
      </c>
      <c r="AU166" s="49" t="n"/>
      <c r="AV166" s="49" t="n"/>
      <c r="AW166" s="49" t="n"/>
      <c r="AX166" s="49" t="n"/>
      <c r="AY166" s="49" t="n"/>
      <c r="AZ166" s="49" t="n">
        <v>18.9</v>
      </c>
      <c r="BA166" s="49" t="n"/>
      <c r="BB166" s="49" t="n">
        <v>4.2</v>
      </c>
      <c r="BC166" s="49" t="n">
        <v>10.8</v>
      </c>
      <c r="BD166" s="49" t="n"/>
      <c r="BE166" s="49" t="n">
        <v>4.5</v>
      </c>
      <c r="BF166" s="49" t="n">
        <v>10.4</v>
      </c>
      <c r="BG166" s="49" t="n"/>
      <c r="BH166" s="49" t="n"/>
      <c r="BI166" s="49" t="n"/>
      <c r="BJ166" s="49" t="n"/>
      <c r="BK166" s="46" t="inlineStr">
        <is>
          <t>Tenaga Nasional Berhad | Meta Platforms Incorporated | QL Resources Berhad | Sunway Berhad | Hanwha Aerospace Company Limited</t>
        </is>
      </c>
      <c r="BL166" s="49" t="n">
        <v>7.4</v>
      </c>
      <c r="BM166" s="45" t="inlineStr">
        <is>
          <t>Low</t>
        </is>
      </c>
      <c r="BN166" s="46" t="inlineStr">
        <is>
          <t>Mixed Asset MYR Domestic</t>
        </is>
      </c>
      <c r="BO166" s="46" t="inlineStr">
        <is>
          <t>Thebenchmark forPeMZSFisacompositeof60% FTSE BursaMalaysiaHijrah Shariah Index and 40% 3-Month Islamic Interbank Money Market (IIMM) rate. Underlying index data are sourced from Lipper and Bank Negara Malaysia.</t>
        </is>
      </c>
      <c r="BP166" s="51" t="n">
        <v>0.2859</v>
      </c>
      <c r="BQ166" s="45" t="inlineStr">
        <is>
          <t>2025-10-02</t>
        </is>
      </c>
      <c r="BR166" s="51" t="n">
        <v>0.2637</v>
      </c>
      <c r="BS166" s="50" t="n">
        <v>-7.76</v>
      </c>
      <c r="BT166" s="47" t="n">
        <v>186</v>
      </c>
    </row>
    <row r="167" ht="16" customHeight="1">
      <c r="A167" s="38" t="inlineStr">
        <is>
          <t>PUBLIC e-ASIA PACIFIC REITs FLEXI FUND</t>
        </is>
      </c>
      <c r="B167" s="38" t="inlineStr">
        <is>
          <t>PeAPREITF</t>
        </is>
      </c>
      <c r="C167" s="38" t="inlineStr">
        <is>
          <t>Conventional</t>
        </is>
      </c>
      <c r="D167" s="38" t="inlineStr">
        <is>
          <t>Mixed Asset / Balanced</t>
        </is>
      </c>
      <c r="E167" s="38" t="inlineStr">
        <is>
          <t>Asia Pacific</t>
        </is>
      </c>
      <c r="F167" s="39" t="inlineStr">
        <is>
          <t>Capital Growth + Income</t>
        </is>
      </c>
      <c r="G167" s="40" t="n">
        <v>5</v>
      </c>
      <c r="H167" s="39" t="inlineStr">
        <is>
          <t>Annual</t>
        </is>
      </c>
      <c r="I167" s="41" t="n">
        <v>56.01</v>
      </c>
      <c r="J167" s="38" t="inlineStr">
        <is>
          <t>18.02.2020</t>
        </is>
      </c>
      <c r="K167" s="38" t="inlineStr">
        <is>
          <t>Disqualified</t>
        </is>
      </c>
      <c r="L167" s="42" t="n">
        <v>25</v>
      </c>
      <c r="M167" s="38" t="inlineStr">
        <is>
          <t>1/4</t>
        </is>
      </c>
      <c r="N167" s="43" t="n">
        <v>-1.82</v>
      </c>
      <c r="O167" s="43" t="n">
        <v>-0.4</v>
      </c>
      <c r="P167" s="43" t="n">
        <v>-1.42</v>
      </c>
      <c r="Q167" s="43" t="n">
        <v>1.65</v>
      </c>
      <c r="R167" s="43" t="n">
        <v>7.09</v>
      </c>
      <c r="S167" s="43" t="n">
        <v>-5.44</v>
      </c>
      <c r="T167" s="43" t="n">
        <v>1.91</v>
      </c>
      <c r="U167" s="43" t="n">
        <v>1.66</v>
      </c>
      <c r="V167" s="43" t="n">
        <v>0.25</v>
      </c>
      <c r="W167" s="43" t="n">
        <v>-1.72</v>
      </c>
      <c r="X167" s="43" t="n">
        <v>-1.6</v>
      </c>
      <c r="Y167" s="43" t="n">
        <v>-0.12</v>
      </c>
      <c r="Z167" s="43" t="n"/>
      <c r="AA167" s="43" t="n"/>
      <c r="AB167" s="43" t="n"/>
      <c r="AC167" s="43">
        <f>IF(OR(P167="",BL167="",BL167=0),"",P167/BL167)</f>
        <v/>
      </c>
      <c r="AD167" s="43">
        <f>IF(OR(S167="",BL167="",BL167=0),"",S167/BL167)</f>
        <v/>
      </c>
      <c r="AE167" s="43">
        <f>IF(OR(V167="",BL167="",BL167=0),"",V167/BL167)</f>
        <v/>
      </c>
      <c r="AF167" s="43">
        <f>IF(OR(Y167="",BL167="",BL167=0),"",Y167/BL167)</f>
        <v/>
      </c>
      <c r="AG167" s="43">
        <f>IF(OR(AB167="",BL167="",BL167=0),"",AB167/BL167)</f>
        <v/>
      </c>
      <c r="AH167" s="42" t="n">
        <v>8.9</v>
      </c>
      <c r="AI167" s="42" t="n">
        <v>72.59999999999999</v>
      </c>
      <c r="AJ167" s="42" t="n"/>
      <c r="AK167" s="42" t="n">
        <v>18.5</v>
      </c>
      <c r="AL167" s="42" t="n"/>
      <c r="AM167" s="42" t="n"/>
      <c r="AN167" s="42" t="n"/>
      <c r="AO167" s="42" t="n">
        <v>5.7</v>
      </c>
      <c r="AP167" s="42" t="n"/>
      <c r="AQ167" s="42" t="n">
        <v>18.1</v>
      </c>
      <c r="AR167" s="42" t="n"/>
      <c r="AS167" s="42" t="n"/>
      <c r="AT167" s="42" t="n">
        <v>7.4</v>
      </c>
      <c r="AU167" s="42" t="n">
        <v>14.3</v>
      </c>
      <c r="AV167" s="42" t="n"/>
      <c r="AW167" s="42" t="n"/>
      <c r="AX167" s="42" t="n">
        <v>16.5</v>
      </c>
      <c r="AY167" s="42" t="n"/>
      <c r="AZ167" s="42" t="n"/>
      <c r="BA167" s="42" t="n">
        <v>7.8</v>
      </c>
      <c r="BB167" s="42" t="n">
        <v>62.4</v>
      </c>
      <c r="BC167" s="42" t="n">
        <v>11.3</v>
      </c>
      <c r="BD167" s="42" t="n"/>
      <c r="BE167" s="42" t="n"/>
      <c r="BF167" s="42" t="n"/>
      <c r="BG167" s="42" t="n"/>
      <c r="BH167" s="42" t="n"/>
      <c r="BI167" s="42" t="n"/>
      <c r="BJ167" s="42" t="n"/>
      <c r="BK167" s="39" t="inlineStr">
        <is>
          <t>Goodman Group | CapitaLand Integrated Commercial Trust | CapitaLand Ascendas REIT | Link Real Estate Investment Trust | Taiwan Semiconductor Manufacturing Company Limited</t>
        </is>
      </c>
      <c r="BL167" s="42" t="n">
        <v>8.300000000000001</v>
      </c>
      <c r="BM167" s="38" t="inlineStr">
        <is>
          <t>Moderate</t>
        </is>
      </c>
      <c r="BN167" s="39" t="inlineStr">
        <is>
          <t>Equity Sector Real Estate Asia</t>
        </is>
      </c>
      <c r="BO167" s="39"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P167" s="44" t="n">
        <v>0.3126</v>
      </c>
      <c r="BQ167" s="38" t="inlineStr">
        <is>
          <t>2021-02-16</t>
        </is>
      </c>
      <c r="BR167" s="44" t="n">
        <v>0.2423</v>
      </c>
      <c r="BS167" s="43" t="n">
        <v>-22.49</v>
      </c>
      <c r="BT167" s="40" t="n">
        <v>1875</v>
      </c>
    </row>
    <row r="168" ht="16" customHeight="1">
      <c r="A168" s="52" t="inlineStr">
        <is>
          <t>PUBLIC ISLAMIC GLOBAL BALANCED FUND</t>
        </is>
      </c>
      <c r="B168" s="52" t="inlineStr">
        <is>
          <t>PISGBLF</t>
        </is>
      </c>
      <c r="C168" s="52" t="inlineStr">
        <is>
          <t>Shariah</t>
        </is>
      </c>
      <c r="D168" s="52" t="inlineStr">
        <is>
          <t>Mixed Asset / Balanced</t>
        </is>
      </c>
      <c r="E168" s="52" t="inlineStr">
        <is>
          <t>Global</t>
        </is>
      </c>
      <c r="F168" s="46" t="inlineStr">
        <is>
          <t>Capital Growth</t>
        </is>
      </c>
      <c r="G168" s="47" t="n">
        <v>4</v>
      </c>
      <c r="H168" s="46" t="inlineStr">
        <is>
          <t>Incidental</t>
        </is>
      </c>
      <c r="I168" s="48" t="n">
        <v>52.68</v>
      </c>
      <c r="J168" s="45" t="inlineStr">
        <is>
          <t>03.12.2019</t>
        </is>
      </c>
      <c r="K168" s="45" t="inlineStr">
        <is>
          <t>Disqualified</t>
        </is>
      </c>
      <c r="L168" s="49" t="n">
        <v>25</v>
      </c>
      <c r="M168" s="45" t="inlineStr">
        <is>
          <t>1/4</t>
        </is>
      </c>
      <c r="N168" s="50" t="n">
        <v>-1.64</v>
      </c>
      <c r="O168" s="50" t="n">
        <v>-0.16</v>
      </c>
      <c r="P168" s="50" t="n">
        <v>-1.48</v>
      </c>
      <c r="Q168" s="50" t="n">
        <v>4.79</v>
      </c>
      <c r="R168" s="50" t="n">
        <v>6.21</v>
      </c>
      <c r="S168" s="50" t="n">
        <v>-1.42</v>
      </c>
      <c r="T168" s="50" t="n">
        <v>11.12</v>
      </c>
      <c r="U168" s="50" t="n">
        <v>11.05</v>
      </c>
      <c r="V168" s="50" t="n">
        <v>0.07000000000000001</v>
      </c>
      <c r="W168" s="50" t="n">
        <v>5.32</v>
      </c>
      <c r="X168" s="50" t="n">
        <v>8.140000000000001</v>
      </c>
      <c r="Y168" s="50" t="n">
        <v>-2.82</v>
      </c>
      <c r="Z168" s="50" t="n"/>
      <c r="AA168" s="50" t="n"/>
      <c r="AB168" s="50" t="n"/>
      <c r="AC168" s="50">
        <f>IF(OR(P168="",BL168="",BL168=0),"",P168/BL168)</f>
        <v/>
      </c>
      <c r="AD168" s="50">
        <f>IF(OR(S168="",BL168="",BL168=0),"",S168/BL168)</f>
        <v/>
      </c>
      <c r="AE168" s="50">
        <f>IF(OR(V168="",BL168="",BL168=0),"",V168/BL168)</f>
        <v/>
      </c>
      <c r="AF168" s="50">
        <f>IF(OR(Y168="",BL168="",BL168=0),"",Y168/BL168)</f>
        <v/>
      </c>
      <c r="AG168" s="50">
        <f>IF(OR(AB168="",BL168="",BL168=0),"",AB168/BL168)</f>
        <v/>
      </c>
      <c r="AH168" s="49" t="n"/>
      <c r="AI168" s="49" t="n">
        <v>56.1</v>
      </c>
      <c r="AJ168" s="49" t="n">
        <v>32.6</v>
      </c>
      <c r="AK168" s="49" t="n">
        <v>11.3</v>
      </c>
      <c r="AL168" s="49" t="n"/>
      <c r="AM168" s="49" t="n"/>
      <c r="AN168" s="49" t="n">
        <v>38.6</v>
      </c>
      <c r="AO168" s="49" t="n"/>
      <c r="AP168" s="49" t="n">
        <v>9.4</v>
      </c>
      <c r="AQ168" s="49" t="n"/>
      <c r="AR168" s="49" t="n">
        <v>2.7</v>
      </c>
      <c r="AS168" s="49" t="n"/>
      <c r="AT168" s="49" t="n">
        <v>5.4</v>
      </c>
      <c r="AU168" s="49" t="n"/>
      <c r="AV168" s="49" t="n"/>
      <c r="AW168" s="49" t="n"/>
      <c r="AX168" s="49" t="n"/>
      <c r="AY168" s="49" t="n"/>
      <c r="AZ168" s="49" t="n">
        <v>4.2</v>
      </c>
      <c r="BA168" s="49" t="n">
        <v>24.9</v>
      </c>
      <c r="BB168" s="49" t="n"/>
      <c r="BC168" s="49" t="n">
        <v>19</v>
      </c>
      <c r="BD168" s="49" t="n">
        <v>5.8</v>
      </c>
      <c r="BE168" s="49" t="n">
        <v>2.2</v>
      </c>
      <c r="BF168" s="49" t="n"/>
      <c r="BG168" s="49" t="n"/>
      <c r="BH168" s="49" t="n"/>
      <c r="BI168" s="49" t="n"/>
      <c r="BJ168" s="49" t="n"/>
      <c r="BK168" s="46" t="inlineStr">
        <is>
          <t>Samsung Electronics Company Limited | Alibaba Group Holding Limited - W | Apple Incorporated | Alphabet Incorporated - Class A | Microsoft Corporation</t>
        </is>
      </c>
      <c r="BL168" s="49" t="n">
        <v>9.699999999999999</v>
      </c>
      <c r="BM168" s="45" t="inlineStr">
        <is>
          <t>Moderate</t>
        </is>
      </c>
      <c r="BN168" s="46" t="inlineStr">
        <is>
          <t>Mixed Asset MYR Global</t>
        </is>
      </c>
      <c r="BO168" s="46"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P168" s="51" t="n">
        <v>0.3993</v>
      </c>
      <c r="BQ168" s="45" t="inlineStr">
        <is>
          <t>2025-11-03</t>
        </is>
      </c>
      <c r="BR168" s="51" t="n">
        <v>0.3549</v>
      </c>
      <c r="BS168" s="50" t="n">
        <v>-11.12</v>
      </c>
      <c r="BT168" s="47" t="n">
        <v>154</v>
      </c>
    </row>
    <row r="169" ht="16" customHeight="1">
      <c r="A169" s="38" t="inlineStr">
        <is>
          <t>PB AUSTRALIA DYNAMIC BALANCED FUND</t>
        </is>
      </c>
      <c r="B169" s="38" t="inlineStr">
        <is>
          <t>PBADBF</t>
        </is>
      </c>
      <c r="C169" s="38" t="inlineStr">
        <is>
          <t>Conventional</t>
        </is>
      </c>
      <c r="D169" s="38" t="inlineStr">
        <is>
          <t>Mixed Asset / Balanced</t>
        </is>
      </c>
      <c r="E169" s="38" t="inlineStr">
        <is>
          <t>Australia</t>
        </is>
      </c>
      <c r="F169" s="39" t="inlineStr">
        <is>
          <t>Capital Growth + Income</t>
        </is>
      </c>
      <c r="G169" s="40" t="n">
        <v>4</v>
      </c>
      <c r="H169" s="39" t="inlineStr">
        <is>
          <t>Incidental</t>
        </is>
      </c>
      <c r="I169" s="41" t="n">
        <v>88.04000000000001</v>
      </c>
      <c r="J169" s="38" t="inlineStr">
        <is>
          <t>12.05.2009</t>
        </is>
      </c>
      <c r="K169" s="38" t="inlineStr">
        <is>
          <t>Disqualified</t>
        </is>
      </c>
      <c r="L169" s="42" t="n">
        <v>20</v>
      </c>
      <c r="M169" s="38" t="inlineStr">
        <is>
          <t>1/5</t>
        </is>
      </c>
      <c r="N169" s="43" t="n">
        <v>5.53</v>
      </c>
      <c r="O169" s="43" t="n">
        <v>5.08</v>
      </c>
      <c r="P169" s="43" t="n">
        <v>0.45</v>
      </c>
      <c r="Q169" s="43" t="n">
        <v>5.22</v>
      </c>
      <c r="R169" s="43" t="n">
        <v>9.199999999999999</v>
      </c>
      <c r="S169" s="43" t="n">
        <v>-3.98</v>
      </c>
      <c r="T169" s="43" t="n">
        <v>2.78</v>
      </c>
      <c r="U169" s="43" t="n">
        <v>4.83</v>
      </c>
      <c r="V169" s="43" t="n">
        <v>-2.05</v>
      </c>
      <c r="W169" s="43" t="n">
        <v>2.99</v>
      </c>
      <c r="X169" s="43" t="n">
        <v>4.06</v>
      </c>
      <c r="Y169" s="43" t="n">
        <v>-1.07</v>
      </c>
      <c r="Z169" s="43" t="n">
        <v>4.69</v>
      </c>
      <c r="AA169" s="43" t="n">
        <v>5.13</v>
      </c>
      <c r="AB169" s="43" t="n">
        <v>-0.44</v>
      </c>
      <c r="AC169" s="43">
        <f>IF(OR(P169="",BL169="",BL169=0),"",P169/BL169)</f>
        <v/>
      </c>
      <c r="AD169" s="43">
        <f>IF(OR(S169="",BL169="",BL169=0),"",S169/BL169)</f>
        <v/>
      </c>
      <c r="AE169" s="43">
        <f>IF(OR(V169="",BL169="",BL169=0),"",V169/BL169)</f>
        <v/>
      </c>
      <c r="AF169" s="43">
        <f>IF(OR(Y169="",BL169="",BL169=0),"",Y169/BL169)</f>
        <v/>
      </c>
      <c r="AG169" s="43">
        <f>IF(OR(AB169="",BL169="",BL169=0),"",AB169/BL169)</f>
        <v/>
      </c>
      <c r="AH169" s="42" t="n"/>
      <c r="AI169" s="42" t="n">
        <v>60</v>
      </c>
      <c r="AJ169" s="42" t="n">
        <v>36.9</v>
      </c>
      <c r="AK169" s="42" t="n">
        <v>3.1</v>
      </c>
      <c r="AL169" s="42" t="n"/>
      <c r="AM169" s="42" t="n"/>
      <c r="AN169" s="42" t="n"/>
      <c r="AO169" s="42" t="n"/>
      <c r="AP169" s="42" t="n"/>
      <c r="AQ169" s="42" t="n"/>
      <c r="AR169" s="42" t="n"/>
      <c r="AS169" s="42" t="n"/>
      <c r="AT169" s="42" t="n"/>
      <c r="AU169" s="42" t="n"/>
      <c r="AV169" s="42" t="n"/>
      <c r="AW169" s="42" t="n"/>
      <c r="AX169" s="42" t="n">
        <v>60</v>
      </c>
      <c r="AY169" s="42" t="n"/>
      <c r="AZ169" s="42" t="n"/>
      <c r="BA169" s="42" t="n"/>
      <c r="BB169" s="42" t="n">
        <v>23</v>
      </c>
      <c r="BC169" s="42" t="n">
        <v>3</v>
      </c>
      <c r="BD169" s="42" t="n">
        <v>7.1</v>
      </c>
      <c r="BE169" s="42" t="n">
        <v>2</v>
      </c>
      <c r="BF169" s="42" t="n"/>
      <c r="BG169" s="42" t="n"/>
      <c r="BH169" s="42" t="n">
        <v>23.3</v>
      </c>
      <c r="BI169" s="42" t="n"/>
      <c r="BJ169" s="42" t="n"/>
      <c r="BK169" s="39" t="inlineStr">
        <is>
          <t>BHP Group Limited | Commonwealth Bank of Australia | National Australia Bank Limited | Rio Tinto Limited | ANZ Group Holdings Limited</t>
        </is>
      </c>
      <c r="BL169" s="42" t="n">
        <v>7.9</v>
      </c>
      <c r="BM169" s="38" t="inlineStr">
        <is>
          <t>Moderate</t>
        </is>
      </c>
      <c r="BN169" s="39" t="inlineStr">
        <is>
          <t>Mixed Asset MYR Global</t>
        </is>
      </c>
      <c r="BO169" s="39" t="n"/>
      <c r="BP169" s="44" t="n">
        <v>0.3369</v>
      </c>
      <c r="BQ169" s="38" t="inlineStr">
        <is>
          <t>2024-07-15</t>
        </is>
      </c>
      <c r="BR169" s="44" t="n">
        <v>0.3095</v>
      </c>
      <c r="BS169" s="43" t="n">
        <v>-8.130000000000001</v>
      </c>
      <c r="BT169" s="40" t="n">
        <v>630</v>
      </c>
    </row>
    <row r="170" ht="16" customHeight="1">
      <c r="A170" s="45" t="inlineStr">
        <is>
          <t>PB INDONESIA BALANCED FUND</t>
        </is>
      </c>
      <c r="B170" s="45" t="inlineStr">
        <is>
          <t>PBINDOBF</t>
        </is>
      </c>
      <c r="C170" s="45" t="inlineStr">
        <is>
          <t>Conventional</t>
        </is>
      </c>
      <c r="D170" s="45" t="inlineStr">
        <is>
          <t>Mixed Asset / Balanced</t>
        </is>
      </c>
      <c r="E170" s="45" t="inlineStr">
        <is>
          <t>Indonesia</t>
        </is>
      </c>
      <c r="F170" s="46" t="inlineStr">
        <is>
          <t>Capital Growth + Income</t>
        </is>
      </c>
      <c r="G170" s="47" t="n">
        <v>5</v>
      </c>
      <c r="H170" s="46" t="inlineStr">
        <is>
          <t>Incidental</t>
        </is>
      </c>
      <c r="I170" s="48" t="n">
        <v>249.23</v>
      </c>
      <c r="J170" s="45" t="inlineStr">
        <is>
          <t>12.10.2010</t>
        </is>
      </c>
      <c r="K170" s="45" t="inlineStr">
        <is>
          <t>Disqualified</t>
        </is>
      </c>
      <c r="L170" s="49" t="n">
        <v>20</v>
      </c>
      <c r="M170" s="45" t="inlineStr">
        <is>
          <t>1/5</t>
        </is>
      </c>
      <c r="N170" s="50" t="n">
        <v>-5.21</v>
      </c>
      <c r="O170" s="50" t="n">
        <v>-5.95</v>
      </c>
      <c r="P170" s="50" t="n">
        <v>0.74</v>
      </c>
      <c r="Q170" s="50" t="n">
        <v>-7.07</v>
      </c>
      <c r="R170" s="50" t="n">
        <v>2.12</v>
      </c>
      <c r="S170" s="50" t="n">
        <v>-9.19</v>
      </c>
      <c r="T170" s="50" t="n">
        <v>-7.37</v>
      </c>
      <c r="U170" s="50" t="n">
        <v>-4.32</v>
      </c>
      <c r="V170" s="50" t="n">
        <v>-3.05</v>
      </c>
      <c r="W170" s="50" t="n">
        <v>-2.09</v>
      </c>
      <c r="X170" s="50" t="n">
        <v>-1.45</v>
      </c>
      <c r="Y170" s="50" t="n">
        <v>-0.64</v>
      </c>
      <c r="Z170" s="50" t="n">
        <v>-0.45</v>
      </c>
      <c r="AA170" s="50" t="n">
        <v>0.43</v>
      </c>
      <c r="AB170" s="50" t="n">
        <v>-0.88</v>
      </c>
      <c r="AC170" s="50">
        <f>IF(OR(P170="",BL170="",BL170=0),"",P170/BL170)</f>
        <v/>
      </c>
      <c r="AD170" s="50">
        <f>IF(OR(S170="",BL170="",BL170=0),"",S170/BL170)</f>
        <v/>
      </c>
      <c r="AE170" s="50">
        <f>IF(OR(V170="",BL170="",BL170=0),"",V170/BL170)</f>
        <v/>
      </c>
      <c r="AF170" s="50">
        <f>IF(OR(Y170="",BL170="",BL170=0),"",Y170/BL170)</f>
        <v/>
      </c>
      <c r="AG170" s="50">
        <f>IF(OR(AB170="",BL170="",BL170=0),"",AB170/BL170)</f>
        <v/>
      </c>
      <c r="AH170" s="49" t="n"/>
      <c r="AI170" s="49" t="n">
        <v>54.3</v>
      </c>
      <c r="AJ170" s="49" t="n">
        <v>32.8</v>
      </c>
      <c r="AK170" s="49" t="n">
        <v>12.9</v>
      </c>
      <c r="AL170" s="49" t="n"/>
      <c r="AM170" s="49" t="n"/>
      <c r="AN170" s="49" t="n">
        <v>6.4</v>
      </c>
      <c r="AO170" s="49" t="n"/>
      <c r="AP170" s="49" t="n"/>
      <c r="AQ170" s="49" t="n"/>
      <c r="AR170" s="49" t="n"/>
      <c r="AS170" s="49" t="n"/>
      <c r="AT170" s="49" t="n">
        <v>4.4</v>
      </c>
      <c r="AU170" s="49" t="n"/>
      <c r="AV170" s="49" t="n"/>
      <c r="AW170" s="49" t="n">
        <v>43.5</v>
      </c>
      <c r="AX170" s="49" t="n"/>
      <c r="AY170" s="49" t="n"/>
      <c r="AZ170" s="49" t="n"/>
      <c r="BA170" s="49" t="n"/>
      <c r="BB170" s="49" t="n">
        <v>30.7</v>
      </c>
      <c r="BC170" s="49" t="n">
        <v>14.7</v>
      </c>
      <c r="BD170" s="49" t="n">
        <v>1.3</v>
      </c>
      <c r="BE170" s="49" t="n">
        <v>7.6</v>
      </c>
      <c r="BF170" s="49" t="n"/>
      <c r="BG170" s="49" t="n"/>
      <c r="BH170" s="49" t="n"/>
      <c r="BI170" s="49" t="n"/>
      <c r="BJ170" s="49" t="n"/>
      <c r="BK170" s="46" t="inlineStr">
        <is>
          <t>PT Bank Mandiri (Persero) Tbk | Bank Central Asia Tbk | Bank Rakyat Indonesia (Persero) Tbk | PT Bank Syariah Indonesia Tbk | PT GoTo Gojek Tokopedia Tbk</t>
        </is>
      </c>
      <c r="BL170" s="49" t="n">
        <v>9.6</v>
      </c>
      <c r="BM170" s="45" t="inlineStr">
        <is>
          <t>Moderate</t>
        </is>
      </c>
      <c r="BN170" s="46" t="inlineStr">
        <is>
          <t>Mixed Asset MYR ASEAN</t>
        </is>
      </c>
      <c r="BO170" s="46" t="n"/>
      <c r="BP170" s="51" t="n">
        <v>0.3033</v>
      </c>
      <c r="BQ170" s="45" t="inlineStr">
        <is>
          <t>2013-05-31</t>
        </is>
      </c>
      <c r="BR170" s="51" t="n">
        <v>0.1899</v>
      </c>
      <c r="BS170" s="50" t="n">
        <v>-37.39</v>
      </c>
      <c r="BT170" s="47" t="n">
        <v>4693</v>
      </c>
    </row>
    <row r="171" ht="16" customHeight="1">
      <c r="A171" s="38" t="inlineStr">
        <is>
          <t>PB ISLAMIC DYNAMIC ALLOCATION FUND</t>
        </is>
      </c>
      <c r="B171" s="38" t="inlineStr">
        <is>
          <t>PBIDYNAF</t>
        </is>
      </c>
      <c r="C171" s="38" t="inlineStr">
        <is>
          <t>Conventional</t>
        </is>
      </c>
      <c r="D171" s="38" t="inlineStr">
        <is>
          <t>Mixed Asset / Balanced</t>
        </is>
      </c>
      <c r="E171" s="38" t="inlineStr">
        <is>
          <t>Malaysia</t>
        </is>
      </c>
      <c r="F171" s="39" t="inlineStr">
        <is>
          <t>Capital Growth</t>
        </is>
      </c>
      <c r="G171" s="40" t="n">
        <v>5</v>
      </c>
      <c r="H171" s="39" t="inlineStr">
        <is>
          <t>Incidental</t>
        </is>
      </c>
      <c r="I171" s="41" t="n">
        <v>212.03</v>
      </c>
      <c r="J171" s="38" t="inlineStr">
        <is>
          <t>28.02.2018</t>
        </is>
      </c>
      <c r="K171" s="38" t="inlineStr">
        <is>
          <t>Disqualified</t>
        </is>
      </c>
      <c r="L171" s="42" t="n">
        <v>0</v>
      </c>
      <c r="M171" s="38" t="inlineStr">
        <is>
          <t>0/4</t>
        </is>
      </c>
      <c r="N171" s="43" t="n">
        <v>-5.56</v>
      </c>
      <c r="O171" s="43" t="n">
        <v>-0.13</v>
      </c>
      <c r="P171" s="43" t="n">
        <v>-5.43</v>
      </c>
      <c r="Q171" s="43" t="n">
        <v>3.22</v>
      </c>
      <c r="R171" s="43" t="n">
        <v>6.73</v>
      </c>
      <c r="S171" s="43" t="n">
        <v>-3.51</v>
      </c>
      <c r="T171" s="43" t="n">
        <v>12.08</v>
      </c>
      <c r="U171" s="43" t="n">
        <v>12.32</v>
      </c>
      <c r="V171" s="43" t="n">
        <v>-0.24</v>
      </c>
      <c r="W171" s="43" t="n">
        <v>1.8</v>
      </c>
      <c r="X171" s="43" t="n">
        <v>8.93</v>
      </c>
      <c r="Y171" s="43" t="n">
        <v>-7.13</v>
      </c>
      <c r="Z171" s="43" t="n"/>
      <c r="AA171" s="43" t="n"/>
      <c r="AB171" s="43" t="n"/>
      <c r="AC171" s="43">
        <f>IF(OR(P171="",BL171="",BL171=0),"",P171/BL171)</f>
        <v/>
      </c>
      <c r="AD171" s="43">
        <f>IF(OR(S171="",BL171="",BL171=0),"",S171/BL171)</f>
        <v/>
      </c>
      <c r="AE171" s="43">
        <f>IF(OR(V171="",BL171="",BL171=0),"",V171/BL171)</f>
        <v/>
      </c>
      <c r="AF171" s="43">
        <f>IF(OR(Y171="",BL171="",BL171=0),"",Y171/BL171)</f>
        <v/>
      </c>
      <c r="AG171" s="43">
        <f>IF(OR(AB171="",BL171="",BL171=0),"",AB171/BL171)</f>
        <v/>
      </c>
      <c r="AH171" s="42" t="n"/>
      <c r="AI171" s="42" t="n">
        <v>78.90000000000001</v>
      </c>
      <c r="AJ171" s="42" t="n"/>
      <c r="AK171" s="42" t="n">
        <v>21.1</v>
      </c>
      <c r="AL171" s="42" t="n"/>
      <c r="AM171" s="42" t="n"/>
      <c r="AN171" s="42" t="n">
        <v>46.5</v>
      </c>
      <c r="AO171" s="42" t="n">
        <v>9.4</v>
      </c>
      <c r="AP171" s="42" t="n"/>
      <c r="AQ171" s="42" t="n"/>
      <c r="AR171" s="42" t="n">
        <v>3.8</v>
      </c>
      <c r="AS171" s="42" t="n"/>
      <c r="AT171" s="42" t="n">
        <v>13</v>
      </c>
      <c r="AU171" s="42" t="n"/>
      <c r="AV171" s="42" t="n"/>
      <c r="AW171" s="42" t="n"/>
      <c r="AX171" s="42" t="n"/>
      <c r="AY171" s="42" t="n"/>
      <c r="AZ171" s="42" t="n">
        <v>2.3</v>
      </c>
      <c r="BA171" s="42" t="n">
        <v>27</v>
      </c>
      <c r="BB171" s="42" t="n"/>
      <c r="BC171" s="42" t="n">
        <v>36.8</v>
      </c>
      <c r="BD171" s="42" t="n">
        <v>12.8</v>
      </c>
      <c r="BE171" s="42" t="n"/>
      <c r="BF171" s="42" t="n"/>
      <c r="BG171" s="42" t="n"/>
      <c r="BH171" s="42" t="n"/>
      <c r="BI171" s="42" t="n"/>
      <c r="BJ171" s="42" t="n"/>
      <c r="BK171" s="39" t="inlineStr">
        <is>
          <t>Meta Platforms Incorporated | Taiwan Semiconductor Manufacturing Company Limited | Tesla Incorporated | Alibaba Group Holding Limited - W | Alphabet Incorporated - Class A</t>
        </is>
      </c>
      <c r="BL171" s="42" t="n">
        <v>14.4</v>
      </c>
      <c r="BM171" s="38" t="inlineStr">
        <is>
          <t>Very High</t>
        </is>
      </c>
      <c r="BN171" s="39" t="inlineStr">
        <is>
          <t>Mixed Asset MYR Global</t>
        </is>
      </c>
      <c r="BO171" s="39" t="inlineStr">
        <is>
          <t>Thebenchmark forPBIDYNAFisacompositeof70% S&amp;P Global 1200Shariah Index and 30% 3-Month Islamic Interbank Money Market (IIMM) rate. Underlying index data are sourced from Lipper and Bank Negara Malaysia and expressed in Ringgit terms.</t>
        </is>
      </c>
      <c r="BP171" s="44" t="n">
        <v>1.574</v>
      </c>
      <c r="BQ171" s="38" t="inlineStr">
        <is>
          <t>2025-10-28</t>
        </is>
      </c>
      <c r="BR171" s="44" t="n">
        <v>1.311</v>
      </c>
      <c r="BS171" s="43" t="n">
        <v>-16.71</v>
      </c>
      <c r="BT171" s="40" t="n">
        <v>160</v>
      </c>
    </row>
    <row r="172" ht="16" customHeight="1">
      <c r="A172" s="45" t="inlineStr">
        <is>
          <t>PB MIXED ASSET GROWTH FUND</t>
        </is>
      </c>
      <c r="B172" s="45" t="inlineStr">
        <is>
          <t>PBMAGRF</t>
        </is>
      </c>
      <c r="C172" s="45" t="inlineStr">
        <is>
          <t>Conventional</t>
        </is>
      </c>
      <c r="D172" s="45" t="inlineStr">
        <is>
          <t>Mixed Asset / Balanced</t>
        </is>
      </c>
      <c r="E172" s="45" t="inlineStr">
        <is>
          <t>Malaysia</t>
        </is>
      </c>
      <c r="F172" s="46" t="inlineStr">
        <is>
          <t>Capital Growth + Income</t>
        </is>
      </c>
      <c r="G172" s="47" t="n">
        <v>4</v>
      </c>
      <c r="H172" s="46" t="inlineStr">
        <is>
          <t>Incidental</t>
        </is>
      </c>
      <c r="I172" s="48" t="n">
        <v>21.57</v>
      </c>
      <c r="J172" s="45" t="inlineStr">
        <is>
          <t>18.05.2016</t>
        </is>
      </c>
      <c r="K172" s="45" t="inlineStr">
        <is>
          <t>Disqualified</t>
        </is>
      </c>
      <c r="L172" s="49" t="n">
        <v>0</v>
      </c>
      <c r="M172" s="45" t="inlineStr">
        <is>
          <t>0/4</t>
        </is>
      </c>
      <c r="N172" s="50" t="n">
        <v>0.45</v>
      </c>
      <c r="O172" s="50" t="n">
        <v>1.69</v>
      </c>
      <c r="P172" s="50" t="n">
        <v>-1.24</v>
      </c>
      <c r="Q172" s="50" t="n">
        <v>2.01</v>
      </c>
      <c r="R172" s="50" t="n">
        <v>7.44</v>
      </c>
      <c r="S172" s="50" t="n">
        <v>-5.43</v>
      </c>
      <c r="T172" s="50" t="n">
        <v>4.1</v>
      </c>
      <c r="U172" s="50" t="n">
        <v>5.14</v>
      </c>
      <c r="V172" s="50" t="n">
        <v>-1.04</v>
      </c>
      <c r="W172" s="50" t="n">
        <v>0.1</v>
      </c>
      <c r="X172" s="50" t="n">
        <v>2.22</v>
      </c>
      <c r="Y172" s="50" t="n">
        <v>-2.12</v>
      </c>
      <c r="Z172" s="50" t="n"/>
      <c r="AA172" s="50" t="n"/>
      <c r="AB172" s="50" t="n"/>
      <c r="AC172" s="50">
        <f>IF(OR(P172="",BL172="",BL172=0),"",P172/BL172)</f>
        <v/>
      </c>
      <c r="AD172" s="50">
        <f>IF(OR(S172="",BL172="",BL172=0),"",S172/BL172)</f>
        <v/>
      </c>
      <c r="AE172" s="50">
        <f>IF(OR(V172="",BL172="",BL172=0),"",V172/BL172)</f>
        <v/>
      </c>
      <c r="AF172" s="50">
        <f>IF(OR(Y172="",BL172="",BL172=0),"",Y172/BL172)</f>
        <v/>
      </c>
      <c r="AG172" s="50">
        <f>IF(OR(AB172="",BL172="",BL172=0),"",AB172/BL172)</f>
        <v/>
      </c>
      <c r="AH172" s="49" t="n">
        <v>47.3</v>
      </c>
      <c r="AI172" s="49" t="n">
        <v>18.3</v>
      </c>
      <c r="AJ172" s="49" t="n">
        <v>30.8</v>
      </c>
      <c r="AK172" s="49" t="n">
        <v>3.6</v>
      </c>
      <c r="AL172" s="49" t="n"/>
      <c r="AM172" s="49" t="n"/>
      <c r="AN172" s="49" t="n">
        <v>11.2</v>
      </c>
      <c r="AO172" s="49" t="n"/>
      <c r="AP172" s="49" t="n">
        <v>7.1</v>
      </c>
      <c r="AQ172" s="49" t="n"/>
      <c r="AR172" s="49" t="n"/>
      <c r="AS172" s="49" t="n"/>
      <c r="AT172" s="49" t="n"/>
      <c r="AU172" s="49" t="n"/>
      <c r="AV172" s="49" t="n"/>
      <c r="AW172" s="49" t="n"/>
      <c r="AX172" s="49" t="n"/>
      <c r="AY172" s="49" t="n"/>
      <c r="AZ172" s="49" t="n">
        <v>11.2</v>
      </c>
      <c r="BA172" s="49" t="n"/>
      <c r="BB172" s="49" t="n">
        <v>21.1</v>
      </c>
      <c r="BC172" s="49" t="n">
        <v>9.699999999999999</v>
      </c>
      <c r="BD172" s="49" t="n"/>
      <c r="BE172" s="49" t="n">
        <v>8.4</v>
      </c>
      <c r="BF172" s="49" t="n">
        <v>6.7</v>
      </c>
      <c r="BG172" s="49" t="n"/>
      <c r="BH172" s="49" t="n"/>
      <c r="BI172" s="49" t="n"/>
      <c r="BJ172" s="49" t="n"/>
      <c r="BK172" s="46" t="inlineStr">
        <is>
          <t>Public Bank Berhad | Tenaga Nasional Berhad | Bursa Malaysia Berhad | Gamuda Berhad | Broadcom Incorporated</t>
        </is>
      </c>
      <c r="BL172" s="49" t="n">
        <v>5.7</v>
      </c>
      <c r="BM172" s="45" t="inlineStr">
        <is>
          <t>Low</t>
        </is>
      </c>
      <c r="BN172" s="46" t="inlineStr">
        <is>
          <t>Mixed Asset MYR Domestic</t>
        </is>
      </c>
      <c r="BO172" s="46" t="inlineStr">
        <is>
          <t>ThebenchmarkforPBMAGRFisacompositeof70%FTSEBursaMalaysiaKLCI 2023 0.30 28.02.23 1.0 (FBM KLCI) and 30% 3-Month Kuala Lumpur Interbank Offered Rate (KLIBOR). Note: Distribution yield simply measures the level of distributions and is not a Underlying index data are sourced from Lipper and Bank Negara Malaysia. measure of fund performance.</t>
        </is>
      </c>
      <c r="BP172" s="51" t="n">
        <v>0.3766</v>
      </c>
      <c r="BQ172" s="45" t="inlineStr">
        <is>
          <t>2020-08-06</t>
        </is>
      </c>
      <c r="BR172" s="51" t="n">
        <v>0.3271</v>
      </c>
      <c r="BS172" s="50" t="n">
        <v>-13.14</v>
      </c>
      <c r="BT172" s="47" t="n">
        <v>2069</v>
      </c>
    </row>
    <row r="173" ht="16" customHeight="1">
      <c r="A173" s="38" t="inlineStr">
        <is>
          <t>PUBLIC e-WORLDWIDE THEMATIC GROWTH BALANCED FUND</t>
        </is>
      </c>
      <c r="B173" s="38" t="inlineStr">
        <is>
          <t>PeWTGBF</t>
        </is>
      </c>
      <c r="C173" s="38" t="inlineStr">
        <is>
          <t>Conventional</t>
        </is>
      </c>
      <c r="D173" s="38" t="inlineStr">
        <is>
          <t>Mixed Asset / Balanced</t>
        </is>
      </c>
      <c r="E173" s="38" t="inlineStr">
        <is>
          <t>Global</t>
        </is>
      </c>
      <c r="F173" s="39" t="inlineStr">
        <is>
          <t>Capital Growth</t>
        </is>
      </c>
      <c r="G173" s="40" t="n">
        <v>4</v>
      </c>
      <c r="H173" s="39" t="inlineStr">
        <is>
          <t>Incidental</t>
        </is>
      </c>
      <c r="I173" s="41" t="n">
        <v>35.42</v>
      </c>
      <c r="J173" s="38" t="inlineStr">
        <is>
          <t>10.12.2021</t>
        </is>
      </c>
      <c r="K173" s="38" t="inlineStr">
        <is>
          <t>Disqualified</t>
        </is>
      </c>
      <c r="L173" s="42" t="n">
        <v>0</v>
      </c>
      <c r="M173" s="38" t="inlineStr">
        <is>
          <t>0/3</t>
        </is>
      </c>
      <c r="N173" s="43" t="n">
        <v>-0.52</v>
      </c>
      <c r="O173" s="43" t="n">
        <v>2.54</v>
      </c>
      <c r="P173" s="43" t="n">
        <v>-3.06</v>
      </c>
      <c r="Q173" s="43" t="n">
        <v>3.52</v>
      </c>
      <c r="R173" s="43" t="n">
        <v>9.23</v>
      </c>
      <c r="S173" s="43" t="n">
        <v>-5.71</v>
      </c>
      <c r="T173" s="43" t="n">
        <v>7.12</v>
      </c>
      <c r="U173" s="43" t="n">
        <v>9.210000000000001</v>
      </c>
      <c r="V173" s="43" t="n">
        <v>-2.09</v>
      </c>
      <c r="W173" s="43" t="n"/>
      <c r="X173" s="43" t="n"/>
      <c r="Y173" s="43" t="n"/>
      <c r="Z173" s="43" t="n"/>
      <c r="AA173" s="43" t="n"/>
      <c r="AB173" s="43" t="n"/>
      <c r="AC173" s="43">
        <f>IF(OR(P173="",BL173="",BL173=0),"",P173/BL173)</f>
        <v/>
      </c>
      <c r="AD173" s="43">
        <f>IF(OR(S173="",BL173="",BL173=0),"",S173/BL173)</f>
        <v/>
      </c>
      <c r="AE173" s="43">
        <f>IF(OR(V173="",BL173="",BL173=0),"",V173/BL173)</f>
        <v/>
      </c>
      <c r="AF173" s="43">
        <f>IF(OR(Y173="",BL173="",BL173=0),"",Y173/BL173)</f>
        <v/>
      </c>
      <c r="AG173" s="43">
        <f>IF(OR(AB173="",BL173="",BL173=0),"",AB173/BL173)</f>
        <v/>
      </c>
      <c r="AH173" s="42" t="n">
        <v>1.7</v>
      </c>
      <c r="AI173" s="42" t="n">
        <v>45.9</v>
      </c>
      <c r="AJ173" s="42" t="n">
        <v>39.7</v>
      </c>
      <c r="AK173" s="42" t="n">
        <v>12.7</v>
      </c>
      <c r="AL173" s="42" t="n"/>
      <c r="AM173" s="42" t="n"/>
      <c r="AN173" s="42" t="n">
        <v>23</v>
      </c>
      <c r="AO173" s="42" t="n">
        <v>9.699999999999999</v>
      </c>
      <c r="AP173" s="42" t="n">
        <v>4.3</v>
      </c>
      <c r="AQ173" s="42" t="n"/>
      <c r="AR173" s="42" t="n">
        <v>1.5</v>
      </c>
      <c r="AS173" s="42" t="n"/>
      <c r="AT173" s="42" t="n">
        <v>6.2</v>
      </c>
      <c r="AU173" s="42" t="n"/>
      <c r="AV173" s="42" t="n"/>
      <c r="AW173" s="42" t="n"/>
      <c r="AX173" s="42" t="n"/>
      <c r="AY173" s="42" t="n"/>
      <c r="AZ173" s="42" t="n">
        <v>4.6</v>
      </c>
      <c r="BA173" s="42" t="n">
        <v>21.2</v>
      </c>
      <c r="BB173" s="42" t="n">
        <v>0.5</v>
      </c>
      <c r="BC173" s="42" t="n">
        <v>17.2</v>
      </c>
      <c r="BD173" s="42" t="n">
        <v>4.1</v>
      </c>
      <c r="BE173" s="42" t="n"/>
      <c r="BF173" s="42" t="n"/>
      <c r="BG173" s="42" t="n"/>
      <c r="BH173" s="42" t="n"/>
      <c r="BI173" s="42" t="n"/>
      <c r="BJ173" s="42" t="n"/>
      <c r="BK173" s="39" t="inlineStr">
        <is>
          <t>Taiwan Semiconductor Manufacturing Company Limited | Meta Platforms Incorporated | Alibaba Group Holding Limited - W | Alphabet Incorporated - Class A | HEICO Corporation</t>
        </is>
      </c>
      <c r="BL173" s="42" t="n">
        <v>8.5</v>
      </c>
      <c r="BM173" s="38" t="inlineStr">
        <is>
          <t>Moderate</t>
        </is>
      </c>
      <c r="BN173" s="39" t="inlineStr">
        <is>
          <t>Mixed Asset MYR Global</t>
        </is>
      </c>
      <c r="BO173" s="39"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P173" s="44" t="n">
        <v>0.3052</v>
      </c>
      <c r="BQ173" s="38" t="inlineStr">
        <is>
          <t>2025-10-29</t>
        </is>
      </c>
      <c r="BR173" s="44" t="n">
        <v>0.2795</v>
      </c>
      <c r="BS173" s="43" t="n">
        <v>-8.42</v>
      </c>
      <c r="BT173" s="40" t="n">
        <v>159</v>
      </c>
    </row>
    <row r="174" ht="16" customHeight="1">
      <c r="A174" s="45" t="inlineStr">
        <is>
          <t>PUBLIC NAVIGATOR GROWTH FUND</t>
        </is>
      </c>
      <c r="B174" s="45" t="inlineStr">
        <is>
          <t>PNVGF</t>
        </is>
      </c>
      <c r="C174" s="45" t="inlineStr">
        <is>
          <t>Conventional</t>
        </is>
      </c>
      <c r="D174" s="45" t="inlineStr">
        <is>
          <t>Mixed Asset / Balanced</t>
        </is>
      </c>
      <c r="E174" s="45" t="inlineStr">
        <is>
          <t>Malaysia</t>
        </is>
      </c>
      <c r="F174" s="46" t="inlineStr">
        <is>
          <t>Capital Growth + Income</t>
        </is>
      </c>
      <c r="G174" s="47" t="n">
        <v>5</v>
      </c>
      <c r="H174" s="46" t="inlineStr">
        <is>
          <t>Incidental</t>
        </is>
      </c>
      <c r="I174" s="48" t="n">
        <v>221.11</v>
      </c>
      <c r="J174" s="45" t="inlineStr">
        <is>
          <t>09.01.2017</t>
        </is>
      </c>
      <c r="K174" s="45" t="inlineStr">
        <is>
          <t>Disqualified</t>
        </is>
      </c>
      <c r="L174" s="49" t="n">
        <v>0</v>
      </c>
      <c r="M174" s="45" t="inlineStr">
        <is>
          <t>0/4</t>
        </is>
      </c>
      <c r="N174" s="50" t="n">
        <v>-1.79</v>
      </c>
      <c r="O174" s="50" t="n">
        <v>1.21</v>
      </c>
      <c r="P174" s="50" t="n">
        <v>-3</v>
      </c>
      <c r="Q174" s="50" t="n">
        <v>1.75</v>
      </c>
      <c r="R174" s="50" t="n">
        <v>7.98</v>
      </c>
      <c r="S174" s="50" t="n">
        <v>-6.23</v>
      </c>
      <c r="T174" s="50" t="n">
        <v>4.78</v>
      </c>
      <c r="U174" s="50" t="n">
        <v>7.99</v>
      </c>
      <c r="V174" s="50" t="n">
        <v>-3.21</v>
      </c>
      <c r="W174" s="50" t="n">
        <v>2.41</v>
      </c>
      <c r="X174" s="50" t="n">
        <v>8</v>
      </c>
      <c r="Y174" s="50" t="n">
        <v>-5.59</v>
      </c>
      <c r="Z174" s="50" t="n"/>
      <c r="AA174" s="50" t="n"/>
      <c r="AB174" s="50" t="n"/>
      <c r="AC174" s="50">
        <f>IF(OR(P174="",BL174="",BL174=0),"",P174/BL174)</f>
        <v/>
      </c>
      <c r="AD174" s="50">
        <f>IF(OR(S174="",BL174="",BL174=0),"",S174/BL174)</f>
        <v/>
      </c>
      <c r="AE174" s="50">
        <f>IF(OR(V174="",BL174="",BL174=0),"",V174/BL174)</f>
        <v/>
      </c>
      <c r="AF174" s="50">
        <f>IF(OR(Y174="",BL174="",BL174=0),"",Y174/BL174)</f>
        <v/>
      </c>
      <c r="AG174" s="50">
        <f>IF(OR(AB174="",BL174="",BL174=0),"",AB174/BL174)</f>
        <v/>
      </c>
      <c r="AH174" s="49" t="n">
        <v>1.2</v>
      </c>
      <c r="AI174" s="49" t="n">
        <v>93.3</v>
      </c>
      <c r="AJ174" s="49" t="n"/>
      <c r="AK174" s="49" t="n">
        <v>5.5</v>
      </c>
      <c r="AL174" s="49" t="n"/>
      <c r="AM174" s="49" t="n"/>
      <c r="AN174" s="49" t="n">
        <v>46.9</v>
      </c>
      <c r="AO174" s="49" t="n">
        <v>13.6</v>
      </c>
      <c r="AP174" s="49" t="n">
        <v>6.1</v>
      </c>
      <c r="AQ174" s="49" t="n">
        <v>6.2</v>
      </c>
      <c r="AR174" s="49" t="n"/>
      <c r="AS174" s="49" t="n"/>
      <c r="AT174" s="49" t="n">
        <v>9.199999999999999</v>
      </c>
      <c r="AU174" s="49" t="n"/>
      <c r="AV174" s="49" t="n"/>
      <c r="AW174" s="49" t="n"/>
      <c r="AX174" s="49" t="n"/>
      <c r="AY174" s="49" t="n"/>
      <c r="AZ174" s="49" t="n">
        <v>5.6</v>
      </c>
      <c r="BA174" s="49" t="n">
        <v>38.5</v>
      </c>
      <c r="BB174" s="49" t="n">
        <v>5.3</v>
      </c>
      <c r="BC174" s="49" t="n">
        <v>33</v>
      </c>
      <c r="BD174" s="49" t="n">
        <v>12.1</v>
      </c>
      <c r="BE174" s="49" t="n"/>
      <c r="BF174" s="49" t="n"/>
      <c r="BG174" s="49" t="n"/>
      <c r="BH174" s="49" t="n"/>
      <c r="BI174" s="49" t="n"/>
      <c r="BJ174" s="49" t="n"/>
      <c r="BK174" s="46" t="inlineStr">
        <is>
          <t>Taiwan Semiconductor Manufacturing Company Limited | Meta Platforms Incorporated | SK Hynix Incorporated | Alphabet Incorporated - Class A | Broadcom Incorporated</t>
        </is>
      </c>
      <c r="BL174" s="49" t="n">
        <v>13.6</v>
      </c>
      <c r="BM174" s="45" t="inlineStr">
        <is>
          <t>Very High</t>
        </is>
      </c>
      <c r="BN174" s="46" t="inlineStr">
        <is>
          <t>Mixed Asset MYR Flexible Global</t>
        </is>
      </c>
      <c r="BO174" s="46" t="n"/>
      <c r="BP174" s="51" t="n">
        <v>0.3436</v>
      </c>
      <c r="BQ174" s="45" t="inlineStr">
        <is>
          <t>2025-10-27</t>
        </is>
      </c>
      <c r="BR174" s="51" t="n">
        <v>0.2925</v>
      </c>
      <c r="BS174" s="50" t="n">
        <v>-14.87</v>
      </c>
      <c r="BT174" s="47" t="n">
        <v>161</v>
      </c>
    </row>
  </sheetData>
  <autoFilter ref="A3:BT174"/>
  <mergeCells count="10">
    <mergeCell ref="AH2:AM2"/>
    <mergeCell ref="K2:M2"/>
    <mergeCell ref="BP2:BT2"/>
    <mergeCell ref="AN2:AY2"/>
    <mergeCell ref="N2:AB2"/>
    <mergeCell ref="AC2:AG2"/>
    <mergeCell ref="AZ2:BJ2"/>
    <mergeCell ref="A2:J2"/>
    <mergeCell ref="A1:BT1"/>
    <mergeCell ref="BL2:BO2"/>
  </mergeCells>
  <conditionalFormatting sqref="K4:K174">
    <cfRule type="cellIs" priority="1" operator="equal" dxfId="0">
      <formula>"Qualified"</formula>
    </cfRule>
    <cfRule type="cellIs" priority="2" operator="equal" dxfId="1">
      <formula>"Disqualified"</formula>
    </cfRule>
  </conditionalFormatting>
  <conditionalFormatting sqref="G4:G174">
    <cfRule type="colorScale" priority="3">
      <colorScale>
        <cfvo type="num" val="1"/>
        <cfvo type="num" val="3"/>
        <cfvo type="num" val="5"/>
        <color rgb="00C6EFCE"/>
        <color rgb="00FFEB9C"/>
        <color rgb="00FCE4D6"/>
      </colorScale>
    </cfRule>
  </conditionalFormatting>
  <conditionalFormatting sqref="P4:P174">
    <cfRule type="cellIs" priority="4" operator="greaterThan" dxfId="0">
      <formula>0</formula>
    </cfRule>
    <cfRule type="cellIs" priority="5" operator="lessThan" dxfId="1">
      <formula>0</formula>
    </cfRule>
  </conditionalFormatting>
  <conditionalFormatting sqref="S4:S174">
    <cfRule type="cellIs" priority="6" operator="greaterThan" dxfId="0">
      <formula>0</formula>
    </cfRule>
    <cfRule type="cellIs" priority="7" operator="lessThan" dxfId="1">
      <formula>0</formula>
    </cfRule>
  </conditionalFormatting>
  <conditionalFormatting sqref="V4:V174">
    <cfRule type="cellIs" priority="8" operator="greaterThan" dxfId="0">
      <formula>0</formula>
    </cfRule>
    <cfRule type="cellIs" priority="9" operator="lessThan" dxfId="1">
      <formula>0</formula>
    </cfRule>
  </conditionalFormatting>
  <conditionalFormatting sqref="Y4:Y174">
    <cfRule type="cellIs" priority="10" operator="greaterThan" dxfId="0">
      <formula>0</formula>
    </cfRule>
    <cfRule type="cellIs" priority="11" operator="lessThan" dxfId="1">
      <formula>0</formula>
    </cfRule>
  </conditionalFormatting>
  <conditionalFormatting sqref="AB4:AB174">
    <cfRule type="cellIs" priority="12" operator="greaterThan" dxfId="0">
      <formula>0</formula>
    </cfRule>
    <cfRule type="cellIs" priority="13" operator="lessThan" dxfId="1">
      <formula>0</formula>
    </cfRule>
  </conditionalFormatting>
  <conditionalFormatting sqref="AC4:AC174">
    <cfRule type="cellIs" priority="14" operator="greaterThan" dxfId="0">
      <formula>0</formula>
    </cfRule>
    <cfRule type="cellIs" priority="15" operator="lessThan" dxfId="1">
      <formula>0</formula>
    </cfRule>
  </conditionalFormatting>
  <conditionalFormatting sqref="AD4:AD174">
    <cfRule type="cellIs" priority="16" operator="greaterThan" dxfId="0">
      <formula>0</formula>
    </cfRule>
    <cfRule type="cellIs" priority="17" operator="lessThan" dxfId="1">
      <formula>0</formula>
    </cfRule>
  </conditionalFormatting>
  <conditionalFormatting sqref="AE4:AE174">
    <cfRule type="cellIs" priority="18" operator="greaterThan" dxfId="0">
      <formula>0</formula>
    </cfRule>
    <cfRule type="cellIs" priority="19" operator="lessThan" dxfId="1">
      <formula>0</formula>
    </cfRule>
  </conditionalFormatting>
  <conditionalFormatting sqref="AF4:AF174">
    <cfRule type="cellIs" priority="20" operator="greaterThan" dxfId="0">
      <formula>0</formula>
    </cfRule>
    <cfRule type="cellIs" priority="21" operator="lessThan" dxfId="1">
      <formula>0</formula>
    </cfRule>
  </conditionalFormatting>
  <conditionalFormatting sqref="AG4:AG174">
    <cfRule type="cellIs" priority="22" operator="greaterThan" dxfId="0">
      <formula>0</formula>
    </cfRule>
    <cfRule type="cellIs" priority="23" operator="lessThan" dxfId="1">
      <formula>0</formula>
    </cfRule>
  </conditionalFormatting>
  <conditionalFormatting sqref="L4:L174">
    <cfRule type="colorScale" priority="24">
      <colorScale>
        <cfvo type="num" val="0"/>
        <cfvo type="num" val="60"/>
        <cfvo type="num" val="100"/>
        <color rgb="00FCE4D6"/>
        <color rgb="00FFEB9C"/>
        <color rgb="00C6EFCE"/>
      </colorScale>
    </cfRule>
  </conditionalFormatting>
  <conditionalFormatting sqref="AH4:AH174">
    <cfRule type="cellIs" priority="25" operator="greaterThan" dxfId="2">
      <formula>0</formula>
    </cfRule>
  </conditionalFormatting>
  <conditionalFormatting sqref="AI4:AI174">
    <cfRule type="cellIs" priority="26" operator="greaterThan" dxfId="2">
      <formula>0</formula>
    </cfRule>
  </conditionalFormatting>
  <conditionalFormatting sqref="AJ4:AJ174">
    <cfRule type="cellIs" priority="27" operator="greaterThan" dxfId="2">
      <formula>0</formula>
    </cfRule>
  </conditionalFormatting>
  <conditionalFormatting sqref="AK4:AK174">
    <cfRule type="cellIs" priority="28" operator="greaterThan" dxfId="2">
      <formula>0</formula>
    </cfRule>
  </conditionalFormatting>
  <conditionalFormatting sqref="AL4:AL174">
    <cfRule type="cellIs" priority="29" operator="greaterThan" dxfId="2">
      <formula>0</formula>
    </cfRule>
  </conditionalFormatting>
  <conditionalFormatting sqref="AM4:AM174">
    <cfRule type="cellIs" priority="30" operator="greaterThan" dxfId="2">
      <formula>0</formula>
    </cfRule>
  </conditionalFormatting>
  <conditionalFormatting sqref="AN4:AN174">
    <cfRule type="cellIs" priority="31" operator="greaterThan" dxfId="3">
      <formula>0</formula>
    </cfRule>
  </conditionalFormatting>
  <conditionalFormatting sqref="AO4:AO174">
    <cfRule type="cellIs" priority="32" operator="greaterThan" dxfId="3">
      <formula>0</formula>
    </cfRule>
  </conditionalFormatting>
  <conditionalFormatting sqref="AP4:AP174">
    <cfRule type="cellIs" priority="33" operator="greaterThan" dxfId="3">
      <formula>0</formula>
    </cfRule>
  </conditionalFormatting>
  <conditionalFormatting sqref="AQ4:AQ174">
    <cfRule type="cellIs" priority="34" operator="greaterThan" dxfId="3">
      <formula>0</formula>
    </cfRule>
  </conditionalFormatting>
  <conditionalFormatting sqref="AR4:AR174">
    <cfRule type="cellIs" priority="35" operator="greaterThan" dxfId="3">
      <formula>0</formula>
    </cfRule>
  </conditionalFormatting>
  <conditionalFormatting sqref="AS4:AS174">
    <cfRule type="cellIs" priority="36" operator="greaterThan" dxfId="3">
      <formula>0</formula>
    </cfRule>
  </conditionalFormatting>
  <conditionalFormatting sqref="AT4:AT174">
    <cfRule type="cellIs" priority="37" operator="greaterThan" dxfId="3">
      <formula>0</formula>
    </cfRule>
  </conditionalFormatting>
  <conditionalFormatting sqref="AU4:AU174">
    <cfRule type="cellIs" priority="38" operator="greaterThan" dxfId="3">
      <formula>0</formula>
    </cfRule>
  </conditionalFormatting>
  <conditionalFormatting sqref="AV4:AV174">
    <cfRule type="cellIs" priority="39" operator="greaterThan" dxfId="3">
      <formula>0</formula>
    </cfRule>
  </conditionalFormatting>
  <conditionalFormatting sqref="AW4:AW174">
    <cfRule type="cellIs" priority="40" operator="greaterThan" dxfId="3">
      <formula>0</formula>
    </cfRule>
  </conditionalFormatting>
  <conditionalFormatting sqref="AX4:AX174">
    <cfRule type="cellIs" priority="41" operator="greaterThan" dxfId="3">
      <formula>0</formula>
    </cfRule>
  </conditionalFormatting>
  <conditionalFormatting sqref="AY4:AY174">
    <cfRule type="cellIs" priority="42" operator="greaterThan" dxfId="3">
      <formula>0</formula>
    </cfRule>
  </conditionalFormatting>
  <conditionalFormatting sqref="AZ4:AZ174">
    <cfRule type="cellIs" priority="43" operator="greaterThan" dxfId="4">
      <formula>0</formula>
    </cfRule>
  </conditionalFormatting>
  <conditionalFormatting sqref="BA4:BA174">
    <cfRule type="cellIs" priority="44" operator="greaterThan" dxfId="4">
      <formula>0</formula>
    </cfRule>
  </conditionalFormatting>
  <conditionalFormatting sqref="BB4:BB174">
    <cfRule type="cellIs" priority="45" operator="greaterThan" dxfId="4">
      <formula>0</formula>
    </cfRule>
  </conditionalFormatting>
  <conditionalFormatting sqref="BC4:BC174">
    <cfRule type="cellIs" priority="46" operator="greaterThan" dxfId="4">
      <formula>0</formula>
    </cfRule>
  </conditionalFormatting>
  <conditionalFormatting sqref="BD4:BD174">
    <cfRule type="cellIs" priority="47" operator="greaterThan" dxfId="4">
      <formula>0</formula>
    </cfRule>
  </conditionalFormatting>
  <conditionalFormatting sqref="BE4:BE174">
    <cfRule type="cellIs" priority="48" operator="greaterThan" dxfId="4">
      <formula>0</formula>
    </cfRule>
  </conditionalFormatting>
  <conditionalFormatting sqref="BF4:BF174">
    <cfRule type="cellIs" priority="49" operator="greaterThan" dxfId="4">
      <formula>0</formula>
    </cfRule>
  </conditionalFormatting>
  <conditionalFormatting sqref="BG4:BG174">
    <cfRule type="cellIs" priority="50" operator="greaterThan" dxfId="4">
      <formula>0</formula>
    </cfRule>
  </conditionalFormatting>
  <conditionalFormatting sqref="BH4:BH174">
    <cfRule type="cellIs" priority="51" operator="greaterThan" dxfId="4">
      <formula>0</formula>
    </cfRule>
  </conditionalFormatting>
  <conditionalFormatting sqref="BI4:BI174">
    <cfRule type="cellIs" priority="52" operator="greaterThan" dxfId="4">
      <formula>0</formula>
    </cfRule>
  </conditionalFormatting>
  <conditionalFormatting sqref="BJ4:BJ174">
    <cfRule type="cellIs" priority="53" operator="greaterThan" dxfId="4">
      <formula>0</formula>
    </cfRule>
  </conditionalFormatting>
  <conditionalFormatting sqref="BS4:BS174">
    <cfRule type="colorScale" priority="54">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February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(≥60% beat rate)</t>
        </is>
      </c>
      <c r="B10" s="59" t="n">
        <v>111</v>
      </c>
    </row>
    <row r="11" ht="16" customHeight="1">
      <c r="A11" s="58" t="inlineStr">
        <is>
          <t>Funds disqualified</t>
        </is>
      </c>
      <c r="B11" s="58" t="n">
        <v>60</v>
      </c>
    </row>
    <row r="12" ht="16" customHeight="1">
      <c r="A12" s="59" t="inlineStr">
        <is>
          <t>Pass rate</t>
        </is>
      </c>
      <c r="B12" s="59" t="inlineStr">
        <is>
          <t>64.9%</t>
        </is>
      </c>
    </row>
    <row r="13" ht="16" customHeight="1">
      <c r="A13" s="58" t="inlineStr">
        <is>
          <t>Conventional funds qualified</t>
        </is>
      </c>
      <c r="B13" s="58" t="n">
        <v>67</v>
      </c>
    </row>
    <row r="14" ht="16" customHeight="1">
      <c r="A14" s="59" t="inlineStr">
        <is>
          <t>Shariah-compliant funds qualified</t>
        </is>
      </c>
      <c r="B14" s="59" t="n">
        <v>44</v>
      </c>
    </row>
    <row r="16" ht="16" customHeight="1">
      <c r="A16" s="59" t="inlineStr">
        <is>
          <t>Data source</t>
        </is>
      </c>
      <c r="B16" s="59" t="inlineStr">
        <is>
          <t>MFR February 2026</t>
        </is>
      </c>
    </row>
    <row r="17" ht="16" customHeight="1">
      <c r="A17" s="58" t="inlineStr">
        <is>
          <t>Screening criteria</t>
        </is>
      </c>
      <c r="B17" s="58" t="inlineStr">
        <is>
          <t>≥60% of YTD/1Y/3Y/5Y/10Y periods outperform benchmark</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COUNTIFS(Master!K$4:K$174,"Qualified",Master!D$4:D$174,"Equity")</f>
        <v/>
      </c>
      <c r="C23" s="65">
        <f>COUNTIFS(Master!K$4:K$174,"Qualified",Master!D$4:D$174,"Equity",Master!L$4:L$174,100)</f>
        <v/>
      </c>
      <c r="D23" s="65">
        <f>COUNTIFS(Master!K$4:K$174,"Qualified",Master!D$4:D$174,"Equity",Master!C$4:C$174,"Shariah")</f>
        <v/>
      </c>
      <c r="E23" s="65">
        <f>B23-D23</f>
        <v/>
      </c>
    </row>
    <row r="24" ht="16" customHeight="1">
      <c r="A24" s="66" t="inlineStr">
        <is>
          <t>Mixed Asset / Balanced</t>
        </is>
      </c>
      <c r="B24" s="67">
        <f>COUNTIFS(Master!K$4:K$174,"Qualified",Master!D$4:D$174,"Mixed Asset / Balanced")</f>
        <v/>
      </c>
      <c r="C24" s="68">
        <f>COUNTIFS(Master!K$4:K$174,"Qualified",Master!D$4:D$174,"Mixed Asset / Balanced",Master!L$4:L$174,100)</f>
        <v/>
      </c>
      <c r="D24" s="68">
        <f>COUNTIFS(Master!K$4:K$174,"Qualified",Master!D$4:D$174,"Mixed Asset / Balanced",Master!C$4:C$174,"Shariah")</f>
        <v/>
      </c>
      <c r="E24" s="68">
        <f>B24-D24</f>
        <v/>
      </c>
    </row>
    <row r="25" ht="16" customHeight="1">
      <c r="A25" s="63" t="inlineStr">
        <is>
          <t>Fixed Income</t>
        </is>
      </c>
      <c r="B25" s="64">
        <f>COUNTIFS(Master!K$4:K$174,"Qualified",Master!D$4:D$174,"Fixed Income")</f>
        <v/>
      </c>
      <c r="C25" s="65">
        <f>COUNTIFS(Master!K$4:K$174,"Qualified",Master!D$4:D$174,"Fixed Income",Master!L$4:L$174,100)</f>
        <v/>
      </c>
      <c r="D25" s="65">
        <f>COUNTIFS(Master!K$4:K$174,"Qualified",Master!D$4:D$174,"Fixed Income",Master!C$4:C$174,"Shariah")</f>
        <v/>
      </c>
      <c r="E25" s="65">
        <f>B25-D25</f>
        <v/>
      </c>
    </row>
    <row r="26" ht="16" customHeight="1">
      <c r="A26" s="66" t="inlineStr">
        <is>
          <t>Fund of Funds</t>
        </is>
      </c>
      <c r="B26" s="67">
        <f>COUNTIFS(Master!K$4:K$174,"Qualified",Master!D$4:D$174,"Fund of Funds")</f>
        <v/>
      </c>
      <c r="C26" s="68">
        <f>COUNTIFS(Master!K$4:K$174,"Qualified",Master!D$4:D$174,"Fund of Funds",Master!L$4:L$174,100)</f>
        <v/>
      </c>
      <c r="D26" s="68">
        <f>COUNTIFS(Master!K$4:K$174,"Qualified",Master!D$4:D$174,"Fund of Funds",Master!C$4:C$174,"Shariah")</f>
        <v/>
      </c>
      <c r="E26" s="68">
        <f>B26-D26</f>
        <v/>
      </c>
    </row>
    <row r="27" ht="16" customHeight="1">
      <c r="A27" s="63" t="inlineStr">
        <is>
          <t>Money Market</t>
        </is>
      </c>
      <c r="B27" s="64">
        <f>COUNTIFS(Master!K$4:K$174,"Qualified",Master!D$4:D$174,"Money Market")</f>
        <v/>
      </c>
      <c r="C27" s="65">
        <f>COUNTIFS(Master!K$4:K$174,"Qualified",Master!D$4:D$174,"Money Market",Master!L$4:L$174,100)</f>
        <v/>
      </c>
      <c r="D27" s="65">
        <f>COUNTIFS(Master!K$4:K$174,"Qualified",Master!D$4:D$174,"Money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IFERROR(MEDIAN(FILTER(Master!N$4:N$174,(Master!K$4:K$174="Qualified")*(Master!D$4:D$174="Equity"))),"")</f>
        <v/>
      </c>
      <c r="C32" s="74">
        <f>IFERROR(MEDIAN(FILTER(Master!Q$4:Q$174,(Master!K$4:K$174="Qualified")*(Master!D$4:D$174="Equity"))),"")</f>
        <v/>
      </c>
      <c r="D32" s="74">
        <f>IFERROR(MEDIAN(FILTER(Master!T$4:T$174,(Master!K$4:K$174="Qualified")*(Master!D$4:D$174="Equity"))),"")</f>
        <v/>
      </c>
      <c r="E32" s="74">
        <f>IFERROR(MEDIAN(FILTER(Master!W$4:W$174,(Master!K$4:K$174="Qualified")*(Master!D$4:D$174="Equity"))),"")</f>
        <v/>
      </c>
      <c r="F32" s="74">
        <f>IFERROR(MEDIAN(FILTER(Master!Z$4:Z$174,(Master!K$4:K$174="Qualified")*(Master!D$4:D$174="Equity"))),"")</f>
        <v/>
      </c>
      <c r="G32" s="74">
        <f>IFERROR(MEDIAN(FILTER(Master!V$4:V$174,(Master!K$4:K$174="Qualified")*(Master!D$4:D$174="Equity"))),"")</f>
        <v/>
      </c>
      <c r="H32" s="74">
        <f>IFERROR(MEDIAN(FILTER(Master!L$4:L$174,(Master!K$4:K$174="Qualified")*(Master!D$4:D$174="Equity"))),"")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IFERROR(INDEX(SORT(FILTER({Master!A$4:A$174,Master!B$4:B$174,Master!T$4:T$174,Master!V$4:V$174,Master!L$4:L$174,Master!I$4:I$174,Master!BM$4:BM$174},Master!K$4:K$174="Qualified",Master!D$4:D$174="Equity",Master!T$4:T$174&lt;&gt;""),3,FALSE),1,1),"")</f>
        <v/>
      </c>
      <c r="B36" s="59">
        <f>IFERROR(INDEX(SORT(FILTER({Master!A$4:A$174,Master!B$4:B$174,Master!T$4:T$174,Master!V$4:V$174,Master!L$4:L$174,Master!I$4:I$174,Master!BM$4:BM$174},Master!K$4:K$174="Qualified",Master!D$4:D$174="Equity",Master!T$4:T$174&lt;&gt;""),3,FALSE),1,2),"")</f>
        <v/>
      </c>
      <c r="C36" s="75">
        <f>IFERROR(INDEX(SORT(FILTER({Master!A$4:A$174,Master!B$4:B$174,Master!T$4:T$174,Master!V$4:V$174,Master!L$4:L$174,Master!I$4:I$174,Master!BM$4:BM$174},Master!K$4:K$174="Qualified",Master!D$4:D$174="Equity",Master!T$4:T$174&lt;&gt;""),3,FALSE),1,3),"")</f>
        <v/>
      </c>
      <c r="D36" s="75">
        <f>IFERROR(INDEX(SORT(FILTER({Master!A$4:A$174,Master!B$4:B$174,Master!T$4:T$174,Master!V$4:V$174,Master!L$4:L$174,Master!I$4:I$174,Master!BM$4:BM$174},Master!K$4:K$174="Qualified",Master!D$4:D$174="Equity",Master!T$4:T$174&lt;&gt;""),3,FALSE),1,4),"")</f>
        <v/>
      </c>
      <c r="E36" s="76">
        <f>IFERROR(INDEX(SORT(FILTER({Master!A$4:A$174,Master!B$4:B$174,Master!T$4:T$174,Master!V$4:V$174,Master!L$4:L$174,Master!I$4:I$174,Master!BM$4:BM$174},Master!K$4:K$174="Qualified",Master!D$4:D$174="Equity",Master!T$4:T$174&lt;&gt;""),3,FALSE),1,5),"")</f>
        <v/>
      </c>
      <c r="F36" s="77">
        <f>IFERROR(INDEX(SORT(FILTER({Master!A$4:A$174,Master!B$4:B$174,Master!T$4:T$174,Master!V$4:V$174,Master!L$4:L$174,Master!I$4:I$174,Master!BM$4:BM$174},Master!K$4:K$174="Qualified",Master!D$4:D$174="Equity",Master!T$4:T$174&lt;&gt;""),3,FALSE),1,6),"")</f>
        <v/>
      </c>
      <c r="G36" s="78">
        <f>IFERROR(INDEX(SORT(FILTER({Master!A$4:A$174,Master!B$4:B$174,Master!T$4:T$174,Master!V$4:V$174,Master!L$4:L$174,Master!I$4:I$174,Master!BM$4:BM$174},Master!K$4:K$174="Qualified",Master!D$4:D$174="Equity",Master!T$4:T$174&lt;&gt;""),3,FALSE),1,7),"")</f>
        <v/>
      </c>
      <c r="H36" s="78" t="inlineStr"/>
    </row>
    <row r="37" ht="16" customHeight="1">
      <c r="A37" s="58">
        <f>IFERROR(INDEX(SORT(FILTER({Master!A$4:A$174,Master!B$4:B$174,Master!T$4:T$174,Master!V$4:V$174,Master!L$4:L$174,Master!I$4:I$174,Master!BM$4:BM$174},Master!K$4:K$174="Qualified",Master!D$4:D$174="Equity",Master!T$4:T$174&lt;&gt;""),3,FALSE),2,1),"")</f>
        <v/>
      </c>
      <c r="B37" s="58">
        <f>IFERROR(INDEX(SORT(FILTER({Master!A$4:A$174,Master!B$4:B$174,Master!T$4:T$174,Master!V$4:V$174,Master!L$4:L$174,Master!I$4:I$174,Master!BM$4:BM$174},Master!K$4:K$174="Qualified",Master!D$4:D$174="Equity",Master!T$4:T$174&lt;&gt;""),3,FALSE),2,2),"")</f>
        <v/>
      </c>
      <c r="C37" s="74">
        <f>IFERROR(INDEX(SORT(FILTER({Master!A$4:A$174,Master!B$4:B$174,Master!T$4:T$174,Master!V$4:V$174,Master!L$4:L$174,Master!I$4:I$174,Master!BM$4:BM$174},Master!K$4:K$174="Qualified",Master!D$4:D$174="Equity",Master!T$4:T$174&lt;&gt;""),3,FALSE),2,3),"")</f>
        <v/>
      </c>
      <c r="D37" s="74">
        <f>IFERROR(INDEX(SORT(FILTER({Master!A$4:A$174,Master!B$4:B$174,Master!T$4:T$174,Master!V$4:V$174,Master!L$4:L$174,Master!I$4:I$174,Master!BM$4:BM$174},Master!K$4:K$174="Qualified",Master!D$4:D$174="Equity",Master!T$4:T$174&lt;&gt;""),3,FALSE),2,4),"")</f>
        <v/>
      </c>
      <c r="E37" s="79">
        <f>IFERROR(INDEX(SORT(FILTER({Master!A$4:A$174,Master!B$4:B$174,Master!T$4:T$174,Master!V$4:V$174,Master!L$4:L$174,Master!I$4:I$174,Master!BM$4:BM$174},Master!K$4:K$174="Qualified",Master!D$4:D$174="Equity",Master!T$4:T$174&lt;&gt;""),3,FALSE),2,5),"")</f>
        <v/>
      </c>
      <c r="F37" s="80">
        <f>IFERROR(INDEX(SORT(FILTER({Master!A$4:A$174,Master!B$4:B$174,Master!T$4:T$174,Master!V$4:V$174,Master!L$4:L$174,Master!I$4:I$174,Master!BM$4:BM$174},Master!K$4:K$174="Qualified",Master!D$4:D$174="Equity",Master!T$4:T$174&lt;&gt;""),3,FALSE),2,6),"")</f>
        <v/>
      </c>
      <c r="G37" s="81">
        <f>IFERROR(INDEX(SORT(FILTER({Master!A$4:A$174,Master!B$4:B$174,Master!T$4:T$174,Master!V$4:V$174,Master!L$4:L$174,Master!I$4:I$174,Master!BM$4:BM$174},Master!K$4:K$174="Qualified",Master!D$4:D$174="Equity",Master!T$4:T$174&lt;&gt;""),3,FALSE),2,7),"")</f>
        <v/>
      </c>
      <c r="H37" s="81" t="inlineStr"/>
    </row>
    <row r="38" ht="16" customHeight="1">
      <c r="A38" s="59">
        <f>IFERROR(INDEX(SORT(FILTER({Master!A$4:A$174,Master!B$4:B$174,Master!T$4:T$174,Master!V$4:V$174,Master!L$4:L$174,Master!I$4:I$174,Master!BM$4:BM$174},Master!K$4:K$174="Qualified",Master!D$4:D$174="Equity",Master!T$4:T$174&lt;&gt;""),3,FALSE),3,1),"")</f>
        <v/>
      </c>
      <c r="B38" s="59">
        <f>IFERROR(INDEX(SORT(FILTER({Master!A$4:A$174,Master!B$4:B$174,Master!T$4:T$174,Master!V$4:V$174,Master!L$4:L$174,Master!I$4:I$174,Master!BM$4:BM$174},Master!K$4:K$174="Qualified",Master!D$4:D$174="Equity",Master!T$4:T$174&lt;&gt;""),3,FALSE),3,2),"")</f>
        <v/>
      </c>
      <c r="C38" s="75">
        <f>IFERROR(INDEX(SORT(FILTER({Master!A$4:A$174,Master!B$4:B$174,Master!T$4:T$174,Master!V$4:V$174,Master!L$4:L$174,Master!I$4:I$174,Master!BM$4:BM$174},Master!K$4:K$174="Qualified",Master!D$4:D$174="Equity",Master!T$4:T$174&lt;&gt;""),3,FALSE),3,3),"")</f>
        <v/>
      </c>
      <c r="D38" s="75">
        <f>IFERROR(INDEX(SORT(FILTER({Master!A$4:A$174,Master!B$4:B$174,Master!T$4:T$174,Master!V$4:V$174,Master!L$4:L$174,Master!I$4:I$174,Master!BM$4:BM$174},Master!K$4:K$174="Qualified",Master!D$4:D$174="Equity",Master!T$4:T$174&lt;&gt;""),3,FALSE),3,4),"")</f>
        <v/>
      </c>
      <c r="E38" s="76">
        <f>IFERROR(INDEX(SORT(FILTER({Master!A$4:A$174,Master!B$4:B$174,Master!T$4:T$174,Master!V$4:V$174,Master!L$4:L$174,Master!I$4:I$174,Master!BM$4:BM$174},Master!K$4:K$174="Qualified",Master!D$4:D$174="Equity",Master!T$4:T$174&lt;&gt;""),3,FALSE),3,5),"")</f>
        <v/>
      </c>
      <c r="F38" s="77">
        <f>IFERROR(INDEX(SORT(FILTER({Master!A$4:A$174,Master!B$4:B$174,Master!T$4:T$174,Master!V$4:V$174,Master!L$4:L$174,Master!I$4:I$174,Master!BM$4:BM$174},Master!K$4:K$174="Qualified",Master!D$4:D$174="Equity",Master!T$4:T$174&lt;&gt;""),3,FALSE),3,6),"")</f>
        <v/>
      </c>
      <c r="G38" s="78">
        <f>IFERROR(INDEX(SORT(FILTER({Master!A$4:A$174,Master!B$4:B$174,Master!T$4:T$174,Master!V$4:V$174,Master!L$4:L$174,Master!I$4:I$174,Master!BM$4:BM$174},Master!K$4:K$174="Qualified",Master!D$4:D$174="Equity",Master!T$4:T$174&lt;&gt;""),3,FALSE),3,7),"")</f>
        <v/>
      </c>
      <c r="H38" s="78" t="inlineStr"/>
    </row>
    <row r="39" ht="16" customHeight="1">
      <c r="A39" s="58">
        <f>IFERROR(INDEX(SORT(FILTER({Master!A$4:A$174,Master!B$4:B$174,Master!T$4:T$174,Master!V$4:V$174,Master!L$4:L$174,Master!I$4:I$174,Master!BM$4:BM$174},Master!K$4:K$174="Qualified",Master!D$4:D$174="Equity",Master!T$4:T$174&lt;&gt;""),3,FALSE),4,1),"")</f>
        <v/>
      </c>
      <c r="B39" s="58">
        <f>IFERROR(INDEX(SORT(FILTER({Master!A$4:A$174,Master!B$4:B$174,Master!T$4:T$174,Master!V$4:V$174,Master!L$4:L$174,Master!I$4:I$174,Master!BM$4:BM$174},Master!K$4:K$174="Qualified",Master!D$4:D$174="Equity",Master!T$4:T$174&lt;&gt;""),3,FALSE),4,2),"")</f>
        <v/>
      </c>
      <c r="C39" s="74">
        <f>IFERROR(INDEX(SORT(FILTER({Master!A$4:A$174,Master!B$4:B$174,Master!T$4:T$174,Master!V$4:V$174,Master!L$4:L$174,Master!I$4:I$174,Master!BM$4:BM$174},Master!K$4:K$174="Qualified",Master!D$4:D$174="Equity",Master!T$4:T$174&lt;&gt;""),3,FALSE),4,3),"")</f>
        <v/>
      </c>
      <c r="D39" s="74">
        <f>IFERROR(INDEX(SORT(FILTER({Master!A$4:A$174,Master!B$4:B$174,Master!T$4:T$174,Master!V$4:V$174,Master!L$4:L$174,Master!I$4:I$174,Master!BM$4:BM$174},Master!K$4:K$174="Qualified",Master!D$4:D$174="Equity",Master!T$4:T$174&lt;&gt;""),3,FALSE),4,4),"")</f>
        <v/>
      </c>
      <c r="E39" s="79">
        <f>IFERROR(INDEX(SORT(FILTER({Master!A$4:A$174,Master!B$4:B$174,Master!T$4:T$174,Master!V$4:V$174,Master!L$4:L$174,Master!I$4:I$174,Master!BM$4:BM$174},Master!K$4:K$174="Qualified",Master!D$4:D$174="Equity",Master!T$4:T$174&lt;&gt;""),3,FALSE),4,5),"")</f>
        <v/>
      </c>
      <c r="F39" s="80">
        <f>IFERROR(INDEX(SORT(FILTER({Master!A$4:A$174,Master!B$4:B$174,Master!T$4:T$174,Master!V$4:V$174,Master!L$4:L$174,Master!I$4:I$174,Master!BM$4:BM$174},Master!K$4:K$174="Qualified",Master!D$4:D$174="Equity",Master!T$4:T$174&lt;&gt;""),3,FALSE),4,6),"")</f>
        <v/>
      </c>
      <c r="G39" s="81">
        <f>IFERROR(INDEX(SORT(FILTER({Master!A$4:A$174,Master!B$4:B$174,Master!T$4:T$174,Master!V$4:V$174,Master!L$4:L$174,Master!I$4:I$174,Master!BM$4:BM$174},Master!K$4:K$174="Qualified",Master!D$4:D$174="Equity",Master!T$4:T$174&lt;&gt;""),3,FALSE),4,7),"")</f>
        <v/>
      </c>
      <c r="H39" s="81" t="inlineStr"/>
    </row>
    <row r="40" ht="16" customHeight="1">
      <c r="A40" s="59">
        <f>IFERROR(INDEX(SORT(FILTER({Master!A$4:A$174,Master!B$4:B$174,Master!T$4:T$174,Master!V$4:V$174,Master!L$4:L$174,Master!I$4:I$174,Master!BM$4:BM$174},Master!K$4:K$174="Qualified",Master!D$4:D$174="Equity",Master!T$4:T$174&lt;&gt;""),3,FALSE),5,1),"")</f>
        <v/>
      </c>
      <c r="B40" s="59">
        <f>IFERROR(INDEX(SORT(FILTER({Master!A$4:A$174,Master!B$4:B$174,Master!T$4:T$174,Master!V$4:V$174,Master!L$4:L$174,Master!I$4:I$174,Master!BM$4:BM$174},Master!K$4:K$174="Qualified",Master!D$4:D$174="Equity",Master!T$4:T$174&lt;&gt;""),3,FALSE),5,2),"")</f>
        <v/>
      </c>
      <c r="C40" s="75">
        <f>IFERROR(INDEX(SORT(FILTER({Master!A$4:A$174,Master!B$4:B$174,Master!T$4:T$174,Master!V$4:V$174,Master!L$4:L$174,Master!I$4:I$174,Master!BM$4:BM$174},Master!K$4:K$174="Qualified",Master!D$4:D$174="Equity",Master!T$4:T$174&lt;&gt;""),3,FALSE),5,3),"")</f>
        <v/>
      </c>
      <c r="D40" s="75">
        <f>IFERROR(INDEX(SORT(FILTER({Master!A$4:A$174,Master!B$4:B$174,Master!T$4:T$174,Master!V$4:V$174,Master!L$4:L$174,Master!I$4:I$174,Master!BM$4:BM$174},Master!K$4:K$174="Qualified",Master!D$4:D$174="Equity",Master!T$4:T$174&lt;&gt;""),3,FALSE),5,4),"")</f>
        <v/>
      </c>
      <c r="E40" s="76">
        <f>IFERROR(INDEX(SORT(FILTER({Master!A$4:A$174,Master!B$4:B$174,Master!T$4:T$174,Master!V$4:V$174,Master!L$4:L$174,Master!I$4:I$174,Master!BM$4:BM$174},Master!K$4:K$174="Qualified",Master!D$4:D$174="Equity",Master!T$4:T$174&lt;&gt;""),3,FALSE),5,5),"")</f>
        <v/>
      </c>
      <c r="F40" s="77">
        <f>IFERROR(INDEX(SORT(FILTER({Master!A$4:A$174,Master!B$4:B$174,Master!T$4:T$174,Master!V$4:V$174,Master!L$4:L$174,Master!I$4:I$174,Master!BM$4:BM$174},Master!K$4:K$174="Qualified",Master!D$4:D$174="Equity",Master!T$4:T$174&lt;&gt;""),3,FALSE),5,6),"")</f>
        <v/>
      </c>
      <c r="G40" s="78">
        <f>IFERROR(INDEX(SORT(FILTER({Master!A$4:A$174,Master!B$4:B$174,Master!T$4:T$174,Master!V$4:V$174,Master!L$4:L$174,Master!I$4:I$174,Master!BM$4:BM$174},Master!K$4:K$174="Qualified",Master!D$4:D$174="Equity",Master!T$4:T$174&lt;&gt;""),3,FALSE),5,7),"")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IFERROR(INDEX(SORT(FILTER({Master!A$4:A$174,Master!B$4:B$174,Master!T$4:T$174,Master!V$4:V$174,Master!L$4:L$174,Master!I$4:I$174,Master!BM$4:BM$174},Master!K$4:K$174="Qualified",Master!D$4:D$174="Equity",Master!V$4:V$174&lt;&gt;""),4,FALSE),1,1),"")</f>
        <v/>
      </c>
      <c r="B44" s="59">
        <f>IFERROR(INDEX(SORT(FILTER({Master!A$4:A$174,Master!B$4:B$174,Master!T$4:T$174,Master!V$4:V$174,Master!L$4:L$174,Master!I$4:I$174,Master!BM$4:BM$174},Master!K$4:K$174="Qualified",Master!D$4:D$174="Equity",Master!V$4:V$174&lt;&gt;""),4,FALSE),1,2),"")</f>
        <v/>
      </c>
      <c r="C44" s="75">
        <f>IFERROR(INDEX(SORT(FILTER({Master!A$4:A$174,Master!B$4:B$174,Master!T$4:T$174,Master!V$4:V$174,Master!L$4:L$174,Master!I$4:I$174,Master!BM$4:BM$174},Master!K$4:K$174="Qualified",Master!D$4:D$174="Equity",Master!V$4:V$174&lt;&gt;""),4,FALSE),1,3),"")</f>
        <v/>
      </c>
      <c r="D44" s="75">
        <f>IFERROR(INDEX(SORT(FILTER({Master!A$4:A$174,Master!B$4:B$174,Master!T$4:T$174,Master!V$4:V$174,Master!L$4:L$174,Master!I$4:I$174,Master!BM$4:BM$174},Master!K$4:K$174="Qualified",Master!D$4:D$174="Equity",Master!V$4:V$174&lt;&gt;""),4,FALSE),1,4),"")</f>
        <v/>
      </c>
      <c r="E44" s="76">
        <f>IFERROR(INDEX(SORT(FILTER({Master!A$4:A$174,Master!B$4:B$174,Master!T$4:T$174,Master!V$4:V$174,Master!L$4:L$174,Master!I$4:I$174,Master!BM$4:BM$174},Master!K$4:K$174="Qualified",Master!D$4:D$174="Equity",Master!V$4:V$174&lt;&gt;""),4,FALSE),1,5),"")</f>
        <v/>
      </c>
      <c r="F44" s="77">
        <f>IFERROR(INDEX(SORT(FILTER({Master!A$4:A$174,Master!B$4:B$174,Master!T$4:T$174,Master!V$4:V$174,Master!L$4:L$174,Master!I$4:I$174,Master!BM$4:BM$174},Master!K$4:K$174="Qualified",Master!D$4:D$174="Equity",Master!V$4:V$174&lt;&gt;""),4,FALSE),1,6),"")</f>
        <v/>
      </c>
      <c r="G44" s="78">
        <f>IFERROR(INDEX(SORT(FILTER({Master!A$4:A$174,Master!B$4:B$174,Master!T$4:T$174,Master!V$4:V$174,Master!L$4:L$174,Master!I$4:I$174,Master!BM$4:BM$174},Master!K$4:K$174="Qualified",Master!D$4:D$174="Equity",Master!V$4:V$174&lt;&gt;""),4,FALSE),1,7),"")</f>
        <v/>
      </c>
      <c r="H44" s="78" t="inlineStr"/>
    </row>
    <row r="45" ht="16" customHeight="1">
      <c r="A45" s="58">
        <f>IFERROR(INDEX(SORT(FILTER({Master!A$4:A$174,Master!B$4:B$174,Master!T$4:T$174,Master!V$4:V$174,Master!L$4:L$174,Master!I$4:I$174,Master!BM$4:BM$174},Master!K$4:K$174="Qualified",Master!D$4:D$174="Equity",Master!V$4:V$174&lt;&gt;""),4,FALSE),2,1),"")</f>
        <v/>
      </c>
      <c r="B45" s="58">
        <f>IFERROR(INDEX(SORT(FILTER({Master!A$4:A$174,Master!B$4:B$174,Master!T$4:T$174,Master!V$4:V$174,Master!L$4:L$174,Master!I$4:I$174,Master!BM$4:BM$174},Master!K$4:K$174="Qualified",Master!D$4:D$174="Equity",Master!V$4:V$174&lt;&gt;""),4,FALSE),2,2),"")</f>
        <v/>
      </c>
      <c r="C45" s="74">
        <f>IFERROR(INDEX(SORT(FILTER({Master!A$4:A$174,Master!B$4:B$174,Master!T$4:T$174,Master!V$4:V$174,Master!L$4:L$174,Master!I$4:I$174,Master!BM$4:BM$174},Master!K$4:K$174="Qualified",Master!D$4:D$174="Equity",Master!V$4:V$174&lt;&gt;""),4,FALSE),2,3),"")</f>
        <v/>
      </c>
      <c r="D45" s="74">
        <f>IFERROR(INDEX(SORT(FILTER({Master!A$4:A$174,Master!B$4:B$174,Master!T$4:T$174,Master!V$4:V$174,Master!L$4:L$174,Master!I$4:I$174,Master!BM$4:BM$174},Master!K$4:K$174="Qualified",Master!D$4:D$174="Equity",Master!V$4:V$174&lt;&gt;""),4,FALSE),2,4),"")</f>
        <v/>
      </c>
      <c r="E45" s="79">
        <f>IFERROR(INDEX(SORT(FILTER({Master!A$4:A$174,Master!B$4:B$174,Master!T$4:T$174,Master!V$4:V$174,Master!L$4:L$174,Master!I$4:I$174,Master!BM$4:BM$174},Master!K$4:K$174="Qualified",Master!D$4:D$174="Equity",Master!V$4:V$174&lt;&gt;""),4,FALSE),2,5),"")</f>
        <v/>
      </c>
      <c r="F45" s="80">
        <f>IFERROR(INDEX(SORT(FILTER({Master!A$4:A$174,Master!B$4:B$174,Master!T$4:T$174,Master!V$4:V$174,Master!L$4:L$174,Master!I$4:I$174,Master!BM$4:BM$174},Master!K$4:K$174="Qualified",Master!D$4:D$174="Equity",Master!V$4:V$174&lt;&gt;""),4,FALSE),2,6),"")</f>
        <v/>
      </c>
      <c r="G45" s="81">
        <f>IFERROR(INDEX(SORT(FILTER({Master!A$4:A$174,Master!B$4:B$174,Master!T$4:T$174,Master!V$4:V$174,Master!L$4:L$174,Master!I$4:I$174,Master!BM$4:BM$174},Master!K$4:K$174="Qualified",Master!D$4:D$174="Equity",Master!V$4:V$174&lt;&gt;""),4,FALSE),2,7),"")</f>
        <v/>
      </c>
      <c r="H45" s="81" t="inlineStr"/>
    </row>
    <row r="46" ht="16" customHeight="1">
      <c r="A46" s="59">
        <f>IFERROR(INDEX(SORT(FILTER({Master!A$4:A$174,Master!B$4:B$174,Master!T$4:T$174,Master!V$4:V$174,Master!L$4:L$174,Master!I$4:I$174,Master!BM$4:BM$174},Master!K$4:K$174="Qualified",Master!D$4:D$174="Equity",Master!V$4:V$174&lt;&gt;""),4,FALSE),3,1),"")</f>
        <v/>
      </c>
      <c r="B46" s="59">
        <f>IFERROR(INDEX(SORT(FILTER({Master!A$4:A$174,Master!B$4:B$174,Master!T$4:T$174,Master!V$4:V$174,Master!L$4:L$174,Master!I$4:I$174,Master!BM$4:BM$174},Master!K$4:K$174="Qualified",Master!D$4:D$174="Equity",Master!V$4:V$174&lt;&gt;""),4,FALSE),3,2),"")</f>
        <v/>
      </c>
      <c r="C46" s="75">
        <f>IFERROR(INDEX(SORT(FILTER({Master!A$4:A$174,Master!B$4:B$174,Master!T$4:T$174,Master!V$4:V$174,Master!L$4:L$174,Master!I$4:I$174,Master!BM$4:BM$174},Master!K$4:K$174="Qualified",Master!D$4:D$174="Equity",Master!V$4:V$174&lt;&gt;""),4,FALSE),3,3),"")</f>
        <v/>
      </c>
      <c r="D46" s="75">
        <f>IFERROR(INDEX(SORT(FILTER({Master!A$4:A$174,Master!B$4:B$174,Master!T$4:T$174,Master!V$4:V$174,Master!L$4:L$174,Master!I$4:I$174,Master!BM$4:BM$174},Master!K$4:K$174="Qualified",Master!D$4:D$174="Equity",Master!V$4:V$174&lt;&gt;""),4,FALSE),3,4),"")</f>
        <v/>
      </c>
      <c r="E46" s="76">
        <f>IFERROR(INDEX(SORT(FILTER({Master!A$4:A$174,Master!B$4:B$174,Master!T$4:T$174,Master!V$4:V$174,Master!L$4:L$174,Master!I$4:I$174,Master!BM$4:BM$174},Master!K$4:K$174="Qualified",Master!D$4:D$174="Equity",Master!V$4:V$174&lt;&gt;""),4,FALSE),3,5),"")</f>
        <v/>
      </c>
      <c r="F46" s="77">
        <f>IFERROR(INDEX(SORT(FILTER({Master!A$4:A$174,Master!B$4:B$174,Master!T$4:T$174,Master!V$4:V$174,Master!L$4:L$174,Master!I$4:I$174,Master!BM$4:BM$174},Master!K$4:K$174="Qualified",Master!D$4:D$174="Equity",Master!V$4:V$174&lt;&gt;""),4,FALSE),3,6),"")</f>
        <v/>
      </c>
      <c r="G46" s="78">
        <f>IFERROR(INDEX(SORT(FILTER({Master!A$4:A$174,Master!B$4:B$174,Master!T$4:T$174,Master!V$4:V$174,Master!L$4:L$174,Master!I$4:I$174,Master!BM$4:BM$174},Master!K$4:K$174="Qualified",Master!D$4:D$174="Equity",Master!V$4:V$174&lt;&gt;""),4,FALSE),3,7),"")</f>
        <v/>
      </c>
      <c r="H46" s="78" t="inlineStr"/>
    </row>
    <row r="47" ht="16" customHeight="1">
      <c r="A47" s="58">
        <f>IFERROR(INDEX(SORT(FILTER({Master!A$4:A$174,Master!B$4:B$174,Master!T$4:T$174,Master!V$4:V$174,Master!L$4:L$174,Master!I$4:I$174,Master!BM$4:BM$174},Master!K$4:K$174="Qualified",Master!D$4:D$174="Equity",Master!V$4:V$174&lt;&gt;""),4,FALSE),4,1),"")</f>
        <v/>
      </c>
      <c r="B47" s="58">
        <f>IFERROR(INDEX(SORT(FILTER({Master!A$4:A$174,Master!B$4:B$174,Master!T$4:T$174,Master!V$4:V$174,Master!L$4:L$174,Master!I$4:I$174,Master!BM$4:BM$174},Master!K$4:K$174="Qualified",Master!D$4:D$174="Equity",Master!V$4:V$174&lt;&gt;""),4,FALSE),4,2),"")</f>
        <v/>
      </c>
      <c r="C47" s="74">
        <f>IFERROR(INDEX(SORT(FILTER({Master!A$4:A$174,Master!B$4:B$174,Master!T$4:T$174,Master!V$4:V$174,Master!L$4:L$174,Master!I$4:I$174,Master!BM$4:BM$174},Master!K$4:K$174="Qualified",Master!D$4:D$174="Equity",Master!V$4:V$174&lt;&gt;""),4,FALSE),4,3),"")</f>
        <v/>
      </c>
      <c r="D47" s="74">
        <f>IFERROR(INDEX(SORT(FILTER({Master!A$4:A$174,Master!B$4:B$174,Master!T$4:T$174,Master!V$4:V$174,Master!L$4:L$174,Master!I$4:I$174,Master!BM$4:BM$174},Master!K$4:K$174="Qualified",Master!D$4:D$174="Equity",Master!V$4:V$174&lt;&gt;""),4,FALSE),4,4),"")</f>
        <v/>
      </c>
      <c r="E47" s="79">
        <f>IFERROR(INDEX(SORT(FILTER({Master!A$4:A$174,Master!B$4:B$174,Master!T$4:T$174,Master!V$4:V$174,Master!L$4:L$174,Master!I$4:I$174,Master!BM$4:BM$174},Master!K$4:K$174="Qualified",Master!D$4:D$174="Equity",Master!V$4:V$174&lt;&gt;""),4,FALSE),4,5),"")</f>
        <v/>
      </c>
      <c r="F47" s="80">
        <f>IFERROR(INDEX(SORT(FILTER({Master!A$4:A$174,Master!B$4:B$174,Master!T$4:T$174,Master!V$4:V$174,Master!L$4:L$174,Master!I$4:I$174,Master!BM$4:BM$174},Master!K$4:K$174="Qualified",Master!D$4:D$174="Equity",Master!V$4:V$174&lt;&gt;""),4,FALSE),4,6),"")</f>
        <v/>
      </c>
      <c r="G47" s="81">
        <f>IFERROR(INDEX(SORT(FILTER({Master!A$4:A$174,Master!B$4:B$174,Master!T$4:T$174,Master!V$4:V$174,Master!L$4:L$174,Master!I$4:I$174,Master!BM$4:BM$174},Master!K$4:K$174="Qualified",Master!D$4:D$174="Equity",Master!V$4:V$174&lt;&gt;""),4,FALSE),4,7),"")</f>
        <v/>
      </c>
      <c r="H47" s="81" t="inlineStr"/>
    </row>
    <row r="48" ht="16" customHeight="1">
      <c r="A48" s="59">
        <f>IFERROR(INDEX(SORT(FILTER({Master!A$4:A$174,Master!B$4:B$174,Master!T$4:T$174,Master!V$4:V$174,Master!L$4:L$174,Master!I$4:I$174,Master!BM$4:BM$174},Master!K$4:K$174="Qualified",Master!D$4:D$174="Equity",Master!V$4:V$174&lt;&gt;""),4,FALSE),5,1),"")</f>
        <v/>
      </c>
      <c r="B48" s="59">
        <f>IFERROR(INDEX(SORT(FILTER({Master!A$4:A$174,Master!B$4:B$174,Master!T$4:T$174,Master!V$4:V$174,Master!L$4:L$174,Master!I$4:I$174,Master!BM$4:BM$174},Master!K$4:K$174="Qualified",Master!D$4:D$174="Equity",Master!V$4:V$174&lt;&gt;""),4,FALSE),5,2),"")</f>
        <v/>
      </c>
      <c r="C48" s="75">
        <f>IFERROR(INDEX(SORT(FILTER({Master!A$4:A$174,Master!B$4:B$174,Master!T$4:T$174,Master!V$4:V$174,Master!L$4:L$174,Master!I$4:I$174,Master!BM$4:BM$174},Master!K$4:K$174="Qualified",Master!D$4:D$174="Equity",Master!V$4:V$174&lt;&gt;""),4,FALSE),5,3),"")</f>
        <v/>
      </c>
      <c r="D48" s="75">
        <f>IFERROR(INDEX(SORT(FILTER({Master!A$4:A$174,Master!B$4:B$174,Master!T$4:T$174,Master!V$4:V$174,Master!L$4:L$174,Master!I$4:I$174,Master!BM$4:BM$174},Master!K$4:K$174="Qualified",Master!D$4:D$174="Equity",Master!V$4:V$174&lt;&gt;""),4,FALSE),5,4),"")</f>
        <v/>
      </c>
      <c r="E48" s="76">
        <f>IFERROR(INDEX(SORT(FILTER({Master!A$4:A$174,Master!B$4:B$174,Master!T$4:T$174,Master!V$4:V$174,Master!L$4:L$174,Master!I$4:I$174,Master!BM$4:BM$174},Master!K$4:K$174="Qualified",Master!D$4:D$174="Equity",Master!V$4:V$174&lt;&gt;""),4,FALSE),5,5),"")</f>
        <v/>
      </c>
      <c r="F48" s="77">
        <f>IFERROR(INDEX(SORT(FILTER({Master!A$4:A$174,Master!B$4:B$174,Master!T$4:T$174,Master!V$4:V$174,Master!L$4:L$174,Master!I$4:I$174,Master!BM$4:BM$174},Master!K$4:K$174="Qualified",Master!D$4:D$174="Equity",Master!V$4:V$174&lt;&gt;""),4,FALSE),5,6),"")</f>
        <v/>
      </c>
      <c r="G48" s="78">
        <f>IFERROR(INDEX(SORT(FILTER({Master!A$4:A$174,Master!B$4:B$174,Master!T$4:T$174,Master!V$4:V$174,Master!L$4:L$174,Master!I$4:I$174,Master!BM$4:BM$174},Master!K$4:K$174="Qualified",Master!D$4:D$174="Equity",Master!V$4:V$174&lt;&gt;""),4,FALSE),5,7),"")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IFERROR(INDEX(SORT(FILTER({Master!A$4:A$174,Master!B$4:B$174,Master!AE$4:AE$174,Master!V$4:V$174,Master!L$4:L$174,Master!I$4:I$174,Master!BM$4:BM$174},Master!K$4:K$174="Qualified",Master!D$4:D$174="Equity",Master!AE$4:AE$174&lt;&gt;""),3,FALSE),1,1),"")</f>
        <v/>
      </c>
      <c r="B52" s="59">
        <f>IFERROR(INDEX(SORT(FILTER({Master!A$4:A$174,Master!B$4:B$174,Master!AE$4:AE$174,Master!V$4:V$174,Master!L$4:L$174,Master!I$4:I$174,Master!BM$4:BM$174},Master!K$4:K$174="Qualified",Master!D$4:D$174="Equity",Master!AE$4:AE$174&lt;&gt;""),3,FALSE),1,2),"")</f>
        <v/>
      </c>
      <c r="C52" s="75">
        <f>IFERROR(INDEX(SORT(FILTER({Master!A$4:A$174,Master!B$4:B$174,Master!AE$4:AE$174,Master!V$4:V$174,Master!L$4:L$174,Master!I$4:I$174,Master!BM$4:BM$174},Master!K$4:K$174="Qualified",Master!D$4:D$174="Equity",Master!AE$4:AE$174&lt;&gt;""),3,FALSE),1,3),"")</f>
        <v/>
      </c>
      <c r="D52" s="75">
        <f>IFERROR(INDEX(SORT(FILTER({Master!A$4:A$174,Master!B$4:B$174,Master!AE$4:AE$174,Master!V$4:V$174,Master!L$4:L$174,Master!I$4:I$174,Master!BM$4:BM$174},Master!K$4:K$174="Qualified",Master!D$4:D$174="Equity",Master!AE$4:AE$174&lt;&gt;""),3,FALSE),1,4),"")</f>
        <v/>
      </c>
      <c r="E52" s="76">
        <f>IFERROR(INDEX(SORT(FILTER({Master!A$4:A$174,Master!B$4:B$174,Master!AE$4:AE$174,Master!V$4:V$174,Master!L$4:L$174,Master!I$4:I$174,Master!BM$4:BM$174},Master!K$4:K$174="Qualified",Master!D$4:D$174="Equity",Master!AE$4:AE$174&lt;&gt;""),3,FALSE),1,5),"")</f>
        <v/>
      </c>
      <c r="F52" s="77">
        <f>IFERROR(INDEX(SORT(FILTER({Master!A$4:A$174,Master!B$4:B$174,Master!AE$4:AE$174,Master!V$4:V$174,Master!L$4:L$174,Master!I$4:I$174,Master!BM$4:BM$174},Master!K$4:K$174="Qualified",Master!D$4:D$174="Equity",Master!AE$4:AE$174&lt;&gt;""),3,FALSE),1,6),"")</f>
        <v/>
      </c>
      <c r="G52" s="78">
        <f>IFERROR(INDEX(SORT(FILTER({Master!A$4:A$174,Master!B$4:B$174,Master!AE$4:AE$174,Master!V$4:V$174,Master!L$4:L$174,Master!I$4:I$174,Master!BM$4:BM$174},Master!K$4:K$174="Qualified",Master!D$4:D$174="Equity",Master!AE$4:AE$174&lt;&gt;""),3,FALSE),1,7),"")</f>
        <v/>
      </c>
      <c r="H52" s="78" t="inlineStr"/>
    </row>
    <row r="53" ht="16" customHeight="1">
      <c r="A53" s="58">
        <f>IFERROR(INDEX(SORT(FILTER({Master!A$4:A$174,Master!B$4:B$174,Master!AE$4:AE$174,Master!V$4:V$174,Master!L$4:L$174,Master!I$4:I$174,Master!BM$4:BM$174},Master!K$4:K$174="Qualified",Master!D$4:D$174="Equity",Master!AE$4:AE$174&lt;&gt;""),3,FALSE),2,1),"")</f>
        <v/>
      </c>
      <c r="B53" s="58">
        <f>IFERROR(INDEX(SORT(FILTER({Master!A$4:A$174,Master!B$4:B$174,Master!AE$4:AE$174,Master!V$4:V$174,Master!L$4:L$174,Master!I$4:I$174,Master!BM$4:BM$174},Master!K$4:K$174="Qualified",Master!D$4:D$174="Equity",Master!AE$4:AE$174&lt;&gt;""),3,FALSE),2,2),"")</f>
        <v/>
      </c>
      <c r="C53" s="74">
        <f>IFERROR(INDEX(SORT(FILTER({Master!A$4:A$174,Master!B$4:B$174,Master!AE$4:AE$174,Master!V$4:V$174,Master!L$4:L$174,Master!I$4:I$174,Master!BM$4:BM$174},Master!K$4:K$174="Qualified",Master!D$4:D$174="Equity",Master!AE$4:AE$174&lt;&gt;""),3,FALSE),2,3),"")</f>
        <v/>
      </c>
      <c r="D53" s="74">
        <f>IFERROR(INDEX(SORT(FILTER({Master!A$4:A$174,Master!B$4:B$174,Master!AE$4:AE$174,Master!V$4:V$174,Master!L$4:L$174,Master!I$4:I$174,Master!BM$4:BM$174},Master!K$4:K$174="Qualified",Master!D$4:D$174="Equity",Master!AE$4:AE$174&lt;&gt;""),3,FALSE),2,4),"")</f>
        <v/>
      </c>
      <c r="E53" s="79">
        <f>IFERROR(INDEX(SORT(FILTER({Master!A$4:A$174,Master!B$4:B$174,Master!AE$4:AE$174,Master!V$4:V$174,Master!L$4:L$174,Master!I$4:I$174,Master!BM$4:BM$174},Master!K$4:K$174="Qualified",Master!D$4:D$174="Equity",Master!AE$4:AE$174&lt;&gt;""),3,FALSE),2,5),"")</f>
        <v/>
      </c>
      <c r="F53" s="80">
        <f>IFERROR(INDEX(SORT(FILTER({Master!A$4:A$174,Master!B$4:B$174,Master!AE$4:AE$174,Master!V$4:V$174,Master!L$4:L$174,Master!I$4:I$174,Master!BM$4:BM$174},Master!K$4:K$174="Qualified",Master!D$4:D$174="Equity",Master!AE$4:AE$174&lt;&gt;""),3,FALSE),2,6),"")</f>
        <v/>
      </c>
      <c r="G53" s="81">
        <f>IFERROR(INDEX(SORT(FILTER({Master!A$4:A$174,Master!B$4:B$174,Master!AE$4:AE$174,Master!V$4:V$174,Master!L$4:L$174,Master!I$4:I$174,Master!BM$4:BM$174},Master!K$4:K$174="Qualified",Master!D$4:D$174="Equity",Master!AE$4:AE$174&lt;&gt;""),3,FALSE),2,7),"")</f>
        <v/>
      </c>
      <c r="H53" s="81" t="inlineStr"/>
    </row>
    <row r="54" ht="16" customHeight="1">
      <c r="A54" s="59">
        <f>IFERROR(INDEX(SORT(FILTER({Master!A$4:A$174,Master!B$4:B$174,Master!AE$4:AE$174,Master!V$4:V$174,Master!L$4:L$174,Master!I$4:I$174,Master!BM$4:BM$174},Master!K$4:K$174="Qualified",Master!D$4:D$174="Equity",Master!AE$4:AE$174&lt;&gt;""),3,FALSE),3,1),"")</f>
        <v/>
      </c>
      <c r="B54" s="59">
        <f>IFERROR(INDEX(SORT(FILTER({Master!A$4:A$174,Master!B$4:B$174,Master!AE$4:AE$174,Master!V$4:V$174,Master!L$4:L$174,Master!I$4:I$174,Master!BM$4:BM$174},Master!K$4:K$174="Qualified",Master!D$4:D$174="Equity",Master!AE$4:AE$174&lt;&gt;""),3,FALSE),3,2),"")</f>
        <v/>
      </c>
      <c r="C54" s="75">
        <f>IFERROR(INDEX(SORT(FILTER({Master!A$4:A$174,Master!B$4:B$174,Master!AE$4:AE$174,Master!V$4:V$174,Master!L$4:L$174,Master!I$4:I$174,Master!BM$4:BM$174},Master!K$4:K$174="Qualified",Master!D$4:D$174="Equity",Master!AE$4:AE$174&lt;&gt;""),3,FALSE),3,3),"")</f>
        <v/>
      </c>
      <c r="D54" s="75">
        <f>IFERROR(INDEX(SORT(FILTER({Master!A$4:A$174,Master!B$4:B$174,Master!AE$4:AE$174,Master!V$4:V$174,Master!L$4:L$174,Master!I$4:I$174,Master!BM$4:BM$174},Master!K$4:K$174="Qualified",Master!D$4:D$174="Equity",Master!AE$4:AE$174&lt;&gt;""),3,FALSE),3,4),"")</f>
        <v/>
      </c>
      <c r="E54" s="76">
        <f>IFERROR(INDEX(SORT(FILTER({Master!A$4:A$174,Master!B$4:B$174,Master!AE$4:AE$174,Master!V$4:V$174,Master!L$4:L$174,Master!I$4:I$174,Master!BM$4:BM$174},Master!K$4:K$174="Qualified",Master!D$4:D$174="Equity",Master!AE$4:AE$174&lt;&gt;""),3,FALSE),3,5),"")</f>
        <v/>
      </c>
      <c r="F54" s="77">
        <f>IFERROR(INDEX(SORT(FILTER({Master!A$4:A$174,Master!B$4:B$174,Master!AE$4:AE$174,Master!V$4:V$174,Master!L$4:L$174,Master!I$4:I$174,Master!BM$4:BM$174},Master!K$4:K$174="Qualified",Master!D$4:D$174="Equity",Master!AE$4:AE$174&lt;&gt;""),3,FALSE),3,6),"")</f>
        <v/>
      </c>
      <c r="G54" s="78">
        <f>IFERROR(INDEX(SORT(FILTER({Master!A$4:A$174,Master!B$4:B$174,Master!AE$4:AE$174,Master!V$4:V$174,Master!L$4:L$174,Master!I$4:I$174,Master!BM$4:BM$174},Master!K$4:K$174="Qualified",Master!D$4:D$174="Equity",Master!AE$4:AE$174&lt;&gt;""),3,FALSE),3,7),"")</f>
        <v/>
      </c>
      <c r="H54" s="78" t="inlineStr"/>
    </row>
    <row r="55" ht="16" customHeight="1">
      <c r="A55" s="58">
        <f>IFERROR(INDEX(SORT(FILTER({Master!A$4:A$174,Master!B$4:B$174,Master!AE$4:AE$174,Master!V$4:V$174,Master!L$4:L$174,Master!I$4:I$174,Master!BM$4:BM$174},Master!K$4:K$174="Qualified",Master!D$4:D$174="Equity",Master!AE$4:AE$174&lt;&gt;""),3,FALSE),4,1),"")</f>
        <v/>
      </c>
      <c r="B55" s="58">
        <f>IFERROR(INDEX(SORT(FILTER({Master!A$4:A$174,Master!B$4:B$174,Master!AE$4:AE$174,Master!V$4:V$174,Master!L$4:L$174,Master!I$4:I$174,Master!BM$4:BM$174},Master!K$4:K$174="Qualified",Master!D$4:D$174="Equity",Master!AE$4:AE$174&lt;&gt;""),3,FALSE),4,2),"")</f>
        <v/>
      </c>
      <c r="C55" s="74">
        <f>IFERROR(INDEX(SORT(FILTER({Master!A$4:A$174,Master!B$4:B$174,Master!AE$4:AE$174,Master!V$4:V$174,Master!L$4:L$174,Master!I$4:I$174,Master!BM$4:BM$174},Master!K$4:K$174="Qualified",Master!D$4:D$174="Equity",Master!AE$4:AE$174&lt;&gt;""),3,FALSE),4,3),"")</f>
        <v/>
      </c>
      <c r="D55" s="74">
        <f>IFERROR(INDEX(SORT(FILTER({Master!A$4:A$174,Master!B$4:B$174,Master!AE$4:AE$174,Master!V$4:V$174,Master!L$4:L$174,Master!I$4:I$174,Master!BM$4:BM$174},Master!K$4:K$174="Qualified",Master!D$4:D$174="Equity",Master!AE$4:AE$174&lt;&gt;""),3,FALSE),4,4),"")</f>
        <v/>
      </c>
      <c r="E55" s="79">
        <f>IFERROR(INDEX(SORT(FILTER({Master!A$4:A$174,Master!B$4:B$174,Master!AE$4:AE$174,Master!V$4:V$174,Master!L$4:L$174,Master!I$4:I$174,Master!BM$4:BM$174},Master!K$4:K$174="Qualified",Master!D$4:D$174="Equity",Master!AE$4:AE$174&lt;&gt;""),3,FALSE),4,5),"")</f>
        <v/>
      </c>
      <c r="F55" s="80">
        <f>IFERROR(INDEX(SORT(FILTER({Master!A$4:A$174,Master!B$4:B$174,Master!AE$4:AE$174,Master!V$4:V$174,Master!L$4:L$174,Master!I$4:I$174,Master!BM$4:BM$174},Master!K$4:K$174="Qualified",Master!D$4:D$174="Equity",Master!AE$4:AE$174&lt;&gt;""),3,FALSE),4,6),"")</f>
        <v/>
      </c>
      <c r="G55" s="81">
        <f>IFERROR(INDEX(SORT(FILTER({Master!A$4:A$174,Master!B$4:B$174,Master!AE$4:AE$174,Master!V$4:V$174,Master!L$4:L$174,Master!I$4:I$174,Master!BM$4:BM$174},Master!K$4:K$174="Qualified",Master!D$4:D$174="Equity",Master!AE$4:AE$174&lt;&gt;""),3,FALSE),4,7),"")</f>
        <v/>
      </c>
      <c r="H55" s="81" t="inlineStr"/>
    </row>
    <row r="56" ht="16" customHeight="1">
      <c r="A56" s="59">
        <f>IFERROR(INDEX(SORT(FILTER({Master!A$4:A$174,Master!B$4:B$174,Master!AE$4:AE$174,Master!V$4:V$174,Master!L$4:L$174,Master!I$4:I$174,Master!BM$4:BM$174},Master!K$4:K$174="Qualified",Master!D$4:D$174="Equity",Master!AE$4:AE$174&lt;&gt;""),3,FALSE),5,1),"")</f>
        <v/>
      </c>
      <c r="B56" s="59">
        <f>IFERROR(INDEX(SORT(FILTER({Master!A$4:A$174,Master!B$4:B$174,Master!AE$4:AE$174,Master!V$4:V$174,Master!L$4:L$174,Master!I$4:I$174,Master!BM$4:BM$174},Master!K$4:K$174="Qualified",Master!D$4:D$174="Equity",Master!AE$4:AE$174&lt;&gt;""),3,FALSE),5,2),"")</f>
        <v/>
      </c>
      <c r="C56" s="75">
        <f>IFERROR(INDEX(SORT(FILTER({Master!A$4:A$174,Master!B$4:B$174,Master!AE$4:AE$174,Master!V$4:V$174,Master!L$4:L$174,Master!I$4:I$174,Master!BM$4:BM$174},Master!K$4:K$174="Qualified",Master!D$4:D$174="Equity",Master!AE$4:AE$174&lt;&gt;""),3,FALSE),5,3),"")</f>
        <v/>
      </c>
      <c r="D56" s="75">
        <f>IFERROR(INDEX(SORT(FILTER({Master!A$4:A$174,Master!B$4:B$174,Master!AE$4:AE$174,Master!V$4:V$174,Master!L$4:L$174,Master!I$4:I$174,Master!BM$4:BM$174},Master!K$4:K$174="Qualified",Master!D$4:D$174="Equity",Master!AE$4:AE$174&lt;&gt;""),3,FALSE),5,4),"")</f>
        <v/>
      </c>
      <c r="E56" s="76">
        <f>IFERROR(INDEX(SORT(FILTER({Master!A$4:A$174,Master!B$4:B$174,Master!AE$4:AE$174,Master!V$4:V$174,Master!L$4:L$174,Master!I$4:I$174,Master!BM$4:BM$174},Master!K$4:K$174="Qualified",Master!D$4:D$174="Equity",Master!AE$4:AE$174&lt;&gt;""),3,FALSE),5,5),"")</f>
        <v/>
      </c>
      <c r="F56" s="77">
        <f>IFERROR(INDEX(SORT(FILTER({Master!A$4:A$174,Master!B$4:B$174,Master!AE$4:AE$174,Master!V$4:V$174,Master!L$4:L$174,Master!I$4:I$174,Master!BM$4:BM$174},Master!K$4:K$174="Qualified",Master!D$4:D$174="Equity",Master!AE$4:AE$174&lt;&gt;""),3,FALSE),5,6),"")</f>
        <v/>
      </c>
      <c r="G56" s="78">
        <f>IFERROR(INDEX(SORT(FILTER({Master!A$4:A$174,Master!B$4:B$174,Master!AE$4:AE$174,Master!V$4:V$174,Master!L$4:L$174,Master!I$4:I$174,Master!BM$4:BM$174},Master!K$4:K$174="Qualified",Master!D$4:D$174="Equity",Master!AE$4:AE$174&lt;&gt;""),3,FALSE),5,7),"")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IFERROR(INDEX(SORT(FILTER({Master!A$4:A$174,Master!B$4:B$174,Master!I$4:I$174,Master!T$4:T$174,Master!V$4:V$174,Master!L$4:L$174,Master!BM$4:BM$174},Master!K$4:K$174="Qualified",Master!D$4:D$174="Equity",Master!I$4:I$174&lt;&gt;""),3,FALSE),1,1),"")</f>
        <v/>
      </c>
      <c r="B60" s="59">
        <f>IFERROR(INDEX(SORT(FILTER({Master!A$4:A$174,Master!B$4:B$174,Master!I$4:I$174,Master!T$4:T$174,Master!V$4:V$174,Master!L$4:L$174,Master!BM$4:BM$174},Master!K$4:K$174="Qualified",Master!D$4:D$174="Equity",Master!I$4:I$174&lt;&gt;""),3,FALSE),1,2),"")</f>
        <v/>
      </c>
      <c r="C60" s="77">
        <f>IFERROR(INDEX(SORT(FILTER({Master!A$4:A$174,Master!B$4:B$174,Master!I$4:I$174,Master!T$4:T$174,Master!V$4:V$174,Master!L$4:L$174,Master!BM$4:BM$174},Master!K$4:K$174="Qualified",Master!D$4:D$174="Equity",Master!I$4:I$174&lt;&gt;""),3,FALSE),1,3),"")</f>
        <v/>
      </c>
      <c r="D60" s="75">
        <f>IFERROR(INDEX(SORT(FILTER({Master!A$4:A$174,Master!B$4:B$174,Master!I$4:I$174,Master!T$4:T$174,Master!V$4:V$174,Master!L$4:L$174,Master!BM$4:BM$174},Master!K$4:K$174="Qualified",Master!D$4:D$174="Equity",Master!I$4:I$174&lt;&gt;""),3,FALSE),1,4),"")</f>
        <v/>
      </c>
      <c r="E60" s="75">
        <f>IFERROR(INDEX(SORT(FILTER({Master!A$4:A$174,Master!B$4:B$174,Master!I$4:I$174,Master!T$4:T$174,Master!V$4:V$174,Master!L$4:L$174,Master!BM$4:BM$174},Master!K$4:K$174="Qualified",Master!D$4:D$174="Equity",Master!I$4:I$174&lt;&gt;""),3,FALSE),1,5),"")</f>
        <v/>
      </c>
      <c r="F60" s="76">
        <f>IFERROR(INDEX(SORT(FILTER({Master!A$4:A$174,Master!B$4:B$174,Master!I$4:I$174,Master!T$4:T$174,Master!V$4:V$174,Master!L$4:L$174,Master!BM$4:BM$174},Master!K$4:K$174="Qualified",Master!D$4:D$174="Equity",Master!I$4:I$174&lt;&gt;""),3,FALSE),1,6),"")</f>
        <v/>
      </c>
      <c r="G60" s="78">
        <f>IFERROR(INDEX(SORT(FILTER({Master!A$4:A$174,Master!B$4:B$174,Master!I$4:I$174,Master!T$4:T$174,Master!V$4:V$174,Master!L$4:L$174,Master!BM$4:BM$174},Master!K$4:K$174="Qualified",Master!D$4:D$174="Equity",Master!I$4:I$174&lt;&gt;""),3,FALSE),1,7),"")</f>
        <v/>
      </c>
      <c r="H60" s="78" t="inlineStr"/>
    </row>
    <row r="61" ht="16" customHeight="1">
      <c r="A61" s="58">
        <f>IFERROR(INDEX(SORT(FILTER({Master!A$4:A$174,Master!B$4:B$174,Master!I$4:I$174,Master!T$4:T$174,Master!V$4:V$174,Master!L$4:L$174,Master!BM$4:BM$174},Master!K$4:K$174="Qualified",Master!D$4:D$174="Equity",Master!I$4:I$174&lt;&gt;""),3,FALSE),2,1),"")</f>
        <v/>
      </c>
      <c r="B61" s="58">
        <f>IFERROR(INDEX(SORT(FILTER({Master!A$4:A$174,Master!B$4:B$174,Master!I$4:I$174,Master!T$4:T$174,Master!V$4:V$174,Master!L$4:L$174,Master!BM$4:BM$174},Master!K$4:K$174="Qualified",Master!D$4:D$174="Equity",Master!I$4:I$174&lt;&gt;""),3,FALSE),2,2),"")</f>
        <v/>
      </c>
      <c r="C61" s="80">
        <f>IFERROR(INDEX(SORT(FILTER({Master!A$4:A$174,Master!B$4:B$174,Master!I$4:I$174,Master!T$4:T$174,Master!V$4:V$174,Master!L$4:L$174,Master!BM$4:BM$174},Master!K$4:K$174="Qualified",Master!D$4:D$174="Equity",Master!I$4:I$174&lt;&gt;""),3,FALSE),2,3),"")</f>
        <v/>
      </c>
      <c r="D61" s="74">
        <f>IFERROR(INDEX(SORT(FILTER({Master!A$4:A$174,Master!B$4:B$174,Master!I$4:I$174,Master!T$4:T$174,Master!V$4:V$174,Master!L$4:L$174,Master!BM$4:BM$174},Master!K$4:K$174="Qualified",Master!D$4:D$174="Equity",Master!I$4:I$174&lt;&gt;""),3,FALSE),2,4),"")</f>
        <v/>
      </c>
      <c r="E61" s="74">
        <f>IFERROR(INDEX(SORT(FILTER({Master!A$4:A$174,Master!B$4:B$174,Master!I$4:I$174,Master!T$4:T$174,Master!V$4:V$174,Master!L$4:L$174,Master!BM$4:BM$174},Master!K$4:K$174="Qualified",Master!D$4:D$174="Equity",Master!I$4:I$174&lt;&gt;""),3,FALSE),2,5),"")</f>
        <v/>
      </c>
      <c r="F61" s="79">
        <f>IFERROR(INDEX(SORT(FILTER({Master!A$4:A$174,Master!B$4:B$174,Master!I$4:I$174,Master!T$4:T$174,Master!V$4:V$174,Master!L$4:L$174,Master!BM$4:BM$174},Master!K$4:K$174="Qualified",Master!D$4:D$174="Equity",Master!I$4:I$174&lt;&gt;""),3,FALSE),2,6),"")</f>
        <v/>
      </c>
      <c r="G61" s="81">
        <f>IFERROR(INDEX(SORT(FILTER({Master!A$4:A$174,Master!B$4:B$174,Master!I$4:I$174,Master!T$4:T$174,Master!V$4:V$174,Master!L$4:L$174,Master!BM$4:BM$174},Master!K$4:K$174="Qualified",Master!D$4:D$174="Equity",Master!I$4:I$174&lt;&gt;""),3,FALSE),2,7),"")</f>
        <v/>
      </c>
      <c r="H61" s="81" t="inlineStr"/>
    </row>
    <row r="62" ht="16" customHeight="1">
      <c r="A62" s="59">
        <f>IFERROR(INDEX(SORT(FILTER({Master!A$4:A$174,Master!B$4:B$174,Master!I$4:I$174,Master!T$4:T$174,Master!V$4:V$174,Master!L$4:L$174,Master!BM$4:BM$174},Master!K$4:K$174="Qualified",Master!D$4:D$174="Equity",Master!I$4:I$174&lt;&gt;""),3,FALSE),3,1),"")</f>
        <v/>
      </c>
      <c r="B62" s="59">
        <f>IFERROR(INDEX(SORT(FILTER({Master!A$4:A$174,Master!B$4:B$174,Master!I$4:I$174,Master!T$4:T$174,Master!V$4:V$174,Master!L$4:L$174,Master!BM$4:BM$174},Master!K$4:K$174="Qualified",Master!D$4:D$174="Equity",Master!I$4:I$174&lt;&gt;""),3,FALSE),3,2),"")</f>
        <v/>
      </c>
      <c r="C62" s="77">
        <f>IFERROR(INDEX(SORT(FILTER({Master!A$4:A$174,Master!B$4:B$174,Master!I$4:I$174,Master!T$4:T$174,Master!V$4:V$174,Master!L$4:L$174,Master!BM$4:BM$174},Master!K$4:K$174="Qualified",Master!D$4:D$174="Equity",Master!I$4:I$174&lt;&gt;""),3,FALSE),3,3),"")</f>
        <v/>
      </c>
      <c r="D62" s="75">
        <f>IFERROR(INDEX(SORT(FILTER({Master!A$4:A$174,Master!B$4:B$174,Master!I$4:I$174,Master!T$4:T$174,Master!V$4:V$174,Master!L$4:L$174,Master!BM$4:BM$174},Master!K$4:K$174="Qualified",Master!D$4:D$174="Equity",Master!I$4:I$174&lt;&gt;""),3,FALSE),3,4),"")</f>
        <v/>
      </c>
      <c r="E62" s="75">
        <f>IFERROR(INDEX(SORT(FILTER({Master!A$4:A$174,Master!B$4:B$174,Master!I$4:I$174,Master!T$4:T$174,Master!V$4:V$174,Master!L$4:L$174,Master!BM$4:BM$174},Master!K$4:K$174="Qualified",Master!D$4:D$174="Equity",Master!I$4:I$174&lt;&gt;""),3,FALSE),3,5),"")</f>
        <v/>
      </c>
      <c r="F62" s="76">
        <f>IFERROR(INDEX(SORT(FILTER({Master!A$4:A$174,Master!B$4:B$174,Master!I$4:I$174,Master!T$4:T$174,Master!V$4:V$174,Master!L$4:L$174,Master!BM$4:BM$174},Master!K$4:K$174="Qualified",Master!D$4:D$174="Equity",Master!I$4:I$174&lt;&gt;""),3,FALSE),3,6),"")</f>
        <v/>
      </c>
      <c r="G62" s="78">
        <f>IFERROR(INDEX(SORT(FILTER({Master!A$4:A$174,Master!B$4:B$174,Master!I$4:I$174,Master!T$4:T$174,Master!V$4:V$174,Master!L$4:L$174,Master!BM$4:BM$174},Master!K$4:K$174="Qualified",Master!D$4:D$174="Equity",Master!I$4:I$174&lt;&gt;""),3,FALSE),3,7),"")</f>
        <v/>
      </c>
      <c r="H62" s="78" t="inlineStr"/>
    </row>
    <row r="63" ht="16" customHeight="1">
      <c r="A63" s="58">
        <f>IFERROR(INDEX(SORT(FILTER({Master!A$4:A$174,Master!B$4:B$174,Master!I$4:I$174,Master!T$4:T$174,Master!V$4:V$174,Master!L$4:L$174,Master!BM$4:BM$174},Master!K$4:K$174="Qualified",Master!D$4:D$174="Equity",Master!I$4:I$174&lt;&gt;""),3,FALSE),4,1),"")</f>
        <v/>
      </c>
      <c r="B63" s="58">
        <f>IFERROR(INDEX(SORT(FILTER({Master!A$4:A$174,Master!B$4:B$174,Master!I$4:I$174,Master!T$4:T$174,Master!V$4:V$174,Master!L$4:L$174,Master!BM$4:BM$174},Master!K$4:K$174="Qualified",Master!D$4:D$174="Equity",Master!I$4:I$174&lt;&gt;""),3,FALSE),4,2),"")</f>
        <v/>
      </c>
      <c r="C63" s="80">
        <f>IFERROR(INDEX(SORT(FILTER({Master!A$4:A$174,Master!B$4:B$174,Master!I$4:I$174,Master!T$4:T$174,Master!V$4:V$174,Master!L$4:L$174,Master!BM$4:BM$174},Master!K$4:K$174="Qualified",Master!D$4:D$174="Equity",Master!I$4:I$174&lt;&gt;""),3,FALSE),4,3),"")</f>
        <v/>
      </c>
      <c r="D63" s="74">
        <f>IFERROR(INDEX(SORT(FILTER({Master!A$4:A$174,Master!B$4:B$174,Master!I$4:I$174,Master!T$4:T$174,Master!V$4:V$174,Master!L$4:L$174,Master!BM$4:BM$174},Master!K$4:K$174="Qualified",Master!D$4:D$174="Equity",Master!I$4:I$174&lt;&gt;""),3,FALSE),4,4),"")</f>
        <v/>
      </c>
      <c r="E63" s="74">
        <f>IFERROR(INDEX(SORT(FILTER({Master!A$4:A$174,Master!B$4:B$174,Master!I$4:I$174,Master!T$4:T$174,Master!V$4:V$174,Master!L$4:L$174,Master!BM$4:BM$174},Master!K$4:K$174="Qualified",Master!D$4:D$174="Equity",Master!I$4:I$174&lt;&gt;""),3,FALSE),4,5),"")</f>
        <v/>
      </c>
      <c r="F63" s="79">
        <f>IFERROR(INDEX(SORT(FILTER({Master!A$4:A$174,Master!B$4:B$174,Master!I$4:I$174,Master!T$4:T$174,Master!V$4:V$174,Master!L$4:L$174,Master!BM$4:BM$174},Master!K$4:K$174="Qualified",Master!D$4:D$174="Equity",Master!I$4:I$174&lt;&gt;""),3,FALSE),4,6),"")</f>
        <v/>
      </c>
      <c r="G63" s="81">
        <f>IFERROR(INDEX(SORT(FILTER({Master!A$4:A$174,Master!B$4:B$174,Master!I$4:I$174,Master!T$4:T$174,Master!V$4:V$174,Master!L$4:L$174,Master!BM$4:BM$174},Master!K$4:K$174="Qualified",Master!D$4:D$174="Equity",Master!I$4:I$174&lt;&gt;""),3,FALSE),4,7),"")</f>
        <v/>
      </c>
      <c r="H63" s="81" t="inlineStr"/>
    </row>
    <row r="64" ht="16" customHeight="1">
      <c r="A64" s="59">
        <f>IFERROR(INDEX(SORT(FILTER({Master!A$4:A$174,Master!B$4:B$174,Master!I$4:I$174,Master!T$4:T$174,Master!V$4:V$174,Master!L$4:L$174,Master!BM$4:BM$174},Master!K$4:K$174="Qualified",Master!D$4:D$174="Equity",Master!I$4:I$174&lt;&gt;""),3,FALSE),5,1),"")</f>
        <v/>
      </c>
      <c r="B64" s="59">
        <f>IFERROR(INDEX(SORT(FILTER({Master!A$4:A$174,Master!B$4:B$174,Master!I$4:I$174,Master!T$4:T$174,Master!V$4:V$174,Master!L$4:L$174,Master!BM$4:BM$174},Master!K$4:K$174="Qualified",Master!D$4:D$174="Equity",Master!I$4:I$174&lt;&gt;""),3,FALSE),5,2),"")</f>
        <v/>
      </c>
      <c r="C64" s="77">
        <f>IFERROR(INDEX(SORT(FILTER({Master!A$4:A$174,Master!B$4:B$174,Master!I$4:I$174,Master!T$4:T$174,Master!V$4:V$174,Master!L$4:L$174,Master!BM$4:BM$174},Master!K$4:K$174="Qualified",Master!D$4:D$174="Equity",Master!I$4:I$174&lt;&gt;""),3,FALSE),5,3),"")</f>
        <v/>
      </c>
      <c r="D64" s="75">
        <f>IFERROR(INDEX(SORT(FILTER({Master!A$4:A$174,Master!B$4:B$174,Master!I$4:I$174,Master!T$4:T$174,Master!V$4:V$174,Master!L$4:L$174,Master!BM$4:BM$174},Master!K$4:K$174="Qualified",Master!D$4:D$174="Equity",Master!I$4:I$174&lt;&gt;""),3,FALSE),5,4),"")</f>
        <v/>
      </c>
      <c r="E64" s="75">
        <f>IFERROR(INDEX(SORT(FILTER({Master!A$4:A$174,Master!B$4:B$174,Master!I$4:I$174,Master!T$4:T$174,Master!V$4:V$174,Master!L$4:L$174,Master!BM$4:BM$174},Master!K$4:K$174="Qualified",Master!D$4:D$174="Equity",Master!I$4:I$174&lt;&gt;""),3,FALSE),5,5),"")</f>
        <v/>
      </c>
      <c r="F64" s="76">
        <f>IFERROR(INDEX(SORT(FILTER({Master!A$4:A$174,Master!B$4:B$174,Master!I$4:I$174,Master!T$4:T$174,Master!V$4:V$174,Master!L$4:L$174,Master!BM$4:BM$174},Master!K$4:K$174="Qualified",Master!D$4:D$174="Equity",Master!I$4:I$174&lt;&gt;""),3,FALSE),5,6),"")</f>
        <v/>
      </c>
      <c r="G64" s="78">
        <f>IFERROR(INDEX(SORT(FILTER({Master!A$4:A$174,Master!B$4:B$174,Master!I$4:I$174,Master!T$4:T$174,Master!V$4:V$174,Master!L$4:L$174,Master!BM$4:BM$174},Master!K$4:K$174="Qualified",Master!D$4:D$174="Equity",Master!I$4:I$174&lt;&gt;""),3,FALSE),5,7),"")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IFERROR(MEDIAN(FILTER(Master!N$4:N$174,(Master!K$4:K$174="Qualified")*(Master!D$4:D$174="Mixed Asset / Balanced"))),"")</f>
        <v/>
      </c>
      <c r="C68" s="74">
        <f>IFERROR(MEDIAN(FILTER(Master!Q$4:Q$174,(Master!K$4:K$174="Qualified")*(Master!D$4:D$174="Mixed Asset / Balanced"))),"")</f>
        <v/>
      </c>
      <c r="D68" s="74">
        <f>IFERROR(MEDIAN(FILTER(Master!T$4:T$174,(Master!K$4:K$174="Qualified")*(Master!D$4:D$174="Mixed Asset / Balanced"))),"")</f>
        <v/>
      </c>
      <c r="E68" s="74">
        <f>IFERROR(MEDIAN(FILTER(Master!W$4:W$174,(Master!K$4:K$174="Qualified")*(Master!D$4:D$174="Mixed Asset / Balanced"))),"")</f>
        <v/>
      </c>
      <c r="F68" s="74">
        <f>IFERROR(MEDIAN(FILTER(Master!Z$4:Z$174,(Master!K$4:K$174="Qualified")*(Master!D$4:D$174="Mixed Asset / Balanced"))),"")</f>
        <v/>
      </c>
      <c r="G68" s="74">
        <f>IFERROR(MEDIAN(FILTER(Master!V$4:V$174,(Master!K$4:K$174="Qualified")*(Master!D$4:D$174="Mixed Asset / Balanced"))),"")</f>
        <v/>
      </c>
      <c r="H68" s="74">
        <f>IFERROR(MEDIAN(FILTER(Master!L$4:L$174,(Master!K$4:K$174="Qualified")*(Master!D$4:D$174="Mixed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IFERROR(INDEX(SORT(FILTER({Master!A$4:A$174,Master!B$4:B$174,Master!T$4:T$174,Master!V$4:V$174,Master!L$4:L$174,Master!I$4:I$174,Master!BM$4:BM$174},Master!K$4:K$174="Qualified",Master!D$4:D$174="Mixed Asset / Balanced",Master!T$4:T$174&lt;&gt;""),3,FALSE),1,1),"")</f>
        <v/>
      </c>
      <c r="B72" s="59">
        <f>IFERROR(INDEX(SORT(FILTER({Master!A$4:A$174,Master!B$4:B$174,Master!T$4:T$174,Master!V$4:V$174,Master!L$4:L$174,Master!I$4:I$174,Master!BM$4:BM$174},Master!K$4:K$174="Qualified",Master!D$4:D$174="Mixed Asset / Balanced",Master!T$4:T$174&lt;&gt;""),3,FALSE),1,2),"")</f>
        <v/>
      </c>
      <c r="C72" s="75">
        <f>IFERROR(INDEX(SORT(FILTER({Master!A$4:A$174,Master!B$4:B$174,Master!T$4:T$174,Master!V$4:V$174,Master!L$4:L$174,Master!I$4:I$174,Master!BM$4:BM$174},Master!K$4:K$174="Qualified",Master!D$4:D$174="Mixed Asset / Balanced",Master!T$4:T$174&lt;&gt;""),3,FALSE),1,3),"")</f>
        <v/>
      </c>
      <c r="D72" s="75">
        <f>IFERROR(INDEX(SORT(FILTER({Master!A$4:A$174,Master!B$4:B$174,Master!T$4:T$174,Master!V$4:V$174,Master!L$4:L$174,Master!I$4:I$174,Master!BM$4:BM$174},Master!K$4:K$174="Qualified",Master!D$4:D$174="Mixed Asset / Balanced",Master!T$4:T$174&lt;&gt;""),3,FALSE),1,4),"")</f>
        <v/>
      </c>
      <c r="E72" s="76">
        <f>IFERROR(INDEX(SORT(FILTER({Master!A$4:A$174,Master!B$4:B$174,Master!T$4:T$174,Master!V$4:V$174,Master!L$4:L$174,Master!I$4:I$174,Master!BM$4:BM$174},Master!K$4:K$174="Qualified",Master!D$4:D$174="Mixed Asset / Balanced",Master!T$4:T$174&lt;&gt;""),3,FALSE),1,5),"")</f>
        <v/>
      </c>
      <c r="F72" s="77">
        <f>IFERROR(INDEX(SORT(FILTER({Master!A$4:A$174,Master!B$4:B$174,Master!T$4:T$174,Master!V$4:V$174,Master!L$4:L$174,Master!I$4:I$174,Master!BM$4:BM$174},Master!K$4:K$174="Qualified",Master!D$4:D$174="Mixed Asset / Balanced",Master!T$4:T$174&lt;&gt;""),3,FALSE),1,6),"")</f>
        <v/>
      </c>
      <c r="G72" s="78">
        <f>IFERROR(INDEX(SORT(FILTER({Master!A$4:A$174,Master!B$4:B$174,Master!T$4:T$174,Master!V$4:V$174,Master!L$4:L$174,Master!I$4:I$174,Master!BM$4:BM$174},Master!K$4:K$174="Qualified",Master!D$4:D$174="Mixed Asset / Balanced",Master!T$4:T$174&lt;&gt;""),3,FALSE),1,7),"")</f>
        <v/>
      </c>
      <c r="H72" s="78" t="inlineStr"/>
    </row>
    <row r="73" ht="16" customHeight="1">
      <c r="A73" s="58">
        <f>IFERROR(INDEX(SORT(FILTER({Master!A$4:A$174,Master!B$4:B$174,Master!T$4:T$174,Master!V$4:V$174,Master!L$4:L$174,Master!I$4:I$174,Master!BM$4:BM$174},Master!K$4:K$174="Qualified",Master!D$4:D$174="Mixed Asset / Balanced",Master!T$4:T$174&lt;&gt;""),3,FALSE),2,1),"")</f>
        <v/>
      </c>
      <c r="B73" s="58">
        <f>IFERROR(INDEX(SORT(FILTER({Master!A$4:A$174,Master!B$4:B$174,Master!T$4:T$174,Master!V$4:V$174,Master!L$4:L$174,Master!I$4:I$174,Master!BM$4:BM$174},Master!K$4:K$174="Qualified",Master!D$4:D$174="Mixed Asset / Balanced",Master!T$4:T$174&lt;&gt;""),3,FALSE),2,2),"")</f>
        <v/>
      </c>
      <c r="C73" s="74">
        <f>IFERROR(INDEX(SORT(FILTER({Master!A$4:A$174,Master!B$4:B$174,Master!T$4:T$174,Master!V$4:V$174,Master!L$4:L$174,Master!I$4:I$174,Master!BM$4:BM$174},Master!K$4:K$174="Qualified",Master!D$4:D$174="Mixed Asset / Balanced",Master!T$4:T$174&lt;&gt;""),3,FALSE),2,3),"")</f>
        <v/>
      </c>
      <c r="D73" s="74">
        <f>IFERROR(INDEX(SORT(FILTER({Master!A$4:A$174,Master!B$4:B$174,Master!T$4:T$174,Master!V$4:V$174,Master!L$4:L$174,Master!I$4:I$174,Master!BM$4:BM$174},Master!K$4:K$174="Qualified",Master!D$4:D$174="Mixed Asset / Balanced",Master!T$4:T$174&lt;&gt;""),3,FALSE),2,4),"")</f>
        <v/>
      </c>
      <c r="E73" s="79">
        <f>IFERROR(INDEX(SORT(FILTER({Master!A$4:A$174,Master!B$4:B$174,Master!T$4:T$174,Master!V$4:V$174,Master!L$4:L$174,Master!I$4:I$174,Master!BM$4:BM$174},Master!K$4:K$174="Qualified",Master!D$4:D$174="Mixed Asset / Balanced",Master!T$4:T$174&lt;&gt;""),3,FALSE),2,5),"")</f>
        <v/>
      </c>
      <c r="F73" s="80">
        <f>IFERROR(INDEX(SORT(FILTER({Master!A$4:A$174,Master!B$4:B$174,Master!T$4:T$174,Master!V$4:V$174,Master!L$4:L$174,Master!I$4:I$174,Master!BM$4:BM$174},Master!K$4:K$174="Qualified",Master!D$4:D$174="Mixed Asset / Balanced",Master!T$4:T$174&lt;&gt;""),3,FALSE),2,6),"")</f>
        <v/>
      </c>
      <c r="G73" s="81">
        <f>IFERROR(INDEX(SORT(FILTER({Master!A$4:A$174,Master!B$4:B$174,Master!T$4:T$174,Master!V$4:V$174,Master!L$4:L$174,Master!I$4:I$174,Master!BM$4:BM$174},Master!K$4:K$174="Qualified",Master!D$4:D$174="Mixed Asset / Balanced",Master!T$4:T$174&lt;&gt;""),3,FALSE),2,7),"")</f>
        <v/>
      </c>
      <c r="H73" s="81" t="inlineStr"/>
    </row>
    <row r="74" ht="16" customHeight="1">
      <c r="A74" s="59">
        <f>IFERROR(INDEX(SORT(FILTER({Master!A$4:A$174,Master!B$4:B$174,Master!T$4:T$174,Master!V$4:V$174,Master!L$4:L$174,Master!I$4:I$174,Master!BM$4:BM$174},Master!K$4:K$174="Qualified",Master!D$4:D$174="Mixed Asset / Balanced",Master!T$4:T$174&lt;&gt;""),3,FALSE),3,1),"")</f>
        <v/>
      </c>
      <c r="B74" s="59">
        <f>IFERROR(INDEX(SORT(FILTER({Master!A$4:A$174,Master!B$4:B$174,Master!T$4:T$174,Master!V$4:V$174,Master!L$4:L$174,Master!I$4:I$174,Master!BM$4:BM$174},Master!K$4:K$174="Qualified",Master!D$4:D$174="Mixed Asset / Balanced",Master!T$4:T$174&lt;&gt;""),3,FALSE),3,2),"")</f>
        <v/>
      </c>
      <c r="C74" s="75">
        <f>IFERROR(INDEX(SORT(FILTER({Master!A$4:A$174,Master!B$4:B$174,Master!T$4:T$174,Master!V$4:V$174,Master!L$4:L$174,Master!I$4:I$174,Master!BM$4:BM$174},Master!K$4:K$174="Qualified",Master!D$4:D$174="Mixed Asset / Balanced",Master!T$4:T$174&lt;&gt;""),3,FALSE),3,3),"")</f>
        <v/>
      </c>
      <c r="D74" s="75">
        <f>IFERROR(INDEX(SORT(FILTER({Master!A$4:A$174,Master!B$4:B$174,Master!T$4:T$174,Master!V$4:V$174,Master!L$4:L$174,Master!I$4:I$174,Master!BM$4:BM$174},Master!K$4:K$174="Qualified",Master!D$4:D$174="Mixed Asset / Balanced",Master!T$4:T$174&lt;&gt;""),3,FALSE),3,4),"")</f>
        <v/>
      </c>
      <c r="E74" s="76">
        <f>IFERROR(INDEX(SORT(FILTER({Master!A$4:A$174,Master!B$4:B$174,Master!T$4:T$174,Master!V$4:V$174,Master!L$4:L$174,Master!I$4:I$174,Master!BM$4:BM$174},Master!K$4:K$174="Qualified",Master!D$4:D$174="Mixed Asset / Balanced",Master!T$4:T$174&lt;&gt;""),3,FALSE),3,5),"")</f>
        <v/>
      </c>
      <c r="F74" s="77">
        <f>IFERROR(INDEX(SORT(FILTER({Master!A$4:A$174,Master!B$4:B$174,Master!T$4:T$174,Master!V$4:V$174,Master!L$4:L$174,Master!I$4:I$174,Master!BM$4:BM$174},Master!K$4:K$174="Qualified",Master!D$4:D$174="Mixed Asset / Balanced",Master!T$4:T$174&lt;&gt;""),3,FALSE),3,6),"")</f>
        <v/>
      </c>
      <c r="G74" s="78">
        <f>IFERROR(INDEX(SORT(FILTER({Master!A$4:A$174,Master!B$4:B$174,Master!T$4:T$174,Master!V$4:V$174,Master!L$4:L$174,Master!I$4:I$174,Master!BM$4:BM$174},Master!K$4:K$174="Qualified",Master!D$4:D$174="Mixed Asset / Balanced",Master!T$4:T$174&lt;&gt;""),3,FALSE),3,7),"")</f>
        <v/>
      </c>
      <c r="H74" s="78" t="inlineStr"/>
    </row>
    <row r="75" ht="16" customHeight="1">
      <c r="A75" s="58">
        <f>IFERROR(INDEX(SORT(FILTER({Master!A$4:A$174,Master!B$4:B$174,Master!T$4:T$174,Master!V$4:V$174,Master!L$4:L$174,Master!I$4:I$174,Master!BM$4:BM$174},Master!K$4:K$174="Qualified",Master!D$4:D$174="Mixed Asset / Balanced",Master!T$4:T$174&lt;&gt;""),3,FALSE),4,1),"")</f>
        <v/>
      </c>
      <c r="B75" s="58">
        <f>IFERROR(INDEX(SORT(FILTER({Master!A$4:A$174,Master!B$4:B$174,Master!T$4:T$174,Master!V$4:V$174,Master!L$4:L$174,Master!I$4:I$174,Master!BM$4:BM$174},Master!K$4:K$174="Qualified",Master!D$4:D$174="Mixed Asset / Balanced",Master!T$4:T$174&lt;&gt;""),3,FALSE),4,2),"")</f>
        <v/>
      </c>
      <c r="C75" s="74">
        <f>IFERROR(INDEX(SORT(FILTER({Master!A$4:A$174,Master!B$4:B$174,Master!T$4:T$174,Master!V$4:V$174,Master!L$4:L$174,Master!I$4:I$174,Master!BM$4:BM$174},Master!K$4:K$174="Qualified",Master!D$4:D$174="Mixed Asset / Balanced",Master!T$4:T$174&lt;&gt;""),3,FALSE),4,3),"")</f>
        <v/>
      </c>
      <c r="D75" s="74">
        <f>IFERROR(INDEX(SORT(FILTER({Master!A$4:A$174,Master!B$4:B$174,Master!T$4:T$174,Master!V$4:V$174,Master!L$4:L$174,Master!I$4:I$174,Master!BM$4:BM$174},Master!K$4:K$174="Qualified",Master!D$4:D$174="Mixed Asset / Balanced",Master!T$4:T$174&lt;&gt;""),3,FALSE),4,4),"")</f>
        <v/>
      </c>
      <c r="E75" s="79">
        <f>IFERROR(INDEX(SORT(FILTER({Master!A$4:A$174,Master!B$4:B$174,Master!T$4:T$174,Master!V$4:V$174,Master!L$4:L$174,Master!I$4:I$174,Master!BM$4:BM$174},Master!K$4:K$174="Qualified",Master!D$4:D$174="Mixed Asset / Balanced",Master!T$4:T$174&lt;&gt;""),3,FALSE),4,5),"")</f>
        <v/>
      </c>
      <c r="F75" s="80">
        <f>IFERROR(INDEX(SORT(FILTER({Master!A$4:A$174,Master!B$4:B$174,Master!T$4:T$174,Master!V$4:V$174,Master!L$4:L$174,Master!I$4:I$174,Master!BM$4:BM$174},Master!K$4:K$174="Qualified",Master!D$4:D$174="Mixed Asset / Balanced",Master!T$4:T$174&lt;&gt;""),3,FALSE),4,6),"")</f>
        <v/>
      </c>
      <c r="G75" s="81">
        <f>IFERROR(INDEX(SORT(FILTER({Master!A$4:A$174,Master!B$4:B$174,Master!T$4:T$174,Master!V$4:V$174,Master!L$4:L$174,Master!I$4:I$174,Master!BM$4:BM$174},Master!K$4:K$174="Qualified",Master!D$4:D$174="Mixed Asset / Balanced",Master!T$4:T$174&lt;&gt;""),3,FALSE),4,7),"")</f>
        <v/>
      </c>
      <c r="H75" s="81" t="inlineStr"/>
    </row>
    <row r="76" ht="16" customHeight="1">
      <c r="A76" s="59">
        <f>IFERROR(INDEX(SORT(FILTER({Master!A$4:A$174,Master!B$4:B$174,Master!T$4:T$174,Master!V$4:V$174,Master!L$4:L$174,Master!I$4:I$174,Master!BM$4:BM$174},Master!K$4:K$174="Qualified",Master!D$4:D$174="Mixed Asset / Balanced",Master!T$4:T$174&lt;&gt;""),3,FALSE),5,1),"")</f>
        <v/>
      </c>
      <c r="B76" s="59">
        <f>IFERROR(INDEX(SORT(FILTER({Master!A$4:A$174,Master!B$4:B$174,Master!T$4:T$174,Master!V$4:V$174,Master!L$4:L$174,Master!I$4:I$174,Master!BM$4:BM$174},Master!K$4:K$174="Qualified",Master!D$4:D$174="Mixed Asset / Balanced",Master!T$4:T$174&lt;&gt;""),3,FALSE),5,2),"")</f>
        <v/>
      </c>
      <c r="C76" s="75">
        <f>IFERROR(INDEX(SORT(FILTER({Master!A$4:A$174,Master!B$4:B$174,Master!T$4:T$174,Master!V$4:V$174,Master!L$4:L$174,Master!I$4:I$174,Master!BM$4:BM$174},Master!K$4:K$174="Qualified",Master!D$4:D$174="Mixed Asset / Balanced",Master!T$4:T$174&lt;&gt;""),3,FALSE),5,3),"")</f>
        <v/>
      </c>
      <c r="D76" s="75">
        <f>IFERROR(INDEX(SORT(FILTER({Master!A$4:A$174,Master!B$4:B$174,Master!T$4:T$174,Master!V$4:V$174,Master!L$4:L$174,Master!I$4:I$174,Master!BM$4:BM$174},Master!K$4:K$174="Qualified",Master!D$4:D$174="Mixed Asset / Balanced",Master!T$4:T$174&lt;&gt;""),3,FALSE),5,4),"")</f>
        <v/>
      </c>
      <c r="E76" s="76">
        <f>IFERROR(INDEX(SORT(FILTER({Master!A$4:A$174,Master!B$4:B$174,Master!T$4:T$174,Master!V$4:V$174,Master!L$4:L$174,Master!I$4:I$174,Master!BM$4:BM$174},Master!K$4:K$174="Qualified",Master!D$4:D$174="Mixed Asset / Balanced",Master!T$4:T$174&lt;&gt;""),3,FALSE),5,5),"")</f>
        <v/>
      </c>
      <c r="F76" s="77">
        <f>IFERROR(INDEX(SORT(FILTER({Master!A$4:A$174,Master!B$4:B$174,Master!T$4:T$174,Master!V$4:V$174,Master!L$4:L$174,Master!I$4:I$174,Master!BM$4:BM$174},Master!K$4:K$174="Qualified",Master!D$4:D$174="Mixed Asset / Balanced",Master!T$4:T$174&lt;&gt;""),3,FALSE),5,6),"")</f>
        <v/>
      </c>
      <c r="G76" s="78">
        <f>IFERROR(INDEX(SORT(FILTER({Master!A$4:A$174,Master!B$4:B$174,Master!T$4:T$174,Master!V$4:V$174,Master!L$4:L$174,Master!I$4:I$174,Master!BM$4:BM$174},Master!K$4:K$174="Qualified",Master!D$4:D$174="Mixed Asset / Balanced",Master!T$4:T$174&lt;&gt;""),3,FALSE),5,7),"")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IFERROR(INDEX(SORT(FILTER({Master!A$4:A$174,Master!B$4:B$174,Master!T$4:T$174,Master!V$4:V$174,Master!L$4:L$174,Master!I$4:I$174,Master!BM$4:BM$174},Master!K$4:K$174="Qualified",Master!D$4:D$174="Mixed Asset / Balanced",Master!V$4:V$174&lt;&gt;""),4,FALSE),1,1),"")</f>
        <v/>
      </c>
      <c r="B80" s="59">
        <f>IFERROR(INDEX(SORT(FILTER({Master!A$4:A$174,Master!B$4:B$174,Master!T$4:T$174,Master!V$4:V$174,Master!L$4:L$174,Master!I$4:I$174,Master!BM$4:BM$174},Master!K$4:K$174="Qualified",Master!D$4:D$174="Mixed Asset / Balanced",Master!V$4:V$174&lt;&gt;""),4,FALSE),1,2),"")</f>
        <v/>
      </c>
      <c r="C80" s="75">
        <f>IFERROR(INDEX(SORT(FILTER({Master!A$4:A$174,Master!B$4:B$174,Master!T$4:T$174,Master!V$4:V$174,Master!L$4:L$174,Master!I$4:I$174,Master!BM$4:BM$174},Master!K$4:K$174="Qualified",Master!D$4:D$174="Mixed Asset / Balanced",Master!V$4:V$174&lt;&gt;""),4,FALSE),1,3),"")</f>
        <v/>
      </c>
      <c r="D80" s="75">
        <f>IFERROR(INDEX(SORT(FILTER({Master!A$4:A$174,Master!B$4:B$174,Master!T$4:T$174,Master!V$4:V$174,Master!L$4:L$174,Master!I$4:I$174,Master!BM$4:BM$174},Master!K$4:K$174="Qualified",Master!D$4:D$174="Mixed Asset / Balanced",Master!V$4:V$174&lt;&gt;""),4,FALSE),1,4),"")</f>
        <v/>
      </c>
      <c r="E80" s="76">
        <f>IFERROR(INDEX(SORT(FILTER({Master!A$4:A$174,Master!B$4:B$174,Master!T$4:T$174,Master!V$4:V$174,Master!L$4:L$174,Master!I$4:I$174,Master!BM$4:BM$174},Master!K$4:K$174="Qualified",Master!D$4:D$174="Mixed Asset / Balanced",Master!V$4:V$174&lt;&gt;""),4,FALSE),1,5),"")</f>
        <v/>
      </c>
      <c r="F80" s="77">
        <f>IFERROR(INDEX(SORT(FILTER({Master!A$4:A$174,Master!B$4:B$174,Master!T$4:T$174,Master!V$4:V$174,Master!L$4:L$174,Master!I$4:I$174,Master!BM$4:BM$174},Master!K$4:K$174="Qualified",Master!D$4:D$174="Mixed Asset / Balanced",Master!V$4:V$174&lt;&gt;""),4,FALSE),1,6),"")</f>
        <v/>
      </c>
      <c r="G80" s="78">
        <f>IFERROR(INDEX(SORT(FILTER({Master!A$4:A$174,Master!B$4:B$174,Master!T$4:T$174,Master!V$4:V$174,Master!L$4:L$174,Master!I$4:I$174,Master!BM$4:BM$174},Master!K$4:K$174="Qualified",Master!D$4:D$174="Mixed Asset / Balanced",Master!V$4:V$174&lt;&gt;""),4,FALSE),1,7),"")</f>
        <v/>
      </c>
      <c r="H80" s="78" t="inlineStr"/>
    </row>
    <row r="81" ht="16" customHeight="1">
      <c r="A81" s="58">
        <f>IFERROR(INDEX(SORT(FILTER({Master!A$4:A$174,Master!B$4:B$174,Master!T$4:T$174,Master!V$4:V$174,Master!L$4:L$174,Master!I$4:I$174,Master!BM$4:BM$174},Master!K$4:K$174="Qualified",Master!D$4:D$174="Mixed Asset / Balanced",Master!V$4:V$174&lt;&gt;""),4,FALSE),2,1),"")</f>
        <v/>
      </c>
      <c r="B81" s="58">
        <f>IFERROR(INDEX(SORT(FILTER({Master!A$4:A$174,Master!B$4:B$174,Master!T$4:T$174,Master!V$4:V$174,Master!L$4:L$174,Master!I$4:I$174,Master!BM$4:BM$174},Master!K$4:K$174="Qualified",Master!D$4:D$174="Mixed Asset / Balanced",Master!V$4:V$174&lt;&gt;""),4,FALSE),2,2),"")</f>
        <v/>
      </c>
      <c r="C81" s="74">
        <f>IFERROR(INDEX(SORT(FILTER({Master!A$4:A$174,Master!B$4:B$174,Master!T$4:T$174,Master!V$4:V$174,Master!L$4:L$174,Master!I$4:I$174,Master!BM$4:BM$174},Master!K$4:K$174="Qualified",Master!D$4:D$174="Mixed Asset / Balanced",Master!V$4:V$174&lt;&gt;""),4,FALSE),2,3),"")</f>
        <v/>
      </c>
      <c r="D81" s="74">
        <f>IFERROR(INDEX(SORT(FILTER({Master!A$4:A$174,Master!B$4:B$174,Master!T$4:T$174,Master!V$4:V$174,Master!L$4:L$174,Master!I$4:I$174,Master!BM$4:BM$174},Master!K$4:K$174="Qualified",Master!D$4:D$174="Mixed Asset / Balanced",Master!V$4:V$174&lt;&gt;""),4,FALSE),2,4),"")</f>
        <v/>
      </c>
      <c r="E81" s="79">
        <f>IFERROR(INDEX(SORT(FILTER({Master!A$4:A$174,Master!B$4:B$174,Master!T$4:T$174,Master!V$4:V$174,Master!L$4:L$174,Master!I$4:I$174,Master!BM$4:BM$174},Master!K$4:K$174="Qualified",Master!D$4:D$174="Mixed Asset / Balanced",Master!V$4:V$174&lt;&gt;""),4,FALSE),2,5),"")</f>
        <v/>
      </c>
      <c r="F81" s="80">
        <f>IFERROR(INDEX(SORT(FILTER({Master!A$4:A$174,Master!B$4:B$174,Master!T$4:T$174,Master!V$4:V$174,Master!L$4:L$174,Master!I$4:I$174,Master!BM$4:BM$174},Master!K$4:K$174="Qualified",Master!D$4:D$174="Mixed Asset / Balanced",Master!V$4:V$174&lt;&gt;""),4,FALSE),2,6),"")</f>
        <v/>
      </c>
      <c r="G81" s="81">
        <f>IFERROR(INDEX(SORT(FILTER({Master!A$4:A$174,Master!B$4:B$174,Master!T$4:T$174,Master!V$4:V$174,Master!L$4:L$174,Master!I$4:I$174,Master!BM$4:BM$174},Master!K$4:K$174="Qualified",Master!D$4:D$174="Mixed Asset / Balanced",Master!V$4:V$174&lt;&gt;""),4,FALSE),2,7),"")</f>
        <v/>
      </c>
      <c r="H81" s="81" t="inlineStr"/>
    </row>
    <row r="82" ht="16" customHeight="1">
      <c r="A82" s="59">
        <f>IFERROR(INDEX(SORT(FILTER({Master!A$4:A$174,Master!B$4:B$174,Master!T$4:T$174,Master!V$4:V$174,Master!L$4:L$174,Master!I$4:I$174,Master!BM$4:BM$174},Master!K$4:K$174="Qualified",Master!D$4:D$174="Mixed Asset / Balanced",Master!V$4:V$174&lt;&gt;""),4,FALSE),3,1),"")</f>
        <v/>
      </c>
      <c r="B82" s="59">
        <f>IFERROR(INDEX(SORT(FILTER({Master!A$4:A$174,Master!B$4:B$174,Master!T$4:T$174,Master!V$4:V$174,Master!L$4:L$174,Master!I$4:I$174,Master!BM$4:BM$174},Master!K$4:K$174="Qualified",Master!D$4:D$174="Mixed Asset / Balanced",Master!V$4:V$174&lt;&gt;""),4,FALSE),3,2),"")</f>
        <v/>
      </c>
      <c r="C82" s="75">
        <f>IFERROR(INDEX(SORT(FILTER({Master!A$4:A$174,Master!B$4:B$174,Master!T$4:T$174,Master!V$4:V$174,Master!L$4:L$174,Master!I$4:I$174,Master!BM$4:BM$174},Master!K$4:K$174="Qualified",Master!D$4:D$174="Mixed Asset / Balanced",Master!V$4:V$174&lt;&gt;""),4,FALSE),3,3),"")</f>
        <v/>
      </c>
      <c r="D82" s="75">
        <f>IFERROR(INDEX(SORT(FILTER({Master!A$4:A$174,Master!B$4:B$174,Master!T$4:T$174,Master!V$4:V$174,Master!L$4:L$174,Master!I$4:I$174,Master!BM$4:BM$174},Master!K$4:K$174="Qualified",Master!D$4:D$174="Mixed Asset / Balanced",Master!V$4:V$174&lt;&gt;""),4,FALSE),3,4),"")</f>
        <v/>
      </c>
      <c r="E82" s="76">
        <f>IFERROR(INDEX(SORT(FILTER({Master!A$4:A$174,Master!B$4:B$174,Master!T$4:T$174,Master!V$4:V$174,Master!L$4:L$174,Master!I$4:I$174,Master!BM$4:BM$174},Master!K$4:K$174="Qualified",Master!D$4:D$174="Mixed Asset / Balanced",Master!V$4:V$174&lt;&gt;""),4,FALSE),3,5),"")</f>
        <v/>
      </c>
      <c r="F82" s="77">
        <f>IFERROR(INDEX(SORT(FILTER({Master!A$4:A$174,Master!B$4:B$174,Master!T$4:T$174,Master!V$4:V$174,Master!L$4:L$174,Master!I$4:I$174,Master!BM$4:BM$174},Master!K$4:K$174="Qualified",Master!D$4:D$174="Mixed Asset / Balanced",Master!V$4:V$174&lt;&gt;""),4,FALSE),3,6),"")</f>
        <v/>
      </c>
      <c r="G82" s="78">
        <f>IFERROR(INDEX(SORT(FILTER({Master!A$4:A$174,Master!B$4:B$174,Master!T$4:T$174,Master!V$4:V$174,Master!L$4:L$174,Master!I$4:I$174,Master!BM$4:BM$174},Master!K$4:K$174="Qualified",Master!D$4:D$174="Mixed Asset / Balanced",Master!V$4:V$174&lt;&gt;""),4,FALSE),3,7),"")</f>
        <v/>
      </c>
      <c r="H82" s="78" t="inlineStr"/>
    </row>
    <row r="83" ht="16" customHeight="1">
      <c r="A83" s="58">
        <f>IFERROR(INDEX(SORT(FILTER({Master!A$4:A$174,Master!B$4:B$174,Master!T$4:T$174,Master!V$4:V$174,Master!L$4:L$174,Master!I$4:I$174,Master!BM$4:BM$174},Master!K$4:K$174="Qualified",Master!D$4:D$174="Mixed Asset / Balanced",Master!V$4:V$174&lt;&gt;""),4,FALSE),4,1),"")</f>
        <v/>
      </c>
      <c r="B83" s="58">
        <f>IFERROR(INDEX(SORT(FILTER({Master!A$4:A$174,Master!B$4:B$174,Master!T$4:T$174,Master!V$4:V$174,Master!L$4:L$174,Master!I$4:I$174,Master!BM$4:BM$174},Master!K$4:K$174="Qualified",Master!D$4:D$174="Mixed Asset / Balanced",Master!V$4:V$174&lt;&gt;""),4,FALSE),4,2),"")</f>
        <v/>
      </c>
      <c r="C83" s="74">
        <f>IFERROR(INDEX(SORT(FILTER({Master!A$4:A$174,Master!B$4:B$174,Master!T$4:T$174,Master!V$4:V$174,Master!L$4:L$174,Master!I$4:I$174,Master!BM$4:BM$174},Master!K$4:K$174="Qualified",Master!D$4:D$174="Mixed Asset / Balanced",Master!V$4:V$174&lt;&gt;""),4,FALSE),4,3),"")</f>
        <v/>
      </c>
      <c r="D83" s="74">
        <f>IFERROR(INDEX(SORT(FILTER({Master!A$4:A$174,Master!B$4:B$174,Master!T$4:T$174,Master!V$4:V$174,Master!L$4:L$174,Master!I$4:I$174,Master!BM$4:BM$174},Master!K$4:K$174="Qualified",Master!D$4:D$174="Mixed Asset / Balanced",Master!V$4:V$174&lt;&gt;""),4,FALSE),4,4),"")</f>
        <v/>
      </c>
      <c r="E83" s="79">
        <f>IFERROR(INDEX(SORT(FILTER({Master!A$4:A$174,Master!B$4:B$174,Master!T$4:T$174,Master!V$4:V$174,Master!L$4:L$174,Master!I$4:I$174,Master!BM$4:BM$174},Master!K$4:K$174="Qualified",Master!D$4:D$174="Mixed Asset / Balanced",Master!V$4:V$174&lt;&gt;""),4,FALSE),4,5),"")</f>
        <v/>
      </c>
      <c r="F83" s="80">
        <f>IFERROR(INDEX(SORT(FILTER({Master!A$4:A$174,Master!B$4:B$174,Master!T$4:T$174,Master!V$4:V$174,Master!L$4:L$174,Master!I$4:I$174,Master!BM$4:BM$174},Master!K$4:K$174="Qualified",Master!D$4:D$174="Mixed Asset / Balanced",Master!V$4:V$174&lt;&gt;""),4,FALSE),4,6),"")</f>
        <v/>
      </c>
      <c r="G83" s="81">
        <f>IFERROR(INDEX(SORT(FILTER({Master!A$4:A$174,Master!B$4:B$174,Master!T$4:T$174,Master!V$4:V$174,Master!L$4:L$174,Master!I$4:I$174,Master!BM$4:BM$174},Master!K$4:K$174="Qualified",Master!D$4:D$174="Mixed Asset / Balanced",Master!V$4:V$174&lt;&gt;""),4,FALSE),4,7),"")</f>
        <v/>
      </c>
      <c r="H83" s="81" t="inlineStr"/>
    </row>
    <row r="84" ht="16" customHeight="1">
      <c r="A84" s="59">
        <f>IFERROR(INDEX(SORT(FILTER({Master!A$4:A$174,Master!B$4:B$174,Master!T$4:T$174,Master!V$4:V$174,Master!L$4:L$174,Master!I$4:I$174,Master!BM$4:BM$174},Master!K$4:K$174="Qualified",Master!D$4:D$174="Mixed Asset / Balanced",Master!V$4:V$174&lt;&gt;""),4,FALSE),5,1),"")</f>
        <v/>
      </c>
      <c r="B84" s="59">
        <f>IFERROR(INDEX(SORT(FILTER({Master!A$4:A$174,Master!B$4:B$174,Master!T$4:T$174,Master!V$4:V$174,Master!L$4:L$174,Master!I$4:I$174,Master!BM$4:BM$174},Master!K$4:K$174="Qualified",Master!D$4:D$174="Mixed Asset / Balanced",Master!V$4:V$174&lt;&gt;""),4,FALSE),5,2),"")</f>
        <v/>
      </c>
      <c r="C84" s="75">
        <f>IFERROR(INDEX(SORT(FILTER({Master!A$4:A$174,Master!B$4:B$174,Master!T$4:T$174,Master!V$4:V$174,Master!L$4:L$174,Master!I$4:I$174,Master!BM$4:BM$174},Master!K$4:K$174="Qualified",Master!D$4:D$174="Mixed Asset / Balanced",Master!V$4:V$174&lt;&gt;""),4,FALSE),5,3),"")</f>
        <v/>
      </c>
      <c r="D84" s="75">
        <f>IFERROR(INDEX(SORT(FILTER({Master!A$4:A$174,Master!B$4:B$174,Master!T$4:T$174,Master!V$4:V$174,Master!L$4:L$174,Master!I$4:I$174,Master!BM$4:BM$174},Master!K$4:K$174="Qualified",Master!D$4:D$174="Mixed Asset / Balanced",Master!V$4:V$174&lt;&gt;""),4,FALSE),5,4),"")</f>
        <v/>
      </c>
      <c r="E84" s="76">
        <f>IFERROR(INDEX(SORT(FILTER({Master!A$4:A$174,Master!B$4:B$174,Master!T$4:T$174,Master!V$4:V$174,Master!L$4:L$174,Master!I$4:I$174,Master!BM$4:BM$174},Master!K$4:K$174="Qualified",Master!D$4:D$174="Mixed Asset / Balanced",Master!V$4:V$174&lt;&gt;""),4,FALSE),5,5),"")</f>
        <v/>
      </c>
      <c r="F84" s="77">
        <f>IFERROR(INDEX(SORT(FILTER({Master!A$4:A$174,Master!B$4:B$174,Master!T$4:T$174,Master!V$4:V$174,Master!L$4:L$174,Master!I$4:I$174,Master!BM$4:BM$174},Master!K$4:K$174="Qualified",Master!D$4:D$174="Mixed Asset / Balanced",Master!V$4:V$174&lt;&gt;""),4,FALSE),5,6),"")</f>
        <v/>
      </c>
      <c r="G84" s="78">
        <f>IFERROR(INDEX(SORT(FILTER({Master!A$4:A$174,Master!B$4:B$174,Master!T$4:T$174,Master!V$4:V$174,Master!L$4:L$174,Master!I$4:I$174,Master!BM$4:BM$174},Master!K$4:K$174="Qualified",Master!D$4:D$174="Mixed Asset / Balanced",Master!V$4:V$174&lt;&gt;""),4,FALSE),5,7),"")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IFERROR(INDEX(SORT(FILTER({Master!A$4:A$174,Master!B$4:B$174,Master!AE$4:AE$174,Master!V$4:V$174,Master!L$4:L$174,Master!I$4:I$174,Master!BM$4:BM$174},Master!K$4:K$174="Qualified",Master!D$4:D$174="Mixed Asset / Balanced",Master!AE$4:AE$174&lt;&gt;""),3,FALSE),1,1),"")</f>
        <v/>
      </c>
      <c r="B88" s="59">
        <f>IFERROR(INDEX(SORT(FILTER({Master!A$4:A$174,Master!B$4:B$174,Master!AE$4:AE$174,Master!V$4:V$174,Master!L$4:L$174,Master!I$4:I$174,Master!BM$4:BM$174},Master!K$4:K$174="Qualified",Master!D$4:D$174="Mixed Asset / Balanced",Master!AE$4:AE$174&lt;&gt;""),3,FALSE),1,2),"")</f>
        <v/>
      </c>
      <c r="C88" s="75">
        <f>IFERROR(INDEX(SORT(FILTER({Master!A$4:A$174,Master!B$4:B$174,Master!AE$4:AE$174,Master!V$4:V$174,Master!L$4:L$174,Master!I$4:I$174,Master!BM$4:BM$174},Master!K$4:K$174="Qualified",Master!D$4:D$174="Mixed Asset / Balanced",Master!AE$4:AE$174&lt;&gt;""),3,FALSE),1,3),"")</f>
        <v/>
      </c>
      <c r="D88" s="75">
        <f>IFERROR(INDEX(SORT(FILTER({Master!A$4:A$174,Master!B$4:B$174,Master!AE$4:AE$174,Master!V$4:V$174,Master!L$4:L$174,Master!I$4:I$174,Master!BM$4:BM$174},Master!K$4:K$174="Qualified",Master!D$4:D$174="Mixed Asset / Balanced",Master!AE$4:AE$174&lt;&gt;""),3,FALSE),1,4),"")</f>
        <v/>
      </c>
      <c r="E88" s="76">
        <f>IFERROR(INDEX(SORT(FILTER({Master!A$4:A$174,Master!B$4:B$174,Master!AE$4:AE$174,Master!V$4:V$174,Master!L$4:L$174,Master!I$4:I$174,Master!BM$4:BM$174},Master!K$4:K$174="Qualified",Master!D$4:D$174="Mixed Asset / Balanced",Master!AE$4:AE$174&lt;&gt;""),3,FALSE),1,5),"")</f>
        <v/>
      </c>
      <c r="F88" s="77">
        <f>IFERROR(INDEX(SORT(FILTER({Master!A$4:A$174,Master!B$4:B$174,Master!AE$4:AE$174,Master!V$4:V$174,Master!L$4:L$174,Master!I$4:I$174,Master!BM$4:BM$174},Master!K$4:K$174="Qualified",Master!D$4:D$174="Mixed Asset / Balanced",Master!AE$4:AE$174&lt;&gt;""),3,FALSE),1,6),"")</f>
        <v/>
      </c>
      <c r="G88" s="78">
        <f>IFERROR(INDEX(SORT(FILTER({Master!A$4:A$174,Master!B$4:B$174,Master!AE$4:AE$174,Master!V$4:V$174,Master!L$4:L$174,Master!I$4:I$174,Master!BM$4:BM$174},Master!K$4:K$174="Qualified",Master!D$4:D$174="Mixed Asset / Balanced",Master!AE$4:AE$174&lt;&gt;""),3,FALSE),1,7),"")</f>
        <v/>
      </c>
      <c r="H88" s="78" t="inlineStr"/>
    </row>
    <row r="89" ht="16" customHeight="1">
      <c r="A89" s="58">
        <f>IFERROR(INDEX(SORT(FILTER({Master!A$4:A$174,Master!B$4:B$174,Master!AE$4:AE$174,Master!V$4:V$174,Master!L$4:L$174,Master!I$4:I$174,Master!BM$4:BM$174},Master!K$4:K$174="Qualified",Master!D$4:D$174="Mixed Asset / Balanced",Master!AE$4:AE$174&lt;&gt;""),3,FALSE),2,1),"")</f>
        <v/>
      </c>
      <c r="B89" s="58">
        <f>IFERROR(INDEX(SORT(FILTER({Master!A$4:A$174,Master!B$4:B$174,Master!AE$4:AE$174,Master!V$4:V$174,Master!L$4:L$174,Master!I$4:I$174,Master!BM$4:BM$174},Master!K$4:K$174="Qualified",Master!D$4:D$174="Mixed Asset / Balanced",Master!AE$4:AE$174&lt;&gt;""),3,FALSE),2,2),"")</f>
        <v/>
      </c>
      <c r="C89" s="74">
        <f>IFERROR(INDEX(SORT(FILTER({Master!A$4:A$174,Master!B$4:B$174,Master!AE$4:AE$174,Master!V$4:V$174,Master!L$4:L$174,Master!I$4:I$174,Master!BM$4:BM$174},Master!K$4:K$174="Qualified",Master!D$4:D$174="Mixed Asset / Balanced",Master!AE$4:AE$174&lt;&gt;""),3,FALSE),2,3),"")</f>
        <v/>
      </c>
      <c r="D89" s="74">
        <f>IFERROR(INDEX(SORT(FILTER({Master!A$4:A$174,Master!B$4:B$174,Master!AE$4:AE$174,Master!V$4:V$174,Master!L$4:L$174,Master!I$4:I$174,Master!BM$4:BM$174},Master!K$4:K$174="Qualified",Master!D$4:D$174="Mixed Asset / Balanced",Master!AE$4:AE$174&lt;&gt;""),3,FALSE),2,4),"")</f>
        <v/>
      </c>
      <c r="E89" s="79">
        <f>IFERROR(INDEX(SORT(FILTER({Master!A$4:A$174,Master!B$4:B$174,Master!AE$4:AE$174,Master!V$4:V$174,Master!L$4:L$174,Master!I$4:I$174,Master!BM$4:BM$174},Master!K$4:K$174="Qualified",Master!D$4:D$174="Mixed Asset / Balanced",Master!AE$4:AE$174&lt;&gt;""),3,FALSE),2,5),"")</f>
        <v/>
      </c>
      <c r="F89" s="80">
        <f>IFERROR(INDEX(SORT(FILTER({Master!A$4:A$174,Master!B$4:B$174,Master!AE$4:AE$174,Master!V$4:V$174,Master!L$4:L$174,Master!I$4:I$174,Master!BM$4:BM$174},Master!K$4:K$174="Qualified",Master!D$4:D$174="Mixed Asset / Balanced",Master!AE$4:AE$174&lt;&gt;""),3,FALSE),2,6),"")</f>
        <v/>
      </c>
      <c r="G89" s="81">
        <f>IFERROR(INDEX(SORT(FILTER({Master!A$4:A$174,Master!B$4:B$174,Master!AE$4:AE$174,Master!V$4:V$174,Master!L$4:L$174,Master!I$4:I$174,Master!BM$4:BM$174},Master!K$4:K$174="Qualified",Master!D$4:D$174="Mixed Asset / Balanced",Master!AE$4:AE$174&lt;&gt;""),3,FALSE),2,7),"")</f>
        <v/>
      </c>
      <c r="H89" s="81" t="inlineStr"/>
    </row>
    <row r="90" ht="16" customHeight="1">
      <c r="A90" s="59">
        <f>IFERROR(INDEX(SORT(FILTER({Master!A$4:A$174,Master!B$4:B$174,Master!AE$4:AE$174,Master!V$4:V$174,Master!L$4:L$174,Master!I$4:I$174,Master!BM$4:BM$174},Master!K$4:K$174="Qualified",Master!D$4:D$174="Mixed Asset / Balanced",Master!AE$4:AE$174&lt;&gt;""),3,FALSE),3,1),"")</f>
        <v/>
      </c>
      <c r="B90" s="59">
        <f>IFERROR(INDEX(SORT(FILTER({Master!A$4:A$174,Master!B$4:B$174,Master!AE$4:AE$174,Master!V$4:V$174,Master!L$4:L$174,Master!I$4:I$174,Master!BM$4:BM$174},Master!K$4:K$174="Qualified",Master!D$4:D$174="Mixed Asset / Balanced",Master!AE$4:AE$174&lt;&gt;""),3,FALSE),3,2),"")</f>
        <v/>
      </c>
      <c r="C90" s="75">
        <f>IFERROR(INDEX(SORT(FILTER({Master!A$4:A$174,Master!B$4:B$174,Master!AE$4:AE$174,Master!V$4:V$174,Master!L$4:L$174,Master!I$4:I$174,Master!BM$4:BM$174},Master!K$4:K$174="Qualified",Master!D$4:D$174="Mixed Asset / Balanced",Master!AE$4:AE$174&lt;&gt;""),3,FALSE),3,3),"")</f>
        <v/>
      </c>
      <c r="D90" s="75">
        <f>IFERROR(INDEX(SORT(FILTER({Master!A$4:A$174,Master!B$4:B$174,Master!AE$4:AE$174,Master!V$4:V$174,Master!L$4:L$174,Master!I$4:I$174,Master!BM$4:BM$174},Master!K$4:K$174="Qualified",Master!D$4:D$174="Mixed Asset / Balanced",Master!AE$4:AE$174&lt;&gt;""),3,FALSE),3,4),"")</f>
        <v/>
      </c>
      <c r="E90" s="76">
        <f>IFERROR(INDEX(SORT(FILTER({Master!A$4:A$174,Master!B$4:B$174,Master!AE$4:AE$174,Master!V$4:V$174,Master!L$4:L$174,Master!I$4:I$174,Master!BM$4:BM$174},Master!K$4:K$174="Qualified",Master!D$4:D$174="Mixed Asset / Balanced",Master!AE$4:AE$174&lt;&gt;""),3,FALSE),3,5),"")</f>
        <v/>
      </c>
      <c r="F90" s="77">
        <f>IFERROR(INDEX(SORT(FILTER({Master!A$4:A$174,Master!B$4:B$174,Master!AE$4:AE$174,Master!V$4:V$174,Master!L$4:L$174,Master!I$4:I$174,Master!BM$4:BM$174},Master!K$4:K$174="Qualified",Master!D$4:D$174="Mixed Asset / Balanced",Master!AE$4:AE$174&lt;&gt;""),3,FALSE),3,6),"")</f>
        <v/>
      </c>
      <c r="G90" s="78">
        <f>IFERROR(INDEX(SORT(FILTER({Master!A$4:A$174,Master!B$4:B$174,Master!AE$4:AE$174,Master!V$4:V$174,Master!L$4:L$174,Master!I$4:I$174,Master!BM$4:BM$174},Master!K$4:K$174="Qualified",Master!D$4:D$174="Mixed Asset / Balanced",Master!AE$4:AE$174&lt;&gt;""),3,FALSE),3,7),"")</f>
        <v/>
      </c>
      <c r="H90" s="78" t="inlineStr"/>
    </row>
    <row r="91" ht="16" customHeight="1">
      <c r="A91" s="58">
        <f>IFERROR(INDEX(SORT(FILTER({Master!A$4:A$174,Master!B$4:B$174,Master!AE$4:AE$174,Master!V$4:V$174,Master!L$4:L$174,Master!I$4:I$174,Master!BM$4:BM$174},Master!K$4:K$174="Qualified",Master!D$4:D$174="Mixed Asset / Balanced",Master!AE$4:AE$174&lt;&gt;""),3,FALSE),4,1),"")</f>
        <v/>
      </c>
      <c r="B91" s="58">
        <f>IFERROR(INDEX(SORT(FILTER({Master!A$4:A$174,Master!B$4:B$174,Master!AE$4:AE$174,Master!V$4:V$174,Master!L$4:L$174,Master!I$4:I$174,Master!BM$4:BM$174},Master!K$4:K$174="Qualified",Master!D$4:D$174="Mixed Asset / Balanced",Master!AE$4:AE$174&lt;&gt;""),3,FALSE),4,2),"")</f>
        <v/>
      </c>
      <c r="C91" s="74">
        <f>IFERROR(INDEX(SORT(FILTER({Master!A$4:A$174,Master!B$4:B$174,Master!AE$4:AE$174,Master!V$4:V$174,Master!L$4:L$174,Master!I$4:I$174,Master!BM$4:BM$174},Master!K$4:K$174="Qualified",Master!D$4:D$174="Mixed Asset / Balanced",Master!AE$4:AE$174&lt;&gt;""),3,FALSE),4,3),"")</f>
        <v/>
      </c>
      <c r="D91" s="74">
        <f>IFERROR(INDEX(SORT(FILTER({Master!A$4:A$174,Master!B$4:B$174,Master!AE$4:AE$174,Master!V$4:V$174,Master!L$4:L$174,Master!I$4:I$174,Master!BM$4:BM$174},Master!K$4:K$174="Qualified",Master!D$4:D$174="Mixed Asset / Balanced",Master!AE$4:AE$174&lt;&gt;""),3,FALSE),4,4),"")</f>
        <v/>
      </c>
      <c r="E91" s="79">
        <f>IFERROR(INDEX(SORT(FILTER({Master!A$4:A$174,Master!B$4:B$174,Master!AE$4:AE$174,Master!V$4:V$174,Master!L$4:L$174,Master!I$4:I$174,Master!BM$4:BM$174},Master!K$4:K$174="Qualified",Master!D$4:D$174="Mixed Asset / Balanced",Master!AE$4:AE$174&lt;&gt;""),3,FALSE),4,5),"")</f>
        <v/>
      </c>
      <c r="F91" s="80">
        <f>IFERROR(INDEX(SORT(FILTER({Master!A$4:A$174,Master!B$4:B$174,Master!AE$4:AE$174,Master!V$4:V$174,Master!L$4:L$174,Master!I$4:I$174,Master!BM$4:BM$174},Master!K$4:K$174="Qualified",Master!D$4:D$174="Mixed Asset / Balanced",Master!AE$4:AE$174&lt;&gt;""),3,FALSE),4,6),"")</f>
        <v/>
      </c>
      <c r="G91" s="81">
        <f>IFERROR(INDEX(SORT(FILTER({Master!A$4:A$174,Master!B$4:B$174,Master!AE$4:AE$174,Master!V$4:V$174,Master!L$4:L$174,Master!I$4:I$174,Master!BM$4:BM$174},Master!K$4:K$174="Qualified",Master!D$4:D$174="Mixed Asset / Balanced",Master!AE$4:AE$174&lt;&gt;""),3,FALSE),4,7),"")</f>
        <v/>
      </c>
      <c r="H91" s="81" t="inlineStr"/>
    </row>
    <row r="92" ht="16" customHeight="1">
      <c r="A92" s="59">
        <f>IFERROR(INDEX(SORT(FILTER({Master!A$4:A$174,Master!B$4:B$174,Master!AE$4:AE$174,Master!V$4:V$174,Master!L$4:L$174,Master!I$4:I$174,Master!BM$4:BM$174},Master!K$4:K$174="Qualified",Master!D$4:D$174="Mixed Asset / Balanced",Master!AE$4:AE$174&lt;&gt;""),3,FALSE),5,1),"")</f>
        <v/>
      </c>
      <c r="B92" s="59">
        <f>IFERROR(INDEX(SORT(FILTER({Master!A$4:A$174,Master!B$4:B$174,Master!AE$4:AE$174,Master!V$4:V$174,Master!L$4:L$174,Master!I$4:I$174,Master!BM$4:BM$174},Master!K$4:K$174="Qualified",Master!D$4:D$174="Mixed Asset / Balanced",Master!AE$4:AE$174&lt;&gt;""),3,FALSE),5,2),"")</f>
        <v/>
      </c>
      <c r="C92" s="75">
        <f>IFERROR(INDEX(SORT(FILTER({Master!A$4:A$174,Master!B$4:B$174,Master!AE$4:AE$174,Master!V$4:V$174,Master!L$4:L$174,Master!I$4:I$174,Master!BM$4:BM$174},Master!K$4:K$174="Qualified",Master!D$4:D$174="Mixed Asset / Balanced",Master!AE$4:AE$174&lt;&gt;""),3,FALSE),5,3),"")</f>
        <v/>
      </c>
      <c r="D92" s="75">
        <f>IFERROR(INDEX(SORT(FILTER({Master!A$4:A$174,Master!B$4:B$174,Master!AE$4:AE$174,Master!V$4:V$174,Master!L$4:L$174,Master!I$4:I$174,Master!BM$4:BM$174},Master!K$4:K$174="Qualified",Master!D$4:D$174="Mixed Asset / Balanced",Master!AE$4:AE$174&lt;&gt;""),3,FALSE),5,4),"")</f>
        <v/>
      </c>
      <c r="E92" s="76">
        <f>IFERROR(INDEX(SORT(FILTER({Master!A$4:A$174,Master!B$4:B$174,Master!AE$4:AE$174,Master!V$4:V$174,Master!L$4:L$174,Master!I$4:I$174,Master!BM$4:BM$174},Master!K$4:K$174="Qualified",Master!D$4:D$174="Mixed Asset / Balanced",Master!AE$4:AE$174&lt;&gt;""),3,FALSE),5,5),"")</f>
        <v/>
      </c>
      <c r="F92" s="77">
        <f>IFERROR(INDEX(SORT(FILTER({Master!A$4:A$174,Master!B$4:B$174,Master!AE$4:AE$174,Master!V$4:V$174,Master!L$4:L$174,Master!I$4:I$174,Master!BM$4:BM$174},Master!K$4:K$174="Qualified",Master!D$4:D$174="Mixed Asset / Balanced",Master!AE$4:AE$174&lt;&gt;""),3,FALSE),5,6),"")</f>
        <v/>
      </c>
      <c r="G92" s="78">
        <f>IFERROR(INDEX(SORT(FILTER({Master!A$4:A$174,Master!B$4:B$174,Master!AE$4:AE$174,Master!V$4:V$174,Master!L$4:L$174,Master!I$4:I$174,Master!BM$4:BM$174},Master!K$4:K$174="Qualified",Master!D$4:D$174="Mixed Asset / Balanced",Master!AE$4:AE$174&lt;&gt;""),3,FALSE),5,7),"")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IFERROR(INDEX(SORT(FILTER({Master!A$4:A$174,Master!B$4:B$174,Master!I$4:I$174,Master!T$4:T$174,Master!V$4:V$174,Master!L$4:L$174,Master!BM$4:BM$174},Master!K$4:K$174="Qualified",Master!D$4:D$174="Mixed Asset / Balanced",Master!I$4:I$174&lt;&gt;""),3,FALSE),1,1),"")</f>
        <v/>
      </c>
      <c r="B96" s="59">
        <f>IFERROR(INDEX(SORT(FILTER({Master!A$4:A$174,Master!B$4:B$174,Master!I$4:I$174,Master!T$4:T$174,Master!V$4:V$174,Master!L$4:L$174,Master!BM$4:BM$174},Master!K$4:K$174="Qualified",Master!D$4:D$174="Mixed Asset / Balanced",Master!I$4:I$174&lt;&gt;""),3,FALSE),1,2),"")</f>
        <v/>
      </c>
      <c r="C96" s="77">
        <f>IFERROR(INDEX(SORT(FILTER({Master!A$4:A$174,Master!B$4:B$174,Master!I$4:I$174,Master!T$4:T$174,Master!V$4:V$174,Master!L$4:L$174,Master!BM$4:BM$174},Master!K$4:K$174="Qualified",Master!D$4:D$174="Mixed Asset / Balanced",Master!I$4:I$174&lt;&gt;""),3,FALSE),1,3),"")</f>
        <v/>
      </c>
      <c r="D96" s="75">
        <f>IFERROR(INDEX(SORT(FILTER({Master!A$4:A$174,Master!B$4:B$174,Master!I$4:I$174,Master!T$4:T$174,Master!V$4:V$174,Master!L$4:L$174,Master!BM$4:BM$174},Master!K$4:K$174="Qualified",Master!D$4:D$174="Mixed Asset / Balanced",Master!I$4:I$174&lt;&gt;""),3,FALSE),1,4),"")</f>
        <v/>
      </c>
      <c r="E96" s="75">
        <f>IFERROR(INDEX(SORT(FILTER({Master!A$4:A$174,Master!B$4:B$174,Master!I$4:I$174,Master!T$4:T$174,Master!V$4:V$174,Master!L$4:L$174,Master!BM$4:BM$174},Master!K$4:K$174="Qualified",Master!D$4:D$174="Mixed Asset / Balanced",Master!I$4:I$174&lt;&gt;""),3,FALSE),1,5),"")</f>
        <v/>
      </c>
      <c r="F96" s="76">
        <f>IFERROR(INDEX(SORT(FILTER({Master!A$4:A$174,Master!B$4:B$174,Master!I$4:I$174,Master!T$4:T$174,Master!V$4:V$174,Master!L$4:L$174,Master!BM$4:BM$174},Master!K$4:K$174="Qualified",Master!D$4:D$174="Mixed Asset / Balanced",Master!I$4:I$174&lt;&gt;""),3,FALSE),1,6),"")</f>
        <v/>
      </c>
      <c r="G96" s="78">
        <f>IFERROR(INDEX(SORT(FILTER({Master!A$4:A$174,Master!B$4:B$174,Master!I$4:I$174,Master!T$4:T$174,Master!V$4:V$174,Master!L$4:L$174,Master!BM$4:BM$174},Master!K$4:K$174="Qualified",Master!D$4:D$174="Mixed Asset / Balanced",Master!I$4:I$174&lt;&gt;""),3,FALSE),1,7),"")</f>
        <v/>
      </c>
      <c r="H96" s="78" t="inlineStr"/>
    </row>
    <row r="97" ht="16" customHeight="1">
      <c r="A97" s="58">
        <f>IFERROR(INDEX(SORT(FILTER({Master!A$4:A$174,Master!B$4:B$174,Master!I$4:I$174,Master!T$4:T$174,Master!V$4:V$174,Master!L$4:L$174,Master!BM$4:BM$174},Master!K$4:K$174="Qualified",Master!D$4:D$174="Mixed Asset / Balanced",Master!I$4:I$174&lt;&gt;""),3,FALSE),2,1),"")</f>
        <v/>
      </c>
      <c r="B97" s="58">
        <f>IFERROR(INDEX(SORT(FILTER({Master!A$4:A$174,Master!B$4:B$174,Master!I$4:I$174,Master!T$4:T$174,Master!V$4:V$174,Master!L$4:L$174,Master!BM$4:BM$174},Master!K$4:K$174="Qualified",Master!D$4:D$174="Mixed Asset / Balanced",Master!I$4:I$174&lt;&gt;""),3,FALSE),2,2),"")</f>
        <v/>
      </c>
      <c r="C97" s="80">
        <f>IFERROR(INDEX(SORT(FILTER({Master!A$4:A$174,Master!B$4:B$174,Master!I$4:I$174,Master!T$4:T$174,Master!V$4:V$174,Master!L$4:L$174,Master!BM$4:BM$174},Master!K$4:K$174="Qualified",Master!D$4:D$174="Mixed Asset / Balanced",Master!I$4:I$174&lt;&gt;""),3,FALSE),2,3),"")</f>
        <v/>
      </c>
      <c r="D97" s="74">
        <f>IFERROR(INDEX(SORT(FILTER({Master!A$4:A$174,Master!B$4:B$174,Master!I$4:I$174,Master!T$4:T$174,Master!V$4:V$174,Master!L$4:L$174,Master!BM$4:BM$174},Master!K$4:K$174="Qualified",Master!D$4:D$174="Mixed Asset / Balanced",Master!I$4:I$174&lt;&gt;""),3,FALSE),2,4),"")</f>
        <v/>
      </c>
      <c r="E97" s="74">
        <f>IFERROR(INDEX(SORT(FILTER({Master!A$4:A$174,Master!B$4:B$174,Master!I$4:I$174,Master!T$4:T$174,Master!V$4:V$174,Master!L$4:L$174,Master!BM$4:BM$174},Master!K$4:K$174="Qualified",Master!D$4:D$174="Mixed Asset / Balanced",Master!I$4:I$174&lt;&gt;""),3,FALSE),2,5),"")</f>
        <v/>
      </c>
      <c r="F97" s="79">
        <f>IFERROR(INDEX(SORT(FILTER({Master!A$4:A$174,Master!B$4:B$174,Master!I$4:I$174,Master!T$4:T$174,Master!V$4:V$174,Master!L$4:L$174,Master!BM$4:BM$174},Master!K$4:K$174="Qualified",Master!D$4:D$174="Mixed Asset / Balanced",Master!I$4:I$174&lt;&gt;""),3,FALSE),2,6),"")</f>
        <v/>
      </c>
      <c r="G97" s="81">
        <f>IFERROR(INDEX(SORT(FILTER({Master!A$4:A$174,Master!B$4:B$174,Master!I$4:I$174,Master!T$4:T$174,Master!V$4:V$174,Master!L$4:L$174,Master!BM$4:BM$174},Master!K$4:K$174="Qualified",Master!D$4:D$174="Mixed Asset / Balanced",Master!I$4:I$174&lt;&gt;""),3,FALSE),2,7),"")</f>
        <v/>
      </c>
      <c r="H97" s="81" t="inlineStr"/>
    </row>
    <row r="98" ht="16" customHeight="1">
      <c r="A98" s="59">
        <f>IFERROR(INDEX(SORT(FILTER({Master!A$4:A$174,Master!B$4:B$174,Master!I$4:I$174,Master!T$4:T$174,Master!V$4:V$174,Master!L$4:L$174,Master!BM$4:BM$174},Master!K$4:K$174="Qualified",Master!D$4:D$174="Mixed Asset / Balanced",Master!I$4:I$174&lt;&gt;""),3,FALSE),3,1),"")</f>
        <v/>
      </c>
      <c r="B98" s="59">
        <f>IFERROR(INDEX(SORT(FILTER({Master!A$4:A$174,Master!B$4:B$174,Master!I$4:I$174,Master!T$4:T$174,Master!V$4:V$174,Master!L$4:L$174,Master!BM$4:BM$174},Master!K$4:K$174="Qualified",Master!D$4:D$174="Mixed Asset / Balanced",Master!I$4:I$174&lt;&gt;""),3,FALSE),3,2),"")</f>
        <v/>
      </c>
      <c r="C98" s="77">
        <f>IFERROR(INDEX(SORT(FILTER({Master!A$4:A$174,Master!B$4:B$174,Master!I$4:I$174,Master!T$4:T$174,Master!V$4:V$174,Master!L$4:L$174,Master!BM$4:BM$174},Master!K$4:K$174="Qualified",Master!D$4:D$174="Mixed Asset / Balanced",Master!I$4:I$174&lt;&gt;""),3,FALSE),3,3),"")</f>
        <v/>
      </c>
      <c r="D98" s="75">
        <f>IFERROR(INDEX(SORT(FILTER({Master!A$4:A$174,Master!B$4:B$174,Master!I$4:I$174,Master!T$4:T$174,Master!V$4:V$174,Master!L$4:L$174,Master!BM$4:BM$174},Master!K$4:K$174="Qualified",Master!D$4:D$174="Mixed Asset / Balanced",Master!I$4:I$174&lt;&gt;""),3,FALSE),3,4),"")</f>
        <v/>
      </c>
      <c r="E98" s="75">
        <f>IFERROR(INDEX(SORT(FILTER({Master!A$4:A$174,Master!B$4:B$174,Master!I$4:I$174,Master!T$4:T$174,Master!V$4:V$174,Master!L$4:L$174,Master!BM$4:BM$174},Master!K$4:K$174="Qualified",Master!D$4:D$174="Mixed Asset / Balanced",Master!I$4:I$174&lt;&gt;""),3,FALSE),3,5),"")</f>
        <v/>
      </c>
      <c r="F98" s="76">
        <f>IFERROR(INDEX(SORT(FILTER({Master!A$4:A$174,Master!B$4:B$174,Master!I$4:I$174,Master!T$4:T$174,Master!V$4:V$174,Master!L$4:L$174,Master!BM$4:BM$174},Master!K$4:K$174="Qualified",Master!D$4:D$174="Mixed Asset / Balanced",Master!I$4:I$174&lt;&gt;""),3,FALSE),3,6),"")</f>
        <v/>
      </c>
      <c r="G98" s="78">
        <f>IFERROR(INDEX(SORT(FILTER({Master!A$4:A$174,Master!B$4:B$174,Master!I$4:I$174,Master!T$4:T$174,Master!V$4:V$174,Master!L$4:L$174,Master!BM$4:BM$174},Master!K$4:K$174="Qualified",Master!D$4:D$174="Mixed Asset / Balanced",Master!I$4:I$174&lt;&gt;""),3,FALSE),3,7),"")</f>
        <v/>
      </c>
      <c r="H98" s="78" t="inlineStr"/>
    </row>
    <row r="99" ht="16" customHeight="1">
      <c r="A99" s="58">
        <f>IFERROR(INDEX(SORT(FILTER({Master!A$4:A$174,Master!B$4:B$174,Master!I$4:I$174,Master!T$4:T$174,Master!V$4:V$174,Master!L$4:L$174,Master!BM$4:BM$174},Master!K$4:K$174="Qualified",Master!D$4:D$174="Mixed Asset / Balanced",Master!I$4:I$174&lt;&gt;""),3,FALSE),4,1),"")</f>
        <v/>
      </c>
      <c r="B99" s="58">
        <f>IFERROR(INDEX(SORT(FILTER({Master!A$4:A$174,Master!B$4:B$174,Master!I$4:I$174,Master!T$4:T$174,Master!V$4:V$174,Master!L$4:L$174,Master!BM$4:BM$174},Master!K$4:K$174="Qualified",Master!D$4:D$174="Mixed Asset / Balanced",Master!I$4:I$174&lt;&gt;""),3,FALSE),4,2),"")</f>
        <v/>
      </c>
      <c r="C99" s="80">
        <f>IFERROR(INDEX(SORT(FILTER({Master!A$4:A$174,Master!B$4:B$174,Master!I$4:I$174,Master!T$4:T$174,Master!V$4:V$174,Master!L$4:L$174,Master!BM$4:BM$174},Master!K$4:K$174="Qualified",Master!D$4:D$174="Mixed Asset / Balanced",Master!I$4:I$174&lt;&gt;""),3,FALSE),4,3),"")</f>
        <v/>
      </c>
      <c r="D99" s="74">
        <f>IFERROR(INDEX(SORT(FILTER({Master!A$4:A$174,Master!B$4:B$174,Master!I$4:I$174,Master!T$4:T$174,Master!V$4:V$174,Master!L$4:L$174,Master!BM$4:BM$174},Master!K$4:K$174="Qualified",Master!D$4:D$174="Mixed Asset / Balanced",Master!I$4:I$174&lt;&gt;""),3,FALSE),4,4),"")</f>
        <v/>
      </c>
      <c r="E99" s="74">
        <f>IFERROR(INDEX(SORT(FILTER({Master!A$4:A$174,Master!B$4:B$174,Master!I$4:I$174,Master!T$4:T$174,Master!V$4:V$174,Master!L$4:L$174,Master!BM$4:BM$174},Master!K$4:K$174="Qualified",Master!D$4:D$174="Mixed Asset / Balanced",Master!I$4:I$174&lt;&gt;""),3,FALSE),4,5),"")</f>
        <v/>
      </c>
      <c r="F99" s="79">
        <f>IFERROR(INDEX(SORT(FILTER({Master!A$4:A$174,Master!B$4:B$174,Master!I$4:I$174,Master!T$4:T$174,Master!V$4:V$174,Master!L$4:L$174,Master!BM$4:BM$174},Master!K$4:K$174="Qualified",Master!D$4:D$174="Mixed Asset / Balanced",Master!I$4:I$174&lt;&gt;""),3,FALSE),4,6),"")</f>
        <v/>
      </c>
      <c r="G99" s="81">
        <f>IFERROR(INDEX(SORT(FILTER({Master!A$4:A$174,Master!B$4:B$174,Master!I$4:I$174,Master!T$4:T$174,Master!V$4:V$174,Master!L$4:L$174,Master!BM$4:BM$174},Master!K$4:K$174="Qualified",Master!D$4:D$174="Mixed Asset / Balanced",Master!I$4:I$174&lt;&gt;""),3,FALSE),4,7),"")</f>
        <v/>
      </c>
      <c r="H99" s="81" t="inlineStr"/>
    </row>
    <row r="100" ht="16" customHeight="1">
      <c r="A100" s="59">
        <f>IFERROR(INDEX(SORT(FILTER({Master!A$4:A$174,Master!B$4:B$174,Master!I$4:I$174,Master!T$4:T$174,Master!V$4:V$174,Master!L$4:L$174,Master!BM$4:BM$174},Master!K$4:K$174="Qualified",Master!D$4:D$174="Mixed Asset / Balanced",Master!I$4:I$174&lt;&gt;""),3,FALSE),5,1),"")</f>
        <v/>
      </c>
      <c r="B100" s="59">
        <f>IFERROR(INDEX(SORT(FILTER({Master!A$4:A$174,Master!B$4:B$174,Master!I$4:I$174,Master!T$4:T$174,Master!V$4:V$174,Master!L$4:L$174,Master!BM$4:BM$174},Master!K$4:K$174="Qualified",Master!D$4:D$174="Mixed Asset / Balanced",Master!I$4:I$174&lt;&gt;""),3,FALSE),5,2),"")</f>
        <v/>
      </c>
      <c r="C100" s="77">
        <f>IFERROR(INDEX(SORT(FILTER({Master!A$4:A$174,Master!B$4:B$174,Master!I$4:I$174,Master!T$4:T$174,Master!V$4:V$174,Master!L$4:L$174,Master!BM$4:BM$174},Master!K$4:K$174="Qualified",Master!D$4:D$174="Mixed Asset / Balanced",Master!I$4:I$174&lt;&gt;""),3,FALSE),5,3),"")</f>
        <v/>
      </c>
      <c r="D100" s="75">
        <f>IFERROR(INDEX(SORT(FILTER({Master!A$4:A$174,Master!B$4:B$174,Master!I$4:I$174,Master!T$4:T$174,Master!V$4:V$174,Master!L$4:L$174,Master!BM$4:BM$174},Master!K$4:K$174="Qualified",Master!D$4:D$174="Mixed Asset / Balanced",Master!I$4:I$174&lt;&gt;""),3,FALSE),5,4),"")</f>
        <v/>
      </c>
      <c r="E100" s="75">
        <f>IFERROR(INDEX(SORT(FILTER({Master!A$4:A$174,Master!B$4:B$174,Master!I$4:I$174,Master!T$4:T$174,Master!V$4:V$174,Master!L$4:L$174,Master!BM$4:BM$174},Master!K$4:K$174="Qualified",Master!D$4:D$174="Mixed Asset / Balanced",Master!I$4:I$174&lt;&gt;""),3,FALSE),5,5),"")</f>
        <v/>
      </c>
      <c r="F100" s="76">
        <f>IFERROR(INDEX(SORT(FILTER({Master!A$4:A$174,Master!B$4:B$174,Master!I$4:I$174,Master!T$4:T$174,Master!V$4:V$174,Master!L$4:L$174,Master!BM$4:BM$174},Master!K$4:K$174="Qualified",Master!D$4:D$174="Mixed Asset / Balanced",Master!I$4:I$174&lt;&gt;""),3,FALSE),5,6),"")</f>
        <v/>
      </c>
      <c r="G100" s="78">
        <f>IFERROR(INDEX(SORT(FILTER({Master!A$4:A$174,Master!B$4:B$174,Master!I$4:I$174,Master!T$4:T$174,Master!V$4:V$174,Master!L$4:L$174,Master!BM$4:BM$174},Master!K$4:K$174="Qualified",Master!D$4:D$174="Mixed Asset / Balanced",Master!I$4:I$174&lt;&gt;""),3,FALSE),5,7),"")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IFERROR(MEDIAN(FILTER(Master!N$4:N$174,(Master!K$4:K$174="Qualified")*(Master!D$4:D$174="Fixed Income"))),"")</f>
        <v/>
      </c>
      <c r="C104" s="74">
        <f>IFERROR(MEDIAN(FILTER(Master!Q$4:Q$174,(Master!K$4:K$174="Qualified")*(Master!D$4:D$174="Fixed Income"))),"")</f>
        <v/>
      </c>
      <c r="D104" s="74">
        <f>IFERROR(MEDIAN(FILTER(Master!T$4:T$174,(Master!K$4:K$174="Qualified")*(Master!D$4:D$174="Fixed Income"))),"")</f>
        <v/>
      </c>
      <c r="E104" s="74">
        <f>IFERROR(MEDIAN(FILTER(Master!W$4:W$174,(Master!K$4:K$174="Qualified")*(Master!D$4:D$174="Fixed Income"))),"")</f>
        <v/>
      </c>
      <c r="F104" s="74">
        <f>IFERROR(MEDIAN(FILTER(Master!Z$4:Z$174,(Master!K$4:K$174="Qualified")*(Master!D$4:D$174="Fixed Income"))),"")</f>
        <v/>
      </c>
      <c r="G104" s="74">
        <f>IFERROR(MEDIAN(FILTER(Master!V$4:V$174,(Master!K$4:K$174="Qualified")*(Master!D$4:D$174="Fixed Income"))),"")</f>
        <v/>
      </c>
      <c r="H104" s="74">
        <f>IFERROR(MEDIAN(FILTER(Master!L$4:L$174,(Master!K$4:K$174="Qualified")*(Master!D$4:D$174="Fixed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IFERROR(INDEX(SORT(FILTER({Master!A$4:A$174,Master!B$4:B$174,Master!T$4:T$174,Master!V$4:V$174,Master!L$4:L$174,Master!I$4:I$174,Master!BM$4:BM$174},Master!K$4:K$174="Qualified",Master!D$4:D$174="Fixed Income",Master!T$4:T$174&lt;&gt;""),3,FALSE),1,1),"")</f>
        <v/>
      </c>
      <c r="B108" s="59">
        <f>IFERROR(INDEX(SORT(FILTER({Master!A$4:A$174,Master!B$4:B$174,Master!T$4:T$174,Master!V$4:V$174,Master!L$4:L$174,Master!I$4:I$174,Master!BM$4:BM$174},Master!K$4:K$174="Qualified",Master!D$4:D$174="Fixed Income",Master!T$4:T$174&lt;&gt;""),3,FALSE),1,2),"")</f>
        <v/>
      </c>
      <c r="C108" s="75">
        <f>IFERROR(INDEX(SORT(FILTER({Master!A$4:A$174,Master!B$4:B$174,Master!T$4:T$174,Master!V$4:V$174,Master!L$4:L$174,Master!I$4:I$174,Master!BM$4:BM$174},Master!K$4:K$174="Qualified",Master!D$4:D$174="Fixed Income",Master!T$4:T$174&lt;&gt;""),3,FALSE),1,3),"")</f>
        <v/>
      </c>
      <c r="D108" s="75">
        <f>IFERROR(INDEX(SORT(FILTER({Master!A$4:A$174,Master!B$4:B$174,Master!T$4:T$174,Master!V$4:V$174,Master!L$4:L$174,Master!I$4:I$174,Master!BM$4:BM$174},Master!K$4:K$174="Qualified",Master!D$4:D$174="Fixed Income",Master!T$4:T$174&lt;&gt;""),3,FALSE),1,4),"")</f>
        <v/>
      </c>
      <c r="E108" s="76">
        <f>IFERROR(INDEX(SORT(FILTER({Master!A$4:A$174,Master!B$4:B$174,Master!T$4:T$174,Master!V$4:V$174,Master!L$4:L$174,Master!I$4:I$174,Master!BM$4:BM$174},Master!K$4:K$174="Qualified",Master!D$4:D$174="Fixed Income",Master!T$4:T$174&lt;&gt;""),3,FALSE),1,5),"")</f>
        <v/>
      </c>
      <c r="F108" s="77">
        <f>IFERROR(INDEX(SORT(FILTER({Master!A$4:A$174,Master!B$4:B$174,Master!T$4:T$174,Master!V$4:V$174,Master!L$4:L$174,Master!I$4:I$174,Master!BM$4:BM$174},Master!K$4:K$174="Qualified",Master!D$4:D$174="Fixed Income",Master!T$4:T$174&lt;&gt;""),3,FALSE),1,6),"")</f>
        <v/>
      </c>
      <c r="G108" s="78">
        <f>IFERROR(INDEX(SORT(FILTER({Master!A$4:A$174,Master!B$4:B$174,Master!T$4:T$174,Master!V$4:V$174,Master!L$4:L$174,Master!I$4:I$174,Master!BM$4:BM$174},Master!K$4:K$174="Qualified",Master!D$4:D$174="Fixed Income",Master!T$4:T$174&lt;&gt;""),3,FALSE),1,7),"")</f>
        <v/>
      </c>
      <c r="H108" s="78" t="inlineStr"/>
    </row>
    <row r="109" ht="16" customHeight="1">
      <c r="A109" s="58">
        <f>IFERROR(INDEX(SORT(FILTER({Master!A$4:A$174,Master!B$4:B$174,Master!T$4:T$174,Master!V$4:V$174,Master!L$4:L$174,Master!I$4:I$174,Master!BM$4:BM$174},Master!K$4:K$174="Qualified",Master!D$4:D$174="Fixed Income",Master!T$4:T$174&lt;&gt;""),3,FALSE),2,1),"")</f>
        <v/>
      </c>
      <c r="B109" s="58">
        <f>IFERROR(INDEX(SORT(FILTER({Master!A$4:A$174,Master!B$4:B$174,Master!T$4:T$174,Master!V$4:V$174,Master!L$4:L$174,Master!I$4:I$174,Master!BM$4:BM$174},Master!K$4:K$174="Qualified",Master!D$4:D$174="Fixed Income",Master!T$4:T$174&lt;&gt;""),3,FALSE),2,2),"")</f>
        <v/>
      </c>
      <c r="C109" s="74">
        <f>IFERROR(INDEX(SORT(FILTER({Master!A$4:A$174,Master!B$4:B$174,Master!T$4:T$174,Master!V$4:V$174,Master!L$4:L$174,Master!I$4:I$174,Master!BM$4:BM$174},Master!K$4:K$174="Qualified",Master!D$4:D$174="Fixed Income",Master!T$4:T$174&lt;&gt;""),3,FALSE),2,3),"")</f>
        <v/>
      </c>
      <c r="D109" s="74">
        <f>IFERROR(INDEX(SORT(FILTER({Master!A$4:A$174,Master!B$4:B$174,Master!T$4:T$174,Master!V$4:V$174,Master!L$4:L$174,Master!I$4:I$174,Master!BM$4:BM$174},Master!K$4:K$174="Qualified",Master!D$4:D$174="Fixed Income",Master!T$4:T$174&lt;&gt;""),3,FALSE),2,4),"")</f>
        <v/>
      </c>
      <c r="E109" s="79">
        <f>IFERROR(INDEX(SORT(FILTER({Master!A$4:A$174,Master!B$4:B$174,Master!T$4:T$174,Master!V$4:V$174,Master!L$4:L$174,Master!I$4:I$174,Master!BM$4:BM$174},Master!K$4:K$174="Qualified",Master!D$4:D$174="Fixed Income",Master!T$4:T$174&lt;&gt;""),3,FALSE),2,5),"")</f>
        <v/>
      </c>
      <c r="F109" s="80">
        <f>IFERROR(INDEX(SORT(FILTER({Master!A$4:A$174,Master!B$4:B$174,Master!T$4:T$174,Master!V$4:V$174,Master!L$4:L$174,Master!I$4:I$174,Master!BM$4:BM$174},Master!K$4:K$174="Qualified",Master!D$4:D$174="Fixed Income",Master!T$4:T$174&lt;&gt;""),3,FALSE),2,6),"")</f>
        <v/>
      </c>
      <c r="G109" s="81">
        <f>IFERROR(INDEX(SORT(FILTER({Master!A$4:A$174,Master!B$4:B$174,Master!T$4:T$174,Master!V$4:V$174,Master!L$4:L$174,Master!I$4:I$174,Master!BM$4:BM$174},Master!K$4:K$174="Qualified",Master!D$4:D$174="Fixed Income",Master!T$4:T$174&lt;&gt;""),3,FALSE),2,7),"")</f>
        <v/>
      </c>
      <c r="H109" s="81" t="inlineStr"/>
    </row>
    <row r="110" ht="16" customHeight="1">
      <c r="A110" s="59">
        <f>IFERROR(INDEX(SORT(FILTER({Master!A$4:A$174,Master!B$4:B$174,Master!T$4:T$174,Master!V$4:V$174,Master!L$4:L$174,Master!I$4:I$174,Master!BM$4:BM$174},Master!K$4:K$174="Qualified",Master!D$4:D$174="Fixed Income",Master!T$4:T$174&lt;&gt;""),3,FALSE),3,1),"")</f>
        <v/>
      </c>
      <c r="B110" s="59">
        <f>IFERROR(INDEX(SORT(FILTER({Master!A$4:A$174,Master!B$4:B$174,Master!T$4:T$174,Master!V$4:V$174,Master!L$4:L$174,Master!I$4:I$174,Master!BM$4:BM$174},Master!K$4:K$174="Qualified",Master!D$4:D$174="Fixed Income",Master!T$4:T$174&lt;&gt;""),3,FALSE),3,2),"")</f>
        <v/>
      </c>
      <c r="C110" s="75">
        <f>IFERROR(INDEX(SORT(FILTER({Master!A$4:A$174,Master!B$4:B$174,Master!T$4:T$174,Master!V$4:V$174,Master!L$4:L$174,Master!I$4:I$174,Master!BM$4:BM$174},Master!K$4:K$174="Qualified",Master!D$4:D$174="Fixed Income",Master!T$4:T$174&lt;&gt;""),3,FALSE),3,3),"")</f>
        <v/>
      </c>
      <c r="D110" s="75">
        <f>IFERROR(INDEX(SORT(FILTER({Master!A$4:A$174,Master!B$4:B$174,Master!T$4:T$174,Master!V$4:V$174,Master!L$4:L$174,Master!I$4:I$174,Master!BM$4:BM$174},Master!K$4:K$174="Qualified",Master!D$4:D$174="Fixed Income",Master!T$4:T$174&lt;&gt;""),3,FALSE),3,4),"")</f>
        <v/>
      </c>
      <c r="E110" s="76">
        <f>IFERROR(INDEX(SORT(FILTER({Master!A$4:A$174,Master!B$4:B$174,Master!T$4:T$174,Master!V$4:V$174,Master!L$4:L$174,Master!I$4:I$174,Master!BM$4:BM$174},Master!K$4:K$174="Qualified",Master!D$4:D$174="Fixed Income",Master!T$4:T$174&lt;&gt;""),3,FALSE),3,5),"")</f>
        <v/>
      </c>
      <c r="F110" s="77">
        <f>IFERROR(INDEX(SORT(FILTER({Master!A$4:A$174,Master!B$4:B$174,Master!T$4:T$174,Master!V$4:V$174,Master!L$4:L$174,Master!I$4:I$174,Master!BM$4:BM$174},Master!K$4:K$174="Qualified",Master!D$4:D$174="Fixed Income",Master!T$4:T$174&lt;&gt;""),3,FALSE),3,6),"")</f>
        <v/>
      </c>
      <c r="G110" s="78">
        <f>IFERROR(INDEX(SORT(FILTER({Master!A$4:A$174,Master!B$4:B$174,Master!T$4:T$174,Master!V$4:V$174,Master!L$4:L$174,Master!I$4:I$174,Master!BM$4:BM$174},Master!K$4:K$174="Qualified",Master!D$4:D$174="Fixed Income",Master!T$4:T$174&lt;&gt;""),3,FALSE),3,7),"")</f>
        <v/>
      </c>
      <c r="H110" s="78" t="inlineStr"/>
    </row>
    <row r="111" ht="16" customHeight="1">
      <c r="A111" s="58">
        <f>IFERROR(INDEX(SORT(FILTER({Master!A$4:A$174,Master!B$4:B$174,Master!T$4:T$174,Master!V$4:V$174,Master!L$4:L$174,Master!I$4:I$174,Master!BM$4:BM$174},Master!K$4:K$174="Qualified",Master!D$4:D$174="Fixed Income",Master!T$4:T$174&lt;&gt;""),3,FALSE),4,1),"")</f>
        <v/>
      </c>
      <c r="B111" s="58">
        <f>IFERROR(INDEX(SORT(FILTER({Master!A$4:A$174,Master!B$4:B$174,Master!T$4:T$174,Master!V$4:V$174,Master!L$4:L$174,Master!I$4:I$174,Master!BM$4:BM$174},Master!K$4:K$174="Qualified",Master!D$4:D$174="Fixed Income",Master!T$4:T$174&lt;&gt;""),3,FALSE),4,2),"")</f>
        <v/>
      </c>
      <c r="C111" s="74">
        <f>IFERROR(INDEX(SORT(FILTER({Master!A$4:A$174,Master!B$4:B$174,Master!T$4:T$174,Master!V$4:V$174,Master!L$4:L$174,Master!I$4:I$174,Master!BM$4:BM$174},Master!K$4:K$174="Qualified",Master!D$4:D$174="Fixed Income",Master!T$4:T$174&lt;&gt;""),3,FALSE),4,3),"")</f>
        <v/>
      </c>
      <c r="D111" s="74">
        <f>IFERROR(INDEX(SORT(FILTER({Master!A$4:A$174,Master!B$4:B$174,Master!T$4:T$174,Master!V$4:V$174,Master!L$4:L$174,Master!I$4:I$174,Master!BM$4:BM$174},Master!K$4:K$174="Qualified",Master!D$4:D$174="Fixed Income",Master!T$4:T$174&lt;&gt;""),3,FALSE),4,4),"")</f>
        <v/>
      </c>
      <c r="E111" s="79">
        <f>IFERROR(INDEX(SORT(FILTER({Master!A$4:A$174,Master!B$4:B$174,Master!T$4:T$174,Master!V$4:V$174,Master!L$4:L$174,Master!I$4:I$174,Master!BM$4:BM$174},Master!K$4:K$174="Qualified",Master!D$4:D$174="Fixed Income",Master!T$4:T$174&lt;&gt;""),3,FALSE),4,5),"")</f>
        <v/>
      </c>
      <c r="F111" s="80">
        <f>IFERROR(INDEX(SORT(FILTER({Master!A$4:A$174,Master!B$4:B$174,Master!T$4:T$174,Master!V$4:V$174,Master!L$4:L$174,Master!I$4:I$174,Master!BM$4:BM$174},Master!K$4:K$174="Qualified",Master!D$4:D$174="Fixed Income",Master!T$4:T$174&lt;&gt;""),3,FALSE),4,6),"")</f>
        <v/>
      </c>
      <c r="G111" s="81">
        <f>IFERROR(INDEX(SORT(FILTER({Master!A$4:A$174,Master!B$4:B$174,Master!T$4:T$174,Master!V$4:V$174,Master!L$4:L$174,Master!I$4:I$174,Master!BM$4:BM$174},Master!K$4:K$174="Qualified",Master!D$4:D$174="Fixed Income",Master!T$4:T$174&lt;&gt;""),3,FALSE),4,7),"")</f>
        <v/>
      </c>
      <c r="H111" s="81" t="inlineStr"/>
    </row>
    <row r="112" ht="16" customHeight="1">
      <c r="A112" s="59">
        <f>IFERROR(INDEX(SORT(FILTER({Master!A$4:A$174,Master!B$4:B$174,Master!T$4:T$174,Master!V$4:V$174,Master!L$4:L$174,Master!I$4:I$174,Master!BM$4:BM$174},Master!K$4:K$174="Qualified",Master!D$4:D$174="Fixed Income",Master!T$4:T$174&lt;&gt;""),3,FALSE),5,1),"")</f>
        <v/>
      </c>
      <c r="B112" s="59">
        <f>IFERROR(INDEX(SORT(FILTER({Master!A$4:A$174,Master!B$4:B$174,Master!T$4:T$174,Master!V$4:V$174,Master!L$4:L$174,Master!I$4:I$174,Master!BM$4:BM$174},Master!K$4:K$174="Qualified",Master!D$4:D$174="Fixed Income",Master!T$4:T$174&lt;&gt;""),3,FALSE),5,2),"")</f>
        <v/>
      </c>
      <c r="C112" s="75">
        <f>IFERROR(INDEX(SORT(FILTER({Master!A$4:A$174,Master!B$4:B$174,Master!T$4:T$174,Master!V$4:V$174,Master!L$4:L$174,Master!I$4:I$174,Master!BM$4:BM$174},Master!K$4:K$174="Qualified",Master!D$4:D$174="Fixed Income",Master!T$4:T$174&lt;&gt;""),3,FALSE),5,3),"")</f>
        <v/>
      </c>
      <c r="D112" s="75">
        <f>IFERROR(INDEX(SORT(FILTER({Master!A$4:A$174,Master!B$4:B$174,Master!T$4:T$174,Master!V$4:V$174,Master!L$4:L$174,Master!I$4:I$174,Master!BM$4:BM$174},Master!K$4:K$174="Qualified",Master!D$4:D$174="Fixed Income",Master!T$4:T$174&lt;&gt;""),3,FALSE),5,4),"")</f>
        <v/>
      </c>
      <c r="E112" s="76">
        <f>IFERROR(INDEX(SORT(FILTER({Master!A$4:A$174,Master!B$4:B$174,Master!T$4:T$174,Master!V$4:V$174,Master!L$4:L$174,Master!I$4:I$174,Master!BM$4:BM$174},Master!K$4:K$174="Qualified",Master!D$4:D$174="Fixed Income",Master!T$4:T$174&lt;&gt;""),3,FALSE),5,5),"")</f>
        <v/>
      </c>
      <c r="F112" s="77">
        <f>IFERROR(INDEX(SORT(FILTER({Master!A$4:A$174,Master!B$4:B$174,Master!T$4:T$174,Master!V$4:V$174,Master!L$4:L$174,Master!I$4:I$174,Master!BM$4:BM$174},Master!K$4:K$174="Qualified",Master!D$4:D$174="Fixed Income",Master!T$4:T$174&lt;&gt;""),3,FALSE),5,6),"")</f>
        <v/>
      </c>
      <c r="G112" s="78">
        <f>IFERROR(INDEX(SORT(FILTER({Master!A$4:A$174,Master!B$4:B$174,Master!T$4:T$174,Master!V$4:V$174,Master!L$4:L$174,Master!I$4:I$174,Master!BM$4:BM$174},Master!K$4:K$174="Qualified",Master!D$4:D$174="Fixed Income",Master!T$4:T$174&lt;&gt;""),3,FALSE),5,7),"")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IFERROR(INDEX(SORT(FILTER({Master!A$4:A$174,Master!B$4:B$174,Master!T$4:T$174,Master!V$4:V$174,Master!L$4:L$174,Master!I$4:I$174,Master!BM$4:BM$174},Master!K$4:K$174="Qualified",Master!D$4:D$174="Fixed Income",Master!V$4:V$174&lt;&gt;""),4,FALSE),1,1),"")</f>
        <v/>
      </c>
      <c r="B116" s="59">
        <f>IFERROR(INDEX(SORT(FILTER({Master!A$4:A$174,Master!B$4:B$174,Master!T$4:T$174,Master!V$4:V$174,Master!L$4:L$174,Master!I$4:I$174,Master!BM$4:BM$174},Master!K$4:K$174="Qualified",Master!D$4:D$174="Fixed Income",Master!V$4:V$174&lt;&gt;""),4,FALSE),1,2),"")</f>
        <v/>
      </c>
      <c r="C116" s="75">
        <f>IFERROR(INDEX(SORT(FILTER({Master!A$4:A$174,Master!B$4:B$174,Master!T$4:T$174,Master!V$4:V$174,Master!L$4:L$174,Master!I$4:I$174,Master!BM$4:BM$174},Master!K$4:K$174="Qualified",Master!D$4:D$174="Fixed Income",Master!V$4:V$174&lt;&gt;""),4,FALSE),1,3),"")</f>
        <v/>
      </c>
      <c r="D116" s="75">
        <f>IFERROR(INDEX(SORT(FILTER({Master!A$4:A$174,Master!B$4:B$174,Master!T$4:T$174,Master!V$4:V$174,Master!L$4:L$174,Master!I$4:I$174,Master!BM$4:BM$174},Master!K$4:K$174="Qualified",Master!D$4:D$174="Fixed Income",Master!V$4:V$174&lt;&gt;""),4,FALSE),1,4),"")</f>
        <v/>
      </c>
      <c r="E116" s="76">
        <f>IFERROR(INDEX(SORT(FILTER({Master!A$4:A$174,Master!B$4:B$174,Master!T$4:T$174,Master!V$4:V$174,Master!L$4:L$174,Master!I$4:I$174,Master!BM$4:BM$174},Master!K$4:K$174="Qualified",Master!D$4:D$174="Fixed Income",Master!V$4:V$174&lt;&gt;""),4,FALSE),1,5),"")</f>
        <v/>
      </c>
      <c r="F116" s="77">
        <f>IFERROR(INDEX(SORT(FILTER({Master!A$4:A$174,Master!B$4:B$174,Master!T$4:T$174,Master!V$4:V$174,Master!L$4:L$174,Master!I$4:I$174,Master!BM$4:BM$174},Master!K$4:K$174="Qualified",Master!D$4:D$174="Fixed Income",Master!V$4:V$174&lt;&gt;""),4,FALSE),1,6),"")</f>
        <v/>
      </c>
      <c r="G116" s="78">
        <f>IFERROR(INDEX(SORT(FILTER({Master!A$4:A$174,Master!B$4:B$174,Master!T$4:T$174,Master!V$4:V$174,Master!L$4:L$174,Master!I$4:I$174,Master!BM$4:BM$174},Master!K$4:K$174="Qualified",Master!D$4:D$174="Fixed Income",Master!V$4:V$174&lt;&gt;""),4,FALSE),1,7),"")</f>
        <v/>
      </c>
      <c r="H116" s="78" t="inlineStr"/>
    </row>
    <row r="117" ht="16" customHeight="1">
      <c r="A117" s="58">
        <f>IFERROR(INDEX(SORT(FILTER({Master!A$4:A$174,Master!B$4:B$174,Master!T$4:T$174,Master!V$4:V$174,Master!L$4:L$174,Master!I$4:I$174,Master!BM$4:BM$174},Master!K$4:K$174="Qualified",Master!D$4:D$174="Fixed Income",Master!V$4:V$174&lt;&gt;""),4,FALSE),2,1),"")</f>
        <v/>
      </c>
      <c r="B117" s="58">
        <f>IFERROR(INDEX(SORT(FILTER({Master!A$4:A$174,Master!B$4:B$174,Master!T$4:T$174,Master!V$4:V$174,Master!L$4:L$174,Master!I$4:I$174,Master!BM$4:BM$174},Master!K$4:K$174="Qualified",Master!D$4:D$174="Fixed Income",Master!V$4:V$174&lt;&gt;""),4,FALSE),2,2),"")</f>
        <v/>
      </c>
      <c r="C117" s="74">
        <f>IFERROR(INDEX(SORT(FILTER({Master!A$4:A$174,Master!B$4:B$174,Master!T$4:T$174,Master!V$4:V$174,Master!L$4:L$174,Master!I$4:I$174,Master!BM$4:BM$174},Master!K$4:K$174="Qualified",Master!D$4:D$174="Fixed Income",Master!V$4:V$174&lt;&gt;""),4,FALSE),2,3),"")</f>
        <v/>
      </c>
      <c r="D117" s="74">
        <f>IFERROR(INDEX(SORT(FILTER({Master!A$4:A$174,Master!B$4:B$174,Master!T$4:T$174,Master!V$4:V$174,Master!L$4:L$174,Master!I$4:I$174,Master!BM$4:BM$174},Master!K$4:K$174="Qualified",Master!D$4:D$174="Fixed Income",Master!V$4:V$174&lt;&gt;""),4,FALSE),2,4),"")</f>
        <v/>
      </c>
      <c r="E117" s="79">
        <f>IFERROR(INDEX(SORT(FILTER({Master!A$4:A$174,Master!B$4:B$174,Master!T$4:T$174,Master!V$4:V$174,Master!L$4:L$174,Master!I$4:I$174,Master!BM$4:BM$174},Master!K$4:K$174="Qualified",Master!D$4:D$174="Fixed Income",Master!V$4:V$174&lt;&gt;""),4,FALSE),2,5),"")</f>
        <v/>
      </c>
      <c r="F117" s="80">
        <f>IFERROR(INDEX(SORT(FILTER({Master!A$4:A$174,Master!B$4:B$174,Master!T$4:T$174,Master!V$4:V$174,Master!L$4:L$174,Master!I$4:I$174,Master!BM$4:BM$174},Master!K$4:K$174="Qualified",Master!D$4:D$174="Fixed Income",Master!V$4:V$174&lt;&gt;""),4,FALSE),2,6),"")</f>
        <v/>
      </c>
      <c r="G117" s="81">
        <f>IFERROR(INDEX(SORT(FILTER({Master!A$4:A$174,Master!B$4:B$174,Master!T$4:T$174,Master!V$4:V$174,Master!L$4:L$174,Master!I$4:I$174,Master!BM$4:BM$174},Master!K$4:K$174="Qualified",Master!D$4:D$174="Fixed Income",Master!V$4:V$174&lt;&gt;""),4,FALSE),2,7),"")</f>
        <v/>
      </c>
      <c r="H117" s="81" t="inlineStr"/>
    </row>
    <row r="118" ht="16" customHeight="1">
      <c r="A118" s="59">
        <f>IFERROR(INDEX(SORT(FILTER({Master!A$4:A$174,Master!B$4:B$174,Master!T$4:T$174,Master!V$4:V$174,Master!L$4:L$174,Master!I$4:I$174,Master!BM$4:BM$174},Master!K$4:K$174="Qualified",Master!D$4:D$174="Fixed Income",Master!V$4:V$174&lt;&gt;""),4,FALSE),3,1),"")</f>
        <v/>
      </c>
      <c r="B118" s="59">
        <f>IFERROR(INDEX(SORT(FILTER({Master!A$4:A$174,Master!B$4:B$174,Master!T$4:T$174,Master!V$4:V$174,Master!L$4:L$174,Master!I$4:I$174,Master!BM$4:BM$174},Master!K$4:K$174="Qualified",Master!D$4:D$174="Fixed Income",Master!V$4:V$174&lt;&gt;""),4,FALSE),3,2),"")</f>
        <v/>
      </c>
      <c r="C118" s="75">
        <f>IFERROR(INDEX(SORT(FILTER({Master!A$4:A$174,Master!B$4:B$174,Master!T$4:T$174,Master!V$4:V$174,Master!L$4:L$174,Master!I$4:I$174,Master!BM$4:BM$174},Master!K$4:K$174="Qualified",Master!D$4:D$174="Fixed Income",Master!V$4:V$174&lt;&gt;""),4,FALSE),3,3),"")</f>
        <v/>
      </c>
      <c r="D118" s="75">
        <f>IFERROR(INDEX(SORT(FILTER({Master!A$4:A$174,Master!B$4:B$174,Master!T$4:T$174,Master!V$4:V$174,Master!L$4:L$174,Master!I$4:I$174,Master!BM$4:BM$174},Master!K$4:K$174="Qualified",Master!D$4:D$174="Fixed Income",Master!V$4:V$174&lt;&gt;""),4,FALSE),3,4),"")</f>
        <v/>
      </c>
      <c r="E118" s="76">
        <f>IFERROR(INDEX(SORT(FILTER({Master!A$4:A$174,Master!B$4:B$174,Master!T$4:T$174,Master!V$4:V$174,Master!L$4:L$174,Master!I$4:I$174,Master!BM$4:BM$174},Master!K$4:K$174="Qualified",Master!D$4:D$174="Fixed Income",Master!V$4:V$174&lt;&gt;""),4,FALSE),3,5),"")</f>
        <v/>
      </c>
      <c r="F118" s="77">
        <f>IFERROR(INDEX(SORT(FILTER({Master!A$4:A$174,Master!B$4:B$174,Master!T$4:T$174,Master!V$4:V$174,Master!L$4:L$174,Master!I$4:I$174,Master!BM$4:BM$174},Master!K$4:K$174="Qualified",Master!D$4:D$174="Fixed Income",Master!V$4:V$174&lt;&gt;""),4,FALSE),3,6),"")</f>
        <v/>
      </c>
      <c r="G118" s="78">
        <f>IFERROR(INDEX(SORT(FILTER({Master!A$4:A$174,Master!B$4:B$174,Master!T$4:T$174,Master!V$4:V$174,Master!L$4:L$174,Master!I$4:I$174,Master!BM$4:BM$174},Master!K$4:K$174="Qualified",Master!D$4:D$174="Fixed Income",Master!V$4:V$174&lt;&gt;""),4,FALSE),3,7),"")</f>
        <v/>
      </c>
      <c r="H118" s="78" t="inlineStr"/>
    </row>
    <row r="119" ht="16" customHeight="1">
      <c r="A119" s="58">
        <f>IFERROR(INDEX(SORT(FILTER({Master!A$4:A$174,Master!B$4:B$174,Master!T$4:T$174,Master!V$4:V$174,Master!L$4:L$174,Master!I$4:I$174,Master!BM$4:BM$174},Master!K$4:K$174="Qualified",Master!D$4:D$174="Fixed Income",Master!V$4:V$174&lt;&gt;""),4,FALSE),4,1),"")</f>
        <v/>
      </c>
      <c r="B119" s="58">
        <f>IFERROR(INDEX(SORT(FILTER({Master!A$4:A$174,Master!B$4:B$174,Master!T$4:T$174,Master!V$4:V$174,Master!L$4:L$174,Master!I$4:I$174,Master!BM$4:BM$174},Master!K$4:K$174="Qualified",Master!D$4:D$174="Fixed Income",Master!V$4:V$174&lt;&gt;""),4,FALSE),4,2),"")</f>
        <v/>
      </c>
      <c r="C119" s="74">
        <f>IFERROR(INDEX(SORT(FILTER({Master!A$4:A$174,Master!B$4:B$174,Master!T$4:T$174,Master!V$4:V$174,Master!L$4:L$174,Master!I$4:I$174,Master!BM$4:BM$174},Master!K$4:K$174="Qualified",Master!D$4:D$174="Fixed Income",Master!V$4:V$174&lt;&gt;""),4,FALSE),4,3),"")</f>
        <v/>
      </c>
      <c r="D119" s="74">
        <f>IFERROR(INDEX(SORT(FILTER({Master!A$4:A$174,Master!B$4:B$174,Master!T$4:T$174,Master!V$4:V$174,Master!L$4:L$174,Master!I$4:I$174,Master!BM$4:BM$174},Master!K$4:K$174="Qualified",Master!D$4:D$174="Fixed Income",Master!V$4:V$174&lt;&gt;""),4,FALSE),4,4),"")</f>
        <v/>
      </c>
      <c r="E119" s="79">
        <f>IFERROR(INDEX(SORT(FILTER({Master!A$4:A$174,Master!B$4:B$174,Master!T$4:T$174,Master!V$4:V$174,Master!L$4:L$174,Master!I$4:I$174,Master!BM$4:BM$174},Master!K$4:K$174="Qualified",Master!D$4:D$174="Fixed Income",Master!V$4:V$174&lt;&gt;""),4,FALSE),4,5),"")</f>
        <v/>
      </c>
      <c r="F119" s="80">
        <f>IFERROR(INDEX(SORT(FILTER({Master!A$4:A$174,Master!B$4:B$174,Master!T$4:T$174,Master!V$4:V$174,Master!L$4:L$174,Master!I$4:I$174,Master!BM$4:BM$174},Master!K$4:K$174="Qualified",Master!D$4:D$174="Fixed Income",Master!V$4:V$174&lt;&gt;""),4,FALSE),4,6),"")</f>
        <v/>
      </c>
      <c r="G119" s="81">
        <f>IFERROR(INDEX(SORT(FILTER({Master!A$4:A$174,Master!B$4:B$174,Master!T$4:T$174,Master!V$4:V$174,Master!L$4:L$174,Master!I$4:I$174,Master!BM$4:BM$174},Master!K$4:K$174="Qualified",Master!D$4:D$174="Fixed Income",Master!V$4:V$174&lt;&gt;""),4,FALSE),4,7),"")</f>
        <v/>
      </c>
      <c r="H119" s="81" t="inlineStr"/>
    </row>
    <row r="120" ht="16" customHeight="1">
      <c r="A120" s="59">
        <f>IFERROR(INDEX(SORT(FILTER({Master!A$4:A$174,Master!B$4:B$174,Master!T$4:T$174,Master!V$4:V$174,Master!L$4:L$174,Master!I$4:I$174,Master!BM$4:BM$174},Master!K$4:K$174="Qualified",Master!D$4:D$174="Fixed Income",Master!V$4:V$174&lt;&gt;""),4,FALSE),5,1),"")</f>
        <v/>
      </c>
      <c r="B120" s="59">
        <f>IFERROR(INDEX(SORT(FILTER({Master!A$4:A$174,Master!B$4:B$174,Master!T$4:T$174,Master!V$4:V$174,Master!L$4:L$174,Master!I$4:I$174,Master!BM$4:BM$174},Master!K$4:K$174="Qualified",Master!D$4:D$174="Fixed Income",Master!V$4:V$174&lt;&gt;""),4,FALSE),5,2),"")</f>
        <v/>
      </c>
      <c r="C120" s="75">
        <f>IFERROR(INDEX(SORT(FILTER({Master!A$4:A$174,Master!B$4:B$174,Master!T$4:T$174,Master!V$4:V$174,Master!L$4:L$174,Master!I$4:I$174,Master!BM$4:BM$174},Master!K$4:K$174="Qualified",Master!D$4:D$174="Fixed Income",Master!V$4:V$174&lt;&gt;""),4,FALSE),5,3),"")</f>
        <v/>
      </c>
      <c r="D120" s="75">
        <f>IFERROR(INDEX(SORT(FILTER({Master!A$4:A$174,Master!B$4:B$174,Master!T$4:T$174,Master!V$4:V$174,Master!L$4:L$174,Master!I$4:I$174,Master!BM$4:BM$174},Master!K$4:K$174="Qualified",Master!D$4:D$174="Fixed Income",Master!V$4:V$174&lt;&gt;""),4,FALSE),5,4),"")</f>
        <v/>
      </c>
      <c r="E120" s="76">
        <f>IFERROR(INDEX(SORT(FILTER({Master!A$4:A$174,Master!B$4:B$174,Master!T$4:T$174,Master!V$4:V$174,Master!L$4:L$174,Master!I$4:I$174,Master!BM$4:BM$174},Master!K$4:K$174="Qualified",Master!D$4:D$174="Fixed Income",Master!V$4:V$174&lt;&gt;""),4,FALSE),5,5),"")</f>
        <v/>
      </c>
      <c r="F120" s="77">
        <f>IFERROR(INDEX(SORT(FILTER({Master!A$4:A$174,Master!B$4:B$174,Master!T$4:T$174,Master!V$4:V$174,Master!L$4:L$174,Master!I$4:I$174,Master!BM$4:BM$174},Master!K$4:K$174="Qualified",Master!D$4:D$174="Fixed Income",Master!V$4:V$174&lt;&gt;""),4,FALSE),5,6),"")</f>
        <v/>
      </c>
      <c r="G120" s="78">
        <f>IFERROR(INDEX(SORT(FILTER({Master!A$4:A$174,Master!B$4:B$174,Master!T$4:T$174,Master!V$4:V$174,Master!L$4:L$174,Master!I$4:I$174,Master!BM$4:BM$174},Master!K$4:K$174="Qualified",Master!D$4:D$174="Fixed Income",Master!V$4:V$174&lt;&gt;""),4,FALSE),5,7),"")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IFERROR(INDEX(SORT(FILTER({Master!A$4:A$174,Master!B$4:B$174,Master!AE$4:AE$174,Master!V$4:V$174,Master!L$4:L$174,Master!I$4:I$174,Master!BM$4:BM$174},Master!K$4:K$174="Qualified",Master!D$4:D$174="Fixed Income",Master!AE$4:AE$174&lt;&gt;""),3,FALSE),1,1),"")</f>
        <v/>
      </c>
      <c r="B124" s="59">
        <f>IFERROR(INDEX(SORT(FILTER({Master!A$4:A$174,Master!B$4:B$174,Master!AE$4:AE$174,Master!V$4:V$174,Master!L$4:L$174,Master!I$4:I$174,Master!BM$4:BM$174},Master!K$4:K$174="Qualified",Master!D$4:D$174="Fixed Income",Master!AE$4:AE$174&lt;&gt;""),3,FALSE),1,2),"")</f>
        <v/>
      </c>
      <c r="C124" s="75">
        <f>IFERROR(INDEX(SORT(FILTER({Master!A$4:A$174,Master!B$4:B$174,Master!AE$4:AE$174,Master!V$4:V$174,Master!L$4:L$174,Master!I$4:I$174,Master!BM$4:BM$174},Master!K$4:K$174="Qualified",Master!D$4:D$174="Fixed Income",Master!AE$4:AE$174&lt;&gt;""),3,FALSE),1,3),"")</f>
        <v/>
      </c>
      <c r="D124" s="75">
        <f>IFERROR(INDEX(SORT(FILTER({Master!A$4:A$174,Master!B$4:B$174,Master!AE$4:AE$174,Master!V$4:V$174,Master!L$4:L$174,Master!I$4:I$174,Master!BM$4:BM$174},Master!K$4:K$174="Qualified",Master!D$4:D$174="Fixed Income",Master!AE$4:AE$174&lt;&gt;""),3,FALSE),1,4),"")</f>
        <v/>
      </c>
      <c r="E124" s="76">
        <f>IFERROR(INDEX(SORT(FILTER({Master!A$4:A$174,Master!B$4:B$174,Master!AE$4:AE$174,Master!V$4:V$174,Master!L$4:L$174,Master!I$4:I$174,Master!BM$4:BM$174},Master!K$4:K$174="Qualified",Master!D$4:D$174="Fixed Income",Master!AE$4:AE$174&lt;&gt;""),3,FALSE),1,5),"")</f>
        <v/>
      </c>
      <c r="F124" s="77">
        <f>IFERROR(INDEX(SORT(FILTER({Master!A$4:A$174,Master!B$4:B$174,Master!AE$4:AE$174,Master!V$4:V$174,Master!L$4:L$174,Master!I$4:I$174,Master!BM$4:BM$174},Master!K$4:K$174="Qualified",Master!D$4:D$174="Fixed Income",Master!AE$4:AE$174&lt;&gt;""),3,FALSE),1,6),"")</f>
        <v/>
      </c>
      <c r="G124" s="78">
        <f>IFERROR(INDEX(SORT(FILTER({Master!A$4:A$174,Master!B$4:B$174,Master!AE$4:AE$174,Master!V$4:V$174,Master!L$4:L$174,Master!I$4:I$174,Master!BM$4:BM$174},Master!K$4:K$174="Qualified",Master!D$4:D$174="Fixed Income",Master!AE$4:AE$174&lt;&gt;""),3,FALSE),1,7),"")</f>
        <v/>
      </c>
      <c r="H124" s="78" t="inlineStr"/>
    </row>
    <row r="125" ht="16" customHeight="1">
      <c r="A125" s="58">
        <f>IFERROR(INDEX(SORT(FILTER({Master!A$4:A$174,Master!B$4:B$174,Master!AE$4:AE$174,Master!V$4:V$174,Master!L$4:L$174,Master!I$4:I$174,Master!BM$4:BM$174},Master!K$4:K$174="Qualified",Master!D$4:D$174="Fixed Income",Master!AE$4:AE$174&lt;&gt;""),3,FALSE),2,1),"")</f>
        <v/>
      </c>
      <c r="B125" s="58">
        <f>IFERROR(INDEX(SORT(FILTER({Master!A$4:A$174,Master!B$4:B$174,Master!AE$4:AE$174,Master!V$4:V$174,Master!L$4:L$174,Master!I$4:I$174,Master!BM$4:BM$174},Master!K$4:K$174="Qualified",Master!D$4:D$174="Fixed Income",Master!AE$4:AE$174&lt;&gt;""),3,FALSE),2,2),"")</f>
        <v/>
      </c>
      <c r="C125" s="74">
        <f>IFERROR(INDEX(SORT(FILTER({Master!A$4:A$174,Master!B$4:B$174,Master!AE$4:AE$174,Master!V$4:V$174,Master!L$4:L$174,Master!I$4:I$174,Master!BM$4:BM$174},Master!K$4:K$174="Qualified",Master!D$4:D$174="Fixed Income",Master!AE$4:AE$174&lt;&gt;""),3,FALSE),2,3),"")</f>
        <v/>
      </c>
      <c r="D125" s="74">
        <f>IFERROR(INDEX(SORT(FILTER({Master!A$4:A$174,Master!B$4:B$174,Master!AE$4:AE$174,Master!V$4:V$174,Master!L$4:L$174,Master!I$4:I$174,Master!BM$4:BM$174},Master!K$4:K$174="Qualified",Master!D$4:D$174="Fixed Income",Master!AE$4:AE$174&lt;&gt;""),3,FALSE),2,4),"")</f>
        <v/>
      </c>
      <c r="E125" s="79">
        <f>IFERROR(INDEX(SORT(FILTER({Master!A$4:A$174,Master!B$4:B$174,Master!AE$4:AE$174,Master!V$4:V$174,Master!L$4:L$174,Master!I$4:I$174,Master!BM$4:BM$174},Master!K$4:K$174="Qualified",Master!D$4:D$174="Fixed Income",Master!AE$4:AE$174&lt;&gt;""),3,FALSE),2,5),"")</f>
        <v/>
      </c>
      <c r="F125" s="80">
        <f>IFERROR(INDEX(SORT(FILTER({Master!A$4:A$174,Master!B$4:B$174,Master!AE$4:AE$174,Master!V$4:V$174,Master!L$4:L$174,Master!I$4:I$174,Master!BM$4:BM$174},Master!K$4:K$174="Qualified",Master!D$4:D$174="Fixed Income",Master!AE$4:AE$174&lt;&gt;""),3,FALSE),2,6),"")</f>
        <v/>
      </c>
      <c r="G125" s="81">
        <f>IFERROR(INDEX(SORT(FILTER({Master!A$4:A$174,Master!B$4:B$174,Master!AE$4:AE$174,Master!V$4:V$174,Master!L$4:L$174,Master!I$4:I$174,Master!BM$4:BM$174},Master!K$4:K$174="Qualified",Master!D$4:D$174="Fixed Income",Master!AE$4:AE$174&lt;&gt;""),3,FALSE),2,7),"")</f>
        <v/>
      </c>
      <c r="H125" s="81" t="inlineStr"/>
    </row>
    <row r="126" ht="16" customHeight="1">
      <c r="A126" s="59">
        <f>IFERROR(INDEX(SORT(FILTER({Master!A$4:A$174,Master!B$4:B$174,Master!AE$4:AE$174,Master!V$4:V$174,Master!L$4:L$174,Master!I$4:I$174,Master!BM$4:BM$174},Master!K$4:K$174="Qualified",Master!D$4:D$174="Fixed Income",Master!AE$4:AE$174&lt;&gt;""),3,FALSE),3,1),"")</f>
        <v/>
      </c>
      <c r="B126" s="59">
        <f>IFERROR(INDEX(SORT(FILTER({Master!A$4:A$174,Master!B$4:B$174,Master!AE$4:AE$174,Master!V$4:V$174,Master!L$4:L$174,Master!I$4:I$174,Master!BM$4:BM$174},Master!K$4:K$174="Qualified",Master!D$4:D$174="Fixed Income",Master!AE$4:AE$174&lt;&gt;""),3,FALSE),3,2),"")</f>
        <v/>
      </c>
      <c r="C126" s="75">
        <f>IFERROR(INDEX(SORT(FILTER({Master!A$4:A$174,Master!B$4:B$174,Master!AE$4:AE$174,Master!V$4:V$174,Master!L$4:L$174,Master!I$4:I$174,Master!BM$4:BM$174},Master!K$4:K$174="Qualified",Master!D$4:D$174="Fixed Income",Master!AE$4:AE$174&lt;&gt;""),3,FALSE),3,3),"")</f>
        <v/>
      </c>
      <c r="D126" s="75">
        <f>IFERROR(INDEX(SORT(FILTER({Master!A$4:A$174,Master!B$4:B$174,Master!AE$4:AE$174,Master!V$4:V$174,Master!L$4:L$174,Master!I$4:I$174,Master!BM$4:BM$174},Master!K$4:K$174="Qualified",Master!D$4:D$174="Fixed Income",Master!AE$4:AE$174&lt;&gt;""),3,FALSE),3,4),"")</f>
        <v/>
      </c>
      <c r="E126" s="76">
        <f>IFERROR(INDEX(SORT(FILTER({Master!A$4:A$174,Master!B$4:B$174,Master!AE$4:AE$174,Master!V$4:V$174,Master!L$4:L$174,Master!I$4:I$174,Master!BM$4:BM$174},Master!K$4:K$174="Qualified",Master!D$4:D$174="Fixed Income",Master!AE$4:AE$174&lt;&gt;""),3,FALSE),3,5),"")</f>
        <v/>
      </c>
      <c r="F126" s="77">
        <f>IFERROR(INDEX(SORT(FILTER({Master!A$4:A$174,Master!B$4:B$174,Master!AE$4:AE$174,Master!V$4:V$174,Master!L$4:L$174,Master!I$4:I$174,Master!BM$4:BM$174},Master!K$4:K$174="Qualified",Master!D$4:D$174="Fixed Income",Master!AE$4:AE$174&lt;&gt;""),3,FALSE),3,6),"")</f>
        <v/>
      </c>
      <c r="G126" s="78">
        <f>IFERROR(INDEX(SORT(FILTER({Master!A$4:A$174,Master!B$4:B$174,Master!AE$4:AE$174,Master!V$4:V$174,Master!L$4:L$174,Master!I$4:I$174,Master!BM$4:BM$174},Master!K$4:K$174="Qualified",Master!D$4:D$174="Fixed Income",Master!AE$4:AE$174&lt;&gt;""),3,FALSE),3,7),"")</f>
        <v/>
      </c>
      <c r="H126" s="78" t="inlineStr"/>
    </row>
    <row r="127" ht="16" customHeight="1">
      <c r="A127" s="58">
        <f>IFERROR(INDEX(SORT(FILTER({Master!A$4:A$174,Master!B$4:B$174,Master!AE$4:AE$174,Master!V$4:V$174,Master!L$4:L$174,Master!I$4:I$174,Master!BM$4:BM$174},Master!K$4:K$174="Qualified",Master!D$4:D$174="Fixed Income",Master!AE$4:AE$174&lt;&gt;""),3,FALSE),4,1),"")</f>
        <v/>
      </c>
      <c r="B127" s="58">
        <f>IFERROR(INDEX(SORT(FILTER({Master!A$4:A$174,Master!B$4:B$174,Master!AE$4:AE$174,Master!V$4:V$174,Master!L$4:L$174,Master!I$4:I$174,Master!BM$4:BM$174},Master!K$4:K$174="Qualified",Master!D$4:D$174="Fixed Income",Master!AE$4:AE$174&lt;&gt;""),3,FALSE),4,2),"")</f>
        <v/>
      </c>
      <c r="C127" s="74">
        <f>IFERROR(INDEX(SORT(FILTER({Master!A$4:A$174,Master!B$4:B$174,Master!AE$4:AE$174,Master!V$4:V$174,Master!L$4:L$174,Master!I$4:I$174,Master!BM$4:BM$174},Master!K$4:K$174="Qualified",Master!D$4:D$174="Fixed Income",Master!AE$4:AE$174&lt;&gt;""),3,FALSE),4,3),"")</f>
        <v/>
      </c>
      <c r="D127" s="74">
        <f>IFERROR(INDEX(SORT(FILTER({Master!A$4:A$174,Master!B$4:B$174,Master!AE$4:AE$174,Master!V$4:V$174,Master!L$4:L$174,Master!I$4:I$174,Master!BM$4:BM$174},Master!K$4:K$174="Qualified",Master!D$4:D$174="Fixed Income",Master!AE$4:AE$174&lt;&gt;""),3,FALSE),4,4),"")</f>
        <v/>
      </c>
      <c r="E127" s="79">
        <f>IFERROR(INDEX(SORT(FILTER({Master!A$4:A$174,Master!B$4:B$174,Master!AE$4:AE$174,Master!V$4:V$174,Master!L$4:L$174,Master!I$4:I$174,Master!BM$4:BM$174},Master!K$4:K$174="Qualified",Master!D$4:D$174="Fixed Income",Master!AE$4:AE$174&lt;&gt;""),3,FALSE),4,5),"")</f>
        <v/>
      </c>
      <c r="F127" s="80">
        <f>IFERROR(INDEX(SORT(FILTER({Master!A$4:A$174,Master!B$4:B$174,Master!AE$4:AE$174,Master!V$4:V$174,Master!L$4:L$174,Master!I$4:I$174,Master!BM$4:BM$174},Master!K$4:K$174="Qualified",Master!D$4:D$174="Fixed Income",Master!AE$4:AE$174&lt;&gt;""),3,FALSE),4,6),"")</f>
        <v/>
      </c>
      <c r="G127" s="81">
        <f>IFERROR(INDEX(SORT(FILTER({Master!A$4:A$174,Master!B$4:B$174,Master!AE$4:AE$174,Master!V$4:V$174,Master!L$4:L$174,Master!I$4:I$174,Master!BM$4:BM$174},Master!K$4:K$174="Qualified",Master!D$4:D$174="Fixed Income",Master!AE$4:AE$174&lt;&gt;""),3,FALSE),4,7),"")</f>
        <v/>
      </c>
      <c r="H127" s="81" t="inlineStr"/>
    </row>
    <row r="128" ht="16" customHeight="1">
      <c r="A128" s="59">
        <f>IFERROR(INDEX(SORT(FILTER({Master!A$4:A$174,Master!B$4:B$174,Master!AE$4:AE$174,Master!V$4:V$174,Master!L$4:L$174,Master!I$4:I$174,Master!BM$4:BM$174},Master!K$4:K$174="Qualified",Master!D$4:D$174="Fixed Income",Master!AE$4:AE$174&lt;&gt;""),3,FALSE),5,1),"")</f>
        <v/>
      </c>
      <c r="B128" s="59">
        <f>IFERROR(INDEX(SORT(FILTER({Master!A$4:A$174,Master!B$4:B$174,Master!AE$4:AE$174,Master!V$4:V$174,Master!L$4:L$174,Master!I$4:I$174,Master!BM$4:BM$174},Master!K$4:K$174="Qualified",Master!D$4:D$174="Fixed Income",Master!AE$4:AE$174&lt;&gt;""),3,FALSE),5,2),"")</f>
        <v/>
      </c>
      <c r="C128" s="75">
        <f>IFERROR(INDEX(SORT(FILTER({Master!A$4:A$174,Master!B$4:B$174,Master!AE$4:AE$174,Master!V$4:V$174,Master!L$4:L$174,Master!I$4:I$174,Master!BM$4:BM$174},Master!K$4:K$174="Qualified",Master!D$4:D$174="Fixed Income",Master!AE$4:AE$174&lt;&gt;""),3,FALSE),5,3),"")</f>
        <v/>
      </c>
      <c r="D128" s="75">
        <f>IFERROR(INDEX(SORT(FILTER({Master!A$4:A$174,Master!B$4:B$174,Master!AE$4:AE$174,Master!V$4:V$174,Master!L$4:L$174,Master!I$4:I$174,Master!BM$4:BM$174},Master!K$4:K$174="Qualified",Master!D$4:D$174="Fixed Income",Master!AE$4:AE$174&lt;&gt;""),3,FALSE),5,4),"")</f>
        <v/>
      </c>
      <c r="E128" s="76">
        <f>IFERROR(INDEX(SORT(FILTER({Master!A$4:A$174,Master!B$4:B$174,Master!AE$4:AE$174,Master!V$4:V$174,Master!L$4:L$174,Master!I$4:I$174,Master!BM$4:BM$174},Master!K$4:K$174="Qualified",Master!D$4:D$174="Fixed Income",Master!AE$4:AE$174&lt;&gt;""),3,FALSE),5,5),"")</f>
        <v/>
      </c>
      <c r="F128" s="77">
        <f>IFERROR(INDEX(SORT(FILTER({Master!A$4:A$174,Master!B$4:B$174,Master!AE$4:AE$174,Master!V$4:V$174,Master!L$4:L$174,Master!I$4:I$174,Master!BM$4:BM$174},Master!K$4:K$174="Qualified",Master!D$4:D$174="Fixed Income",Master!AE$4:AE$174&lt;&gt;""),3,FALSE),5,6),"")</f>
        <v/>
      </c>
      <c r="G128" s="78">
        <f>IFERROR(INDEX(SORT(FILTER({Master!A$4:A$174,Master!B$4:B$174,Master!AE$4:AE$174,Master!V$4:V$174,Master!L$4:L$174,Master!I$4:I$174,Master!BM$4:BM$174},Master!K$4:K$174="Qualified",Master!D$4:D$174="Fixed Income",Master!AE$4:AE$174&lt;&gt;""),3,FALSE),5,7),"")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IFERROR(INDEX(SORT(FILTER({Master!A$4:A$174,Master!B$4:B$174,Master!I$4:I$174,Master!T$4:T$174,Master!V$4:V$174,Master!L$4:L$174,Master!BM$4:BM$174},Master!K$4:K$174="Qualified",Master!D$4:D$174="Fixed Income",Master!I$4:I$174&lt;&gt;""),3,FALSE),1,1),"")</f>
        <v/>
      </c>
      <c r="B132" s="59">
        <f>IFERROR(INDEX(SORT(FILTER({Master!A$4:A$174,Master!B$4:B$174,Master!I$4:I$174,Master!T$4:T$174,Master!V$4:V$174,Master!L$4:L$174,Master!BM$4:BM$174},Master!K$4:K$174="Qualified",Master!D$4:D$174="Fixed Income",Master!I$4:I$174&lt;&gt;""),3,FALSE),1,2),"")</f>
        <v/>
      </c>
      <c r="C132" s="77">
        <f>IFERROR(INDEX(SORT(FILTER({Master!A$4:A$174,Master!B$4:B$174,Master!I$4:I$174,Master!T$4:T$174,Master!V$4:V$174,Master!L$4:L$174,Master!BM$4:BM$174},Master!K$4:K$174="Qualified",Master!D$4:D$174="Fixed Income",Master!I$4:I$174&lt;&gt;""),3,FALSE),1,3),"")</f>
        <v/>
      </c>
      <c r="D132" s="75">
        <f>IFERROR(INDEX(SORT(FILTER({Master!A$4:A$174,Master!B$4:B$174,Master!I$4:I$174,Master!T$4:T$174,Master!V$4:V$174,Master!L$4:L$174,Master!BM$4:BM$174},Master!K$4:K$174="Qualified",Master!D$4:D$174="Fixed Income",Master!I$4:I$174&lt;&gt;""),3,FALSE),1,4),"")</f>
        <v/>
      </c>
      <c r="E132" s="75">
        <f>IFERROR(INDEX(SORT(FILTER({Master!A$4:A$174,Master!B$4:B$174,Master!I$4:I$174,Master!T$4:T$174,Master!V$4:V$174,Master!L$4:L$174,Master!BM$4:BM$174},Master!K$4:K$174="Qualified",Master!D$4:D$174="Fixed Income",Master!I$4:I$174&lt;&gt;""),3,FALSE),1,5),"")</f>
        <v/>
      </c>
      <c r="F132" s="76">
        <f>IFERROR(INDEX(SORT(FILTER({Master!A$4:A$174,Master!B$4:B$174,Master!I$4:I$174,Master!T$4:T$174,Master!V$4:V$174,Master!L$4:L$174,Master!BM$4:BM$174},Master!K$4:K$174="Qualified",Master!D$4:D$174="Fixed Income",Master!I$4:I$174&lt;&gt;""),3,FALSE),1,6),"")</f>
        <v/>
      </c>
      <c r="G132" s="78">
        <f>IFERROR(INDEX(SORT(FILTER({Master!A$4:A$174,Master!B$4:B$174,Master!I$4:I$174,Master!T$4:T$174,Master!V$4:V$174,Master!L$4:L$174,Master!BM$4:BM$174},Master!K$4:K$174="Qualified",Master!D$4:D$174="Fixed Income",Master!I$4:I$174&lt;&gt;""),3,FALSE),1,7),"")</f>
        <v/>
      </c>
      <c r="H132" s="78" t="inlineStr"/>
    </row>
    <row r="133" ht="16" customHeight="1">
      <c r="A133" s="58">
        <f>IFERROR(INDEX(SORT(FILTER({Master!A$4:A$174,Master!B$4:B$174,Master!I$4:I$174,Master!T$4:T$174,Master!V$4:V$174,Master!L$4:L$174,Master!BM$4:BM$174},Master!K$4:K$174="Qualified",Master!D$4:D$174="Fixed Income",Master!I$4:I$174&lt;&gt;""),3,FALSE),2,1),"")</f>
        <v/>
      </c>
      <c r="B133" s="58">
        <f>IFERROR(INDEX(SORT(FILTER({Master!A$4:A$174,Master!B$4:B$174,Master!I$4:I$174,Master!T$4:T$174,Master!V$4:V$174,Master!L$4:L$174,Master!BM$4:BM$174},Master!K$4:K$174="Qualified",Master!D$4:D$174="Fixed Income",Master!I$4:I$174&lt;&gt;""),3,FALSE),2,2),"")</f>
        <v/>
      </c>
      <c r="C133" s="80">
        <f>IFERROR(INDEX(SORT(FILTER({Master!A$4:A$174,Master!B$4:B$174,Master!I$4:I$174,Master!T$4:T$174,Master!V$4:V$174,Master!L$4:L$174,Master!BM$4:BM$174},Master!K$4:K$174="Qualified",Master!D$4:D$174="Fixed Income",Master!I$4:I$174&lt;&gt;""),3,FALSE),2,3),"")</f>
        <v/>
      </c>
      <c r="D133" s="74">
        <f>IFERROR(INDEX(SORT(FILTER({Master!A$4:A$174,Master!B$4:B$174,Master!I$4:I$174,Master!T$4:T$174,Master!V$4:V$174,Master!L$4:L$174,Master!BM$4:BM$174},Master!K$4:K$174="Qualified",Master!D$4:D$174="Fixed Income",Master!I$4:I$174&lt;&gt;""),3,FALSE),2,4),"")</f>
        <v/>
      </c>
      <c r="E133" s="74">
        <f>IFERROR(INDEX(SORT(FILTER({Master!A$4:A$174,Master!B$4:B$174,Master!I$4:I$174,Master!T$4:T$174,Master!V$4:V$174,Master!L$4:L$174,Master!BM$4:BM$174},Master!K$4:K$174="Qualified",Master!D$4:D$174="Fixed Income",Master!I$4:I$174&lt;&gt;""),3,FALSE),2,5),"")</f>
        <v/>
      </c>
      <c r="F133" s="79">
        <f>IFERROR(INDEX(SORT(FILTER({Master!A$4:A$174,Master!B$4:B$174,Master!I$4:I$174,Master!T$4:T$174,Master!V$4:V$174,Master!L$4:L$174,Master!BM$4:BM$174},Master!K$4:K$174="Qualified",Master!D$4:D$174="Fixed Income",Master!I$4:I$174&lt;&gt;""),3,FALSE),2,6),"")</f>
        <v/>
      </c>
      <c r="G133" s="81">
        <f>IFERROR(INDEX(SORT(FILTER({Master!A$4:A$174,Master!B$4:B$174,Master!I$4:I$174,Master!T$4:T$174,Master!V$4:V$174,Master!L$4:L$174,Master!BM$4:BM$174},Master!K$4:K$174="Qualified",Master!D$4:D$174="Fixed Income",Master!I$4:I$174&lt;&gt;""),3,FALSE),2,7),"")</f>
        <v/>
      </c>
      <c r="H133" s="81" t="inlineStr"/>
    </row>
    <row r="134" ht="16" customHeight="1">
      <c r="A134" s="59">
        <f>IFERROR(INDEX(SORT(FILTER({Master!A$4:A$174,Master!B$4:B$174,Master!I$4:I$174,Master!T$4:T$174,Master!V$4:V$174,Master!L$4:L$174,Master!BM$4:BM$174},Master!K$4:K$174="Qualified",Master!D$4:D$174="Fixed Income",Master!I$4:I$174&lt;&gt;""),3,FALSE),3,1),"")</f>
        <v/>
      </c>
      <c r="B134" s="59">
        <f>IFERROR(INDEX(SORT(FILTER({Master!A$4:A$174,Master!B$4:B$174,Master!I$4:I$174,Master!T$4:T$174,Master!V$4:V$174,Master!L$4:L$174,Master!BM$4:BM$174},Master!K$4:K$174="Qualified",Master!D$4:D$174="Fixed Income",Master!I$4:I$174&lt;&gt;""),3,FALSE),3,2),"")</f>
        <v/>
      </c>
      <c r="C134" s="77">
        <f>IFERROR(INDEX(SORT(FILTER({Master!A$4:A$174,Master!B$4:B$174,Master!I$4:I$174,Master!T$4:T$174,Master!V$4:V$174,Master!L$4:L$174,Master!BM$4:BM$174},Master!K$4:K$174="Qualified",Master!D$4:D$174="Fixed Income",Master!I$4:I$174&lt;&gt;""),3,FALSE),3,3),"")</f>
        <v/>
      </c>
      <c r="D134" s="75">
        <f>IFERROR(INDEX(SORT(FILTER({Master!A$4:A$174,Master!B$4:B$174,Master!I$4:I$174,Master!T$4:T$174,Master!V$4:V$174,Master!L$4:L$174,Master!BM$4:BM$174},Master!K$4:K$174="Qualified",Master!D$4:D$174="Fixed Income",Master!I$4:I$174&lt;&gt;""),3,FALSE),3,4),"")</f>
        <v/>
      </c>
      <c r="E134" s="75">
        <f>IFERROR(INDEX(SORT(FILTER({Master!A$4:A$174,Master!B$4:B$174,Master!I$4:I$174,Master!T$4:T$174,Master!V$4:V$174,Master!L$4:L$174,Master!BM$4:BM$174},Master!K$4:K$174="Qualified",Master!D$4:D$174="Fixed Income",Master!I$4:I$174&lt;&gt;""),3,FALSE),3,5),"")</f>
        <v/>
      </c>
      <c r="F134" s="76">
        <f>IFERROR(INDEX(SORT(FILTER({Master!A$4:A$174,Master!B$4:B$174,Master!I$4:I$174,Master!T$4:T$174,Master!V$4:V$174,Master!L$4:L$174,Master!BM$4:BM$174},Master!K$4:K$174="Qualified",Master!D$4:D$174="Fixed Income",Master!I$4:I$174&lt;&gt;""),3,FALSE),3,6),"")</f>
        <v/>
      </c>
      <c r="G134" s="78">
        <f>IFERROR(INDEX(SORT(FILTER({Master!A$4:A$174,Master!B$4:B$174,Master!I$4:I$174,Master!T$4:T$174,Master!V$4:V$174,Master!L$4:L$174,Master!BM$4:BM$174},Master!K$4:K$174="Qualified",Master!D$4:D$174="Fixed Income",Master!I$4:I$174&lt;&gt;""),3,FALSE),3,7),"")</f>
        <v/>
      </c>
      <c r="H134" s="78" t="inlineStr"/>
    </row>
    <row r="135" ht="16" customHeight="1">
      <c r="A135" s="58">
        <f>IFERROR(INDEX(SORT(FILTER({Master!A$4:A$174,Master!B$4:B$174,Master!I$4:I$174,Master!T$4:T$174,Master!V$4:V$174,Master!L$4:L$174,Master!BM$4:BM$174},Master!K$4:K$174="Qualified",Master!D$4:D$174="Fixed Income",Master!I$4:I$174&lt;&gt;""),3,FALSE),4,1),"")</f>
        <v/>
      </c>
      <c r="B135" s="58">
        <f>IFERROR(INDEX(SORT(FILTER({Master!A$4:A$174,Master!B$4:B$174,Master!I$4:I$174,Master!T$4:T$174,Master!V$4:V$174,Master!L$4:L$174,Master!BM$4:BM$174},Master!K$4:K$174="Qualified",Master!D$4:D$174="Fixed Income",Master!I$4:I$174&lt;&gt;""),3,FALSE),4,2),"")</f>
        <v/>
      </c>
      <c r="C135" s="80">
        <f>IFERROR(INDEX(SORT(FILTER({Master!A$4:A$174,Master!B$4:B$174,Master!I$4:I$174,Master!T$4:T$174,Master!V$4:V$174,Master!L$4:L$174,Master!BM$4:BM$174},Master!K$4:K$174="Qualified",Master!D$4:D$174="Fixed Income",Master!I$4:I$174&lt;&gt;""),3,FALSE),4,3),"")</f>
        <v/>
      </c>
      <c r="D135" s="74">
        <f>IFERROR(INDEX(SORT(FILTER({Master!A$4:A$174,Master!B$4:B$174,Master!I$4:I$174,Master!T$4:T$174,Master!V$4:V$174,Master!L$4:L$174,Master!BM$4:BM$174},Master!K$4:K$174="Qualified",Master!D$4:D$174="Fixed Income",Master!I$4:I$174&lt;&gt;""),3,FALSE),4,4),"")</f>
        <v/>
      </c>
      <c r="E135" s="74">
        <f>IFERROR(INDEX(SORT(FILTER({Master!A$4:A$174,Master!B$4:B$174,Master!I$4:I$174,Master!T$4:T$174,Master!V$4:V$174,Master!L$4:L$174,Master!BM$4:BM$174},Master!K$4:K$174="Qualified",Master!D$4:D$174="Fixed Income",Master!I$4:I$174&lt;&gt;""),3,FALSE),4,5),"")</f>
        <v/>
      </c>
      <c r="F135" s="79">
        <f>IFERROR(INDEX(SORT(FILTER({Master!A$4:A$174,Master!B$4:B$174,Master!I$4:I$174,Master!T$4:T$174,Master!V$4:V$174,Master!L$4:L$174,Master!BM$4:BM$174},Master!K$4:K$174="Qualified",Master!D$4:D$174="Fixed Income",Master!I$4:I$174&lt;&gt;""),3,FALSE),4,6),"")</f>
        <v/>
      </c>
      <c r="G135" s="81">
        <f>IFERROR(INDEX(SORT(FILTER({Master!A$4:A$174,Master!B$4:B$174,Master!I$4:I$174,Master!T$4:T$174,Master!V$4:V$174,Master!L$4:L$174,Master!BM$4:BM$174},Master!K$4:K$174="Qualified",Master!D$4:D$174="Fixed Income",Master!I$4:I$174&lt;&gt;""),3,FALSE),4,7),"")</f>
        <v/>
      </c>
      <c r="H135" s="81" t="inlineStr"/>
    </row>
    <row r="136" ht="16" customHeight="1">
      <c r="A136" s="59">
        <f>IFERROR(INDEX(SORT(FILTER({Master!A$4:A$174,Master!B$4:B$174,Master!I$4:I$174,Master!T$4:T$174,Master!V$4:V$174,Master!L$4:L$174,Master!BM$4:BM$174},Master!K$4:K$174="Qualified",Master!D$4:D$174="Fixed Income",Master!I$4:I$174&lt;&gt;""),3,FALSE),5,1),"")</f>
        <v/>
      </c>
      <c r="B136" s="59">
        <f>IFERROR(INDEX(SORT(FILTER({Master!A$4:A$174,Master!B$4:B$174,Master!I$4:I$174,Master!T$4:T$174,Master!V$4:V$174,Master!L$4:L$174,Master!BM$4:BM$174},Master!K$4:K$174="Qualified",Master!D$4:D$174="Fixed Income",Master!I$4:I$174&lt;&gt;""),3,FALSE),5,2),"")</f>
        <v/>
      </c>
      <c r="C136" s="77">
        <f>IFERROR(INDEX(SORT(FILTER({Master!A$4:A$174,Master!B$4:B$174,Master!I$4:I$174,Master!T$4:T$174,Master!V$4:V$174,Master!L$4:L$174,Master!BM$4:BM$174},Master!K$4:K$174="Qualified",Master!D$4:D$174="Fixed Income",Master!I$4:I$174&lt;&gt;""),3,FALSE),5,3),"")</f>
        <v/>
      </c>
      <c r="D136" s="75">
        <f>IFERROR(INDEX(SORT(FILTER({Master!A$4:A$174,Master!B$4:B$174,Master!I$4:I$174,Master!T$4:T$174,Master!V$4:V$174,Master!L$4:L$174,Master!BM$4:BM$174},Master!K$4:K$174="Qualified",Master!D$4:D$174="Fixed Income",Master!I$4:I$174&lt;&gt;""),3,FALSE),5,4),"")</f>
        <v/>
      </c>
      <c r="E136" s="75">
        <f>IFERROR(INDEX(SORT(FILTER({Master!A$4:A$174,Master!B$4:B$174,Master!I$4:I$174,Master!T$4:T$174,Master!V$4:V$174,Master!L$4:L$174,Master!BM$4:BM$174},Master!K$4:K$174="Qualified",Master!D$4:D$174="Fixed Income",Master!I$4:I$174&lt;&gt;""),3,FALSE),5,5),"")</f>
        <v/>
      </c>
      <c r="F136" s="76">
        <f>IFERROR(INDEX(SORT(FILTER({Master!A$4:A$174,Master!B$4:B$174,Master!I$4:I$174,Master!T$4:T$174,Master!V$4:V$174,Master!L$4:L$174,Master!BM$4:BM$174},Master!K$4:K$174="Qualified",Master!D$4:D$174="Fixed Income",Master!I$4:I$174&lt;&gt;""),3,FALSE),5,6),"")</f>
        <v/>
      </c>
      <c r="G136" s="78">
        <f>IFERROR(INDEX(SORT(FILTER({Master!A$4:A$174,Master!B$4:B$174,Master!I$4:I$174,Master!T$4:T$174,Master!V$4:V$174,Master!L$4:L$174,Master!BM$4:BM$174},Master!K$4:K$174="Qualified",Master!D$4:D$174="Fixed Income",Master!I$4:I$174&lt;&gt;""),3,FALSE),5,7),"")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IFERROR(MEDIAN(FILTER(Master!N$4:N$174,(Master!K$4:K$174="Qualified")*(Master!D$4:D$174="Money Market"))),"")</f>
        <v/>
      </c>
      <c r="C140" s="74">
        <f>IFERROR(MEDIAN(FILTER(Master!Q$4:Q$174,(Master!K$4:K$174="Qualified")*(Master!D$4:D$174="Money Market"))),"")</f>
        <v/>
      </c>
      <c r="D140" s="74">
        <f>IFERROR(MEDIAN(FILTER(Master!T$4:T$174,(Master!K$4:K$174="Qualified")*(Master!D$4:D$174="Money Market"))),"")</f>
        <v/>
      </c>
      <c r="E140" s="74">
        <f>IFERROR(MEDIAN(FILTER(Master!W$4:W$174,(Master!K$4:K$174="Qualified")*(Master!D$4:D$174="Money Market"))),"")</f>
        <v/>
      </c>
      <c r="F140" s="74">
        <f>IFERROR(MEDIAN(FILTER(Master!Z$4:Z$174,(Master!K$4:K$174="Qualified")*(Master!D$4:D$174="Money Market"))),"")</f>
        <v/>
      </c>
      <c r="G140" s="74">
        <f>IFERROR(MEDIAN(FILTER(Master!V$4:V$174,(Master!K$4:K$174="Qualified")*(Master!D$4:D$174="Money Market"))),"")</f>
        <v/>
      </c>
      <c r="H140" s="74">
        <f>IFERROR(MEDIAN(FILTER(Master!L$4:L$174,(Master!K$4:K$174="Qualified")*(Master!D$4:D$174="Money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IFERROR(INDEX(SORT(FILTER({Master!A$4:A$174,Master!B$4:B$174,Master!T$4:T$174,Master!V$4:V$174,Master!L$4:L$174,Master!I$4:I$174,Master!BM$4:BM$174},Master!K$4:K$174="Qualified",Master!D$4:D$174="Money Market",Master!T$4:T$174&lt;&gt;""),3,FALSE),1,1),"")</f>
        <v/>
      </c>
      <c r="B144" s="59">
        <f>IFERROR(INDEX(SORT(FILTER({Master!A$4:A$174,Master!B$4:B$174,Master!T$4:T$174,Master!V$4:V$174,Master!L$4:L$174,Master!I$4:I$174,Master!BM$4:BM$174},Master!K$4:K$174="Qualified",Master!D$4:D$174="Money Market",Master!T$4:T$174&lt;&gt;""),3,FALSE),1,2),"")</f>
        <v/>
      </c>
      <c r="C144" s="75">
        <f>IFERROR(INDEX(SORT(FILTER({Master!A$4:A$174,Master!B$4:B$174,Master!T$4:T$174,Master!V$4:V$174,Master!L$4:L$174,Master!I$4:I$174,Master!BM$4:BM$174},Master!K$4:K$174="Qualified",Master!D$4:D$174="Money Market",Master!T$4:T$174&lt;&gt;""),3,FALSE),1,3),"")</f>
        <v/>
      </c>
      <c r="D144" s="75">
        <f>IFERROR(INDEX(SORT(FILTER({Master!A$4:A$174,Master!B$4:B$174,Master!T$4:T$174,Master!V$4:V$174,Master!L$4:L$174,Master!I$4:I$174,Master!BM$4:BM$174},Master!K$4:K$174="Qualified",Master!D$4:D$174="Money Market",Master!T$4:T$174&lt;&gt;""),3,FALSE),1,4),"")</f>
        <v/>
      </c>
      <c r="E144" s="76">
        <f>IFERROR(INDEX(SORT(FILTER({Master!A$4:A$174,Master!B$4:B$174,Master!T$4:T$174,Master!V$4:V$174,Master!L$4:L$174,Master!I$4:I$174,Master!BM$4:BM$174},Master!K$4:K$174="Qualified",Master!D$4:D$174="Money Market",Master!T$4:T$174&lt;&gt;""),3,FALSE),1,5),"")</f>
        <v/>
      </c>
      <c r="F144" s="77">
        <f>IFERROR(INDEX(SORT(FILTER({Master!A$4:A$174,Master!B$4:B$174,Master!T$4:T$174,Master!V$4:V$174,Master!L$4:L$174,Master!I$4:I$174,Master!BM$4:BM$174},Master!K$4:K$174="Qualified",Master!D$4:D$174="Money Market",Master!T$4:T$174&lt;&gt;""),3,FALSE),1,6),"")</f>
        <v/>
      </c>
      <c r="G144" s="78">
        <f>IFERROR(INDEX(SORT(FILTER({Master!A$4:A$174,Master!B$4:B$174,Master!T$4:T$174,Master!V$4:V$174,Master!L$4:L$174,Master!I$4:I$174,Master!BM$4:BM$174},Master!K$4:K$174="Qualified",Master!D$4:D$174="Money Market",Master!T$4:T$174&lt;&gt;""),3,FALSE),1,7),"")</f>
        <v/>
      </c>
      <c r="H144" s="78" t="inlineStr"/>
    </row>
    <row r="145" ht="16" customHeight="1">
      <c r="A145" s="58">
        <f>IFERROR(INDEX(SORT(FILTER({Master!A$4:A$174,Master!B$4:B$174,Master!T$4:T$174,Master!V$4:V$174,Master!L$4:L$174,Master!I$4:I$174,Master!BM$4:BM$174},Master!K$4:K$174="Qualified",Master!D$4:D$174="Money Market",Master!T$4:T$174&lt;&gt;""),3,FALSE),2,1),"")</f>
        <v/>
      </c>
      <c r="B145" s="58">
        <f>IFERROR(INDEX(SORT(FILTER({Master!A$4:A$174,Master!B$4:B$174,Master!T$4:T$174,Master!V$4:V$174,Master!L$4:L$174,Master!I$4:I$174,Master!BM$4:BM$174},Master!K$4:K$174="Qualified",Master!D$4:D$174="Money Market",Master!T$4:T$174&lt;&gt;""),3,FALSE),2,2),"")</f>
        <v/>
      </c>
      <c r="C145" s="74">
        <f>IFERROR(INDEX(SORT(FILTER({Master!A$4:A$174,Master!B$4:B$174,Master!T$4:T$174,Master!V$4:V$174,Master!L$4:L$174,Master!I$4:I$174,Master!BM$4:BM$174},Master!K$4:K$174="Qualified",Master!D$4:D$174="Money Market",Master!T$4:T$174&lt;&gt;""),3,FALSE),2,3),"")</f>
        <v/>
      </c>
      <c r="D145" s="74">
        <f>IFERROR(INDEX(SORT(FILTER({Master!A$4:A$174,Master!B$4:B$174,Master!T$4:T$174,Master!V$4:V$174,Master!L$4:L$174,Master!I$4:I$174,Master!BM$4:BM$174},Master!K$4:K$174="Qualified",Master!D$4:D$174="Money Market",Master!T$4:T$174&lt;&gt;""),3,FALSE),2,4),"")</f>
        <v/>
      </c>
      <c r="E145" s="79">
        <f>IFERROR(INDEX(SORT(FILTER({Master!A$4:A$174,Master!B$4:B$174,Master!T$4:T$174,Master!V$4:V$174,Master!L$4:L$174,Master!I$4:I$174,Master!BM$4:BM$174},Master!K$4:K$174="Qualified",Master!D$4:D$174="Money Market",Master!T$4:T$174&lt;&gt;""),3,FALSE),2,5),"")</f>
        <v/>
      </c>
      <c r="F145" s="80">
        <f>IFERROR(INDEX(SORT(FILTER({Master!A$4:A$174,Master!B$4:B$174,Master!T$4:T$174,Master!V$4:V$174,Master!L$4:L$174,Master!I$4:I$174,Master!BM$4:BM$174},Master!K$4:K$174="Qualified",Master!D$4:D$174="Money Market",Master!T$4:T$174&lt;&gt;""),3,FALSE),2,6),"")</f>
        <v/>
      </c>
      <c r="G145" s="81">
        <f>IFERROR(INDEX(SORT(FILTER({Master!A$4:A$174,Master!B$4:B$174,Master!T$4:T$174,Master!V$4:V$174,Master!L$4:L$174,Master!I$4:I$174,Master!BM$4:BM$174},Master!K$4:K$174="Qualified",Master!D$4:D$174="Money Market",Master!T$4:T$174&lt;&gt;""),3,FALSE),2,7),"")</f>
        <v/>
      </c>
      <c r="H145" s="81" t="inlineStr"/>
    </row>
    <row r="146" ht="16" customHeight="1">
      <c r="A146" s="59">
        <f>IFERROR(INDEX(SORT(FILTER({Master!A$4:A$174,Master!B$4:B$174,Master!T$4:T$174,Master!V$4:V$174,Master!L$4:L$174,Master!I$4:I$174,Master!BM$4:BM$174},Master!K$4:K$174="Qualified",Master!D$4:D$174="Money Market",Master!T$4:T$174&lt;&gt;""),3,FALSE),3,1),"")</f>
        <v/>
      </c>
      <c r="B146" s="59">
        <f>IFERROR(INDEX(SORT(FILTER({Master!A$4:A$174,Master!B$4:B$174,Master!T$4:T$174,Master!V$4:V$174,Master!L$4:L$174,Master!I$4:I$174,Master!BM$4:BM$174},Master!K$4:K$174="Qualified",Master!D$4:D$174="Money Market",Master!T$4:T$174&lt;&gt;""),3,FALSE),3,2),"")</f>
        <v/>
      </c>
      <c r="C146" s="75">
        <f>IFERROR(INDEX(SORT(FILTER({Master!A$4:A$174,Master!B$4:B$174,Master!T$4:T$174,Master!V$4:V$174,Master!L$4:L$174,Master!I$4:I$174,Master!BM$4:BM$174},Master!K$4:K$174="Qualified",Master!D$4:D$174="Money Market",Master!T$4:T$174&lt;&gt;""),3,FALSE),3,3),"")</f>
        <v/>
      </c>
      <c r="D146" s="75">
        <f>IFERROR(INDEX(SORT(FILTER({Master!A$4:A$174,Master!B$4:B$174,Master!T$4:T$174,Master!V$4:V$174,Master!L$4:L$174,Master!I$4:I$174,Master!BM$4:BM$174},Master!K$4:K$174="Qualified",Master!D$4:D$174="Money Market",Master!T$4:T$174&lt;&gt;""),3,FALSE),3,4),"")</f>
        <v/>
      </c>
      <c r="E146" s="76">
        <f>IFERROR(INDEX(SORT(FILTER({Master!A$4:A$174,Master!B$4:B$174,Master!T$4:T$174,Master!V$4:V$174,Master!L$4:L$174,Master!I$4:I$174,Master!BM$4:BM$174},Master!K$4:K$174="Qualified",Master!D$4:D$174="Money Market",Master!T$4:T$174&lt;&gt;""),3,FALSE),3,5),"")</f>
        <v/>
      </c>
      <c r="F146" s="77">
        <f>IFERROR(INDEX(SORT(FILTER({Master!A$4:A$174,Master!B$4:B$174,Master!T$4:T$174,Master!V$4:V$174,Master!L$4:L$174,Master!I$4:I$174,Master!BM$4:BM$174},Master!K$4:K$174="Qualified",Master!D$4:D$174="Money Market",Master!T$4:T$174&lt;&gt;""),3,FALSE),3,6),"")</f>
        <v/>
      </c>
      <c r="G146" s="78">
        <f>IFERROR(INDEX(SORT(FILTER({Master!A$4:A$174,Master!B$4:B$174,Master!T$4:T$174,Master!V$4:V$174,Master!L$4:L$174,Master!I$4:I$174,Master!BM$4:BM$174},Master!K$4:K$174="Qualified",Master!D$4:D$174="Money Market",Master!T$4:T$174&lt;&gt;""),3,FALSE),3,7),"")</f>
        <v/>
      </c>
      <c r="H146" s="78" t="inlineStr"/>
    </row>
    <row r="147" ht="16" customHeight="1">
      <c r="A147" s="58">
        <f>IFERROR(INDEX(SORT(FILTER({Master!A$4:A$174,Master!B$4:B$174,Master!T$4:T$174,Master!V$4:V$174,Master!L$4:L$174,Master!I$4:I$174,Master!BM$4:BM$174},Master!K$4:K$174="Qualified",Master!D$4:D$174="Money Market",Master!T$4:T$174&lt;&gt;""),3,FALSE),4,1),"")</f>
        <v/>
      </c>
      <c r="B147" s="58">
        <f>IFERROR(INDEX(SORT(FILTER({Master!A$4:A$174,Master!B$4:B$174,Master!T$4:T$174,Master!V$4:V$174,Master!L$4:L$174,Master!I$4:I$174,Master!BM$4:BM$174},Master!K$4:K$174="Qualified",Master!D$4:D$174="Money Market",Master!T$4:T$174&lt;&gt;""),3,FALSE),4,2),"")</f>
        <v/>
      </c>
      <c r="C147" s="74">
        <f>IFERROR(INDEX(SORT(FILTER({Master!A$4:A$174,Master!B$4:B$174,Master!T$4:T$174,Master!V$4:V$174,Master!L$4:L$174,Master!I$4:I$174,Master!BM$4:BM$174},Master!K$4:K$174="Qualified",Master!D$4:D$174="Money Market",Master!T$4:T$174&lt;&gt;""),3,FALSE),4,3),"")</f>
        <v/>
      </c>
      <c r="D147" s="74">
        <f>IFERROR(INDEX(SORT(FILTER({Master!A$4:A$174,Master!B$4:B$174,Master!T$4:T$174,Master!V$4:V$174,Master!L$4:L$174,Master!I$4:I$174,Master!BM$4:BM$174},Master!K$4:K$174="Qualified",Master!D$4:D$174="Money Market",Master!T$4:T$174&lt;&gt;""),3,FALSE),4,4),"")</f>
        <v/>
      </c>
      <c r="E147" s="79">
        <f>IFERROR(INDEX(SORT(FILTER({Master!A$4:A$174,Master!B$4:B$174,Master!T$4:T$174,Master!V$4:V$174,Master!L$4:L$174,Master!I$4:I$174,Master!BM$4:BM$174},Master!K$4:K$174="Qualified",Master!D$4:D$174="Money Market",Master!T$4:T$174&lt;&gt;""),3,FALSE),4,5),"")</f>
        <v/>
      </c>
      <c r="F147" s="80">
        <f>IFERROR(INDEX(SORT(FILTER({Master!A$4:A$174,Master!B$4:B$174,Master!T$4:T$174,Master!V$4:V$174,Master!L$4:L$174,Master!I$4:I$174,Master!BM$4:BM$174},Master!K$4:K$174="Qualified",Master!D$4:D$174="Money Market",Master!T$4:T$174&lt;&gt;""),3,FALSE),4,6),"")</f>
        <v/>
      </c>
      <c r="G147" s="81">
        <f>IFERROR(INDEX(SORT(FILTER({Master!A$4:A$174,Master!B$4:B$174,Master!T$4:T$174,Master!V$4:V$174,Master!L$4:L$174,Master!I$4:I$174,Master!BM$4:BM$174},Master!K$4:K$174="Qualified",Master!D$4:D$174="Money Market",Master!T$4:T$174&lt;&gt;""),3,FALSE),4,7),"")</f>
        <v/>
      </c>
      <c r="H147" s="81" t="inlineStr"/>
    </row>
    <row r="148" ht="16" customHeight="1">
      <c r="A148" s="59">
        <f>IFERROR(INDEX(SORT(FILTER({Master!A$4:A$174,Master!B$4:B$174,Master!T$4:T$174,Master!V$4:V$174,Master!L$4:L$174,Master!I$4:I$174,Master!BM$4:BM$174},Master!K$4:K$174="Qualified",Master!D$4:D$174="Money Market",Master!T$4:T$174&lt;&gt;""),3,FALSE),5,1),"")</f>
        <v/>
      </c>
      <c r="B148" s="59">
        <f>IFERROR(INDEX(SORT(FILTER({Master!A$4:A$174,Master!B$4:B$174,Master!T$4:T$174,Master!V$4:V$174,Master!L$4:L$174,Master!I$4:I$174,Master!BM$4:BM$174},Master!K$4:K$174="Qualified",Master!D$4:D$174="Money Market",Master!T$4:T$174&lt;&gt;""),3,FALSE),5,2),"")</f>
        <v/>
      </c>
      <c r="C148" s="75">
        <f>IFERROR(INDEX(SORT(FILTER({Master!A$4:A$174,Master!B$4:B$174,Master!T$4:T$174,Master!V$4:V$174,Master!L$4:L$174,Master!I$4:I$174,Master!BM$4:BM$174},Master!K$4:K$174="Qualified",Master!D$4:D$174="Money Market",Master!T$4:T$174&lt;&gt;""),3,FALSE),5,3),"")</f>
        <v/>
      </c>
      <c r="D148" s="75">
        <f>IFERROR(INDEX(SORT(FILTER({Master!A$4:A$174,Master!B$4:B$174,Master!T$4:T$174,Master!V$4:V$174,Master!L$4:L$174,Master!I$4:I$174,Master!BM$4:BM$174},Master!K$4:K$174="Qualified",Master!D$4:D$174="Money Market",Master!T$4:T$174&lt;&gt;""),3,FALSE),5,4),"")</f>
        <v/>
      </c>
      <c r="E148" s="76">
        <f>IFERROR(INDEX(SORT(FILTER({Master!A$4:A$174,Master!B$4:B$174,Master!T$4:T$174,Master!V$4:V$174,Master!L$4:L$174,Master!I$4:I$174,Master!BM$4:BM$174},Master!K$4:K$174="Qualified",Master!D$4:D$174="Money Market",Master!T$4:T$174&lt;&gt;""),3,FALSE),5,5),"")</f>
        <v/>
      </c>
      <c r="F148" s="77">
        <f>IFERROR(INDEX(SORT(FILTER({Master!A$4:A$174,Master!B$4:B$174,Master!T$4:T$174,Master!V$4:V$174,Master!L$4:L$174,Master!I$4:I$174,Master!BM$4:BM$174},Master!K$4:K$174="Qualified",Master!D$4:D$174="Money Market",Master!T$4:T$174&lt;&gt;""),3,FALSE),5,6),"")</f>
        <v/>
      </c>
      <c r="G148" s="78">
        <f>IFERROR(INDEX(SORT(FILTER({Master!A$4:A$174,Master!B$4:B$174,Master!T$4:T$174,Master!V$4:V$174,Master!L$4:L$174,Master!I$4:I$174,Master!BM$4:BM$174},Master!K$4:K$174="Qualified",Master!D$4:D$174="Money Market",Master!T$4:T$174&lt;&gt;""),3,FALSE),5,7),"")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IFERROR(INDEX(SORT(FILTER({Master!A$4:A$174,Master!B$4:B$174,Master!T$4:T$174,Master!V$4:V$174,Master!L$4:L$174,Master!I$4:I$174,Master!BM$4:BM$174},Master!K$4:K$174="Qualified",Master!D$4:D$174="Money Market",Master!V$4:V$174&lt;&gt;""),4,FALSE),1,1),"")</f>
        <v/>
      </c>
      <c r="B152" s="59">
        <f>IFERROR(INDEX(SORT(FILTER({Master!A$4:A$174,Master!B$4:B$174,Master!T$4:T$174,Master!V$4:V$174,Master!L$4:L$174,Master!I$4:I$174,Master!BM$4:BM$174},Master!K$4:K$174="Qualified",Master!D$4:D$174="Money Market",Master!V$4:V$174&lt;&gt;""),4,FALSE),1,2),"")</f>
        <v/>
      </c>
      <c r="C152" s="75">
        <f>IFERROR(INDEX(SORT(FILTER({Master!A$4:A$174,Master!B$4:B$174,Master!T$4:T$174,Master!V$4:V$174,Master!L$4:L$174,Master!I$4:I$174,Master!BM$4:BM$174},Master!K$4:K$174="Qualified",Master!D$4:D$174="Money Market",Master!V$4:V$174&lt;&gt;""),4,FALSE),1,3),"")</f>
        <v/>
      </c>
      <c r="D152" s="75">
        <f>IFERROR(INDEX(SORT(FILTER({Master!A$4:A$174,Master!B$4:B$174,Master!T$4:T$174,Master!V$4:V$174,Master!L$4:L$174,Master!I$4:I$174,Master!BM$4:BM$174},Master!K$4:K$174="Qualified",Master!D$4:D$174="Money Market",Master!V$4:V$174&lt;&gt;""),4,FALSE),1,4),"")</f>
        <v/>
      </c>
      <c r="E152" s="76">
        <f>IFERROR(INDEX(SORT(FILTER({Master!A$4:A$174,Master!B$4:B$174,Master!T$4:T$174,Master!V$4:V$174,Master!L$4:L$174,Master!I$4:I$174,Master!BM$4:BM$174},Master!K$4:K$174="Qualified",Master!D$4:D$174="Money Market",Master!V$4:V$174&lt;&gt;""),4,FALSE),1,5),"")</f>
        <v/>
      </c>
      <c r="F152" s="77">
        <f>IFERROR(INDEX(SORT(FILTER({Master!A$4:A$174,Master!B$4:B$174,Master!T$4:T$174,Master!V$4:V$174,Master!L$4:L$174,Master!I$4:I$174,Master!BM$4:BM$174},Master!K$4:K$174="Qualified",Master!D$4:D$174="Money Market",Master!V$4:V$174&lt;&gt;""),4,FALSE),1,6),"")</f>
        <v/>
      </c>
      <c r="G152" s="78">
        <f>IFERROR(INDEX(SORT(FILTER({Master!A$4:A$174,Master!B$4:B$174,Master!T$4:T$174,Master!V$4:V$174,Master!L$4:L$174,Master!I$4:I$174,Master!BM$4:BM$174},Master!K$4:K$174="Qualified",Master!D$4:D$174="Money Market",Master!V$4:V$174&lt;&gt;""),4,FALSE),1,7),"")</f>
        <v/>
      </c>
      <c r="H152" s="78" t="inlineStr"/>
    </row>
    <row r="153" ht="16" customHeight="1">
      <c r="A153" s="58">
        <f>IFERROR(INDEX(SORT(FILTER({Master!A$4:A$174,Master!B$4:B$174,Master!T$4:T$174,Master!V$4:V$174,Master!L$4:L$174,Master!I$4:I$174,Master!BM$4:BM$174},Master!K$4:K$174="Qualified",Master!D$4:D$174="Money Market",Master!V$4:V$174&lt;&gt;""),4,FALSE),2,1),"")</f>
        <v/>
      </c>
      <c r="B153" s="58">
        <f>IFERROR(INDEX(SORT(FILTER({Master!A$4:A$174,Master!B$4:B$174,Master!T$4:T$174,Master!V$4:V$174,Master!L$4:L$174,Master!I$4:I$174,Master!BM$4:BM$174},Master!K$4:K$174="Qualified",Master!D$4:D$174="Money Market",Master!V$4:V$174&lt;&gt;""),4,FALSE),2,2),"")</f>
        <v/>
      </c>
      <c r="C153" s="74">
        <f>IFERROR(INDEX(SORT(FILTER({Master!A$4:A$174,Master!B$4:B$174,Master!T$4:T$174,Master!V$4:V$174,Master!L$4:L$174,Master!I$4:I$174,Master!BM$4:BM$174},Master!K$4:K$174="Qualified",Master!D$4:D$174="Money Market",Master!V$4:V$174&lt;&gt;""),4,FALSE),2,3),"")</f>
        <v/>
      </c>
      <c r="D153" s="74">
        <f>IFERROR(INDEX(SORT(FILTER({Master!A$4:A$174,Master!B$4:B$174,Master!T$4:T$174,Master!V$4:V$174,Master!L$4:L$174,Master!I$4:I$174,Master!BM$4:BM$174},Master!K$4:K$174="Qualified",Master!D$4:D$174="Money Market",Master!V$4:V$174&lt;&gt;""),4,FALSE),2,4),"")</f>
        <v/>
      </c>
      <c r="E153" s="79">
        <f>IFERROR(INDEX(SORT(FILTER({Master!A$4:A$174,Master!B$4:B$174,Master!T$4:T$174,Master!V$4:V$174,Master!L$4:L$174,Master!I$4:I$174,Master!BM$4:BM$174},Master!K$4:K$174="Qualified",Master!D$4:D$174="Money Market",Master!V$4:V$174&lt;&gt;""),4,FALSE),2,5),"")</f>
        <v/>
      </c>
      <c r="F153" s="80">
        <f>IFERROR(INDEX(SORT(FILTER({Master!A$4:A$174,Master!B$4:B$174,Master!T$4:T$174,Master!V$4:V$174,Master!L$4:L$174,Master!I$4:I$174,Master!BM$4:BM$174},Master!K$4:K$174="Qualified",Master!D$4:D$174="Money Market",Master!V$4:V$174&lt;&gt;""),4,FALSE),2,6),"")</f>
        <v/>
      </c>
      <c r="G153" s="81">
        <f>IFERROR(INDEX(SORT(FILTER({Master!A$4:A$174,Master!B$4:B$174,Master!T$4:T$174,Master!V$4:V$174,Master!L$4:L$174,Master!I$4:I$174,Master!BM$4:BM$174},Master!K$4:K$174="Qualified",Master!D$4:D$174="Money Market",Master!V$4:V$174&lt;&gt;""),4,FALSE),2,7),"")</f>
        <v/>
      </c>
      <c r="H153" s="81" t="inlineStr"/>
    </row>
    <row r="154" ht="16" customHeight="1">
      <c r="A154" s="59">
        <f>IFERROR(INDEX(SORT(FILTER({Master!A$4:A$174,Master!B$4:B$174,Master!T$4:T$174,Master!V$4:V$174,Master!L$4:L$174,Master!I$4:I$174,Master!BM$4:BM$174},Master!K$4:K$174="Qualified",Master!D$4:D$174="Money Market",Master!V$4:V$174&lt;&gt;""),4,FALSE),3,1),"")</f>
        <v/>
      </c>
      <c r="B154" s="59">
        <f>IFERROR(INDEX(SORT(FILTER({Master!A$4:A$174,Master!B$4:B$174,Master!T$4:T$174,Master!V$4:V$174,Master!L$4:L$174,Master!I$4:I$174,Master!BM$4:BM$174},Master!K$4:K$174="Qualified",Master!D$4:D$174="Money Market",Master!V$4:V$174&lt;&gt;""),4,FALSE),3,2),"")</f>
        <v/>
      </c>
      <c r="C154" s="75">
        <f>IFERROR(INDEX(SORT(FILTER({Master!A$4:A$174,Master!B$4:B$174,Master!T$4:T$174,Master!V$4:V$174,Master!L$4:L$174,Master!I$4:I$174,Master!BM$4:BM$174},Master!K$4:K$174="Qualified",Master!D$4:D$174="Money Market",Master!V$4:V$174&lt;&gt;""),4,FALSE),3,3),"")</f>
        <v/>
      </c>
      <c r="D154" s="75">
        <f>IFERROR(INDEX(SORT(FILTER({Master!A$4:A$174,Master!B$4:B$174,Master!T$4:T$174,Master!V$4:V$174,Master!L$4:L$174,Master!I$4:I$174,Master!BM$4:BM$174},Master!K$4:K$174="Qualified",Master!D$4:D$174="Money Market",Master!V$4:V$174&lt;&gt;""),4,FALSE),3,4),"")</f>
        <v/>
      </c>
      <c r="E154" s="76">
        <f>IFERROR(INDEX(SORT(FILTER({Master!A$4:A$174,Master!B$4:B$174,Master!T$4:T$174,Master!V$4:V$174,Master!L$4:L$174,Master!I$4:I$174,Master!BM$4:BM$174},Master!K$4:K$174="Qualified",Master!D$4:D$174="Money Market",Master!V$4:V$174&lt;&gt;""),4,FALSE),3,5),"")</f>
        <v/>
      </c>
      <c r="F154" s="77">
        <f>IFERROR(INDEX(SORT(FILTER({Master!A$4:A$174,Master!B$4:B$174,Master!T$4:T$174,Master!V$4:V$174,Master!L$4:L$174,Master!I$4:I$174,Master!BM$4:BM$174},Master!K$4:K$174="Qualified",Master!D$4:D$174="Money Market",Master!V$4:V$174&lt;&gt;""),4,FALSE),3,6),"")</f>
        <v/>
      </c>
      <c r="G154" s="78">
        <f>IFERROR(INDEX(SORT(FILTER({Master!A$4:A$174,Master!B$4:B$174,Master!T$4:T$174,Master!V$4:V$174,Master!L$4:L$174,Master!I$4:I$174,Master!BM$4:BM$174},Master!K$4:K$174="Qualified",Master!D$4:D$174="Money Market",Master!V$4:V$174&lt;&gt;""),4,FALSE),3,7),"")</f>
        <v/>
      </c>
      <c r="H154" s="78" t="inlineStr"/>
    </row>
    <row r="155" ht="16" customHeight="1">
      <c r="A155" s="58">
        <f>IFERROR(INDEX(SORT(FILTER({Master!A$4:A$174,Master!B$4:B$174,Master!T$4:T$174,Master!V$4:V$174,Master!L$4:L$174,Master!I$4:I$174,Master!BM$4:BM$174},Master!K$4:K$174="Qualified",Master!D$4:D$174="Money Market",Master!V$4:V$174&lt;&gt;""),4,FALSE),4,1),"")</f>
        <v/>
      </c>
      <c r="B155" s="58">
        <f>IFERROR(INDEX(SORT(FILTER({Master!A$4:A$174,Master!B$4:B$174,Master!T$4:T$174,Master!V$4:V$174,Master!L$4:L$174,Master!I$4:I$174,Master!BM$4:BM$174},Master!K$4:K$174="Qualified",Master!D$4:D$174="Money Market",Master!V$4:V$174&lt;&gt;""),4,FALSE),4,2),"")</f>
        <v/>
      </c>
      <c r="C155" s="74">
        <f>IFERROR(INDEX(SORT(FILTER({Master!A$4:A$174,Master!B$4:B$174,Master!T$4:T$174,Master!V$4:V$174,Master!L$4:L$174,Master!I$4:I$174,Master!BM$4:BM$174},Master!K$4:K$174="Qualified",Master!D$4:D$174="Money Market",Master!V$4:V$174&lt;&gt;""),4,FALSE),4,3),"")</f>
        <v/>
      </c>
      <c r="D155" s="74">
        <f>IFERROR(INDEX(SORT(FILTER({Master!A$4:A$174,Master!B$4:B$174,Master!T$4:T$174,Master!V$4:V$174,Master!L$4:L$174,Master!I$4:I$174,Master!BM$4:BM$174},Master!K$4:K$174="Qualified",Master!D$4:D$174="Money Market",Master!V$4:V$174&lt;&gt;""),4,FALSE),4,4),"")</f>
        <v/>
      </c>
      <c r="E155" s="79">
        <f>IFERROR(INDEX(SORT(FILTER({Master!A$4:A$174,Master!B$4:B$174,Master!T$4:T$174,Master!V$4:V$174,Master!L$4:L$174,Master!I$4:I$174,Master!BM$4:BM$174},Master!K$4:K$174="Qualified",Master!D$4:D$174="Money Market",Master!V$4:V$174&lt;&gt;""),4,FALSE),4,5),"")</f>
        <v/>
      </c>
      <c r="F155" s="80">
        <f>IFERROR(INDEX(SORT(FILTER({Master!A$4:A$174,Master!B$4:B$174,Master!T$4:T$174,Master!V$4:V$174,Master!L$4:L$174,Master!I$4:I$174,Master!BM$4:BM$174},Master!K$4:K$174="Qualified",Master!D$4:D$174="Money Market",Master!V$4:V$174&lt;&gt;""),4,FALSE),4,6),"")</f>
        <v/>
      </c>
      <c r="G155" s="81">
        <f>IFERROR(INDEX(SORT(FILTER({Master!A$4:A$174,Master!B$4:B$174,Master!T$4:T$174,Master!V$4:V$174,Master!L$4:L$174,Master!I$4:I$174,Master!BM$4:BM$174},Master!K$4:K$174="Qualified",Master!D$4:D$174="Money Market",Master!V$4:V$174&lt;&gt;""),4,FALSE),4,7),"")</f>
        <v/>
      </c>
      <c r="H155" s="81" t="inlineStr"/>
    </row>
    <row r="156" ht="16" customHeight="1">
      <c r="A156" s="59">
        <f>IFERROR(INDEX(SORT(FILTER({Master!A$4:A$174,Master!B$4:B$174,Master!T$4:T$174,Master!V$4:V$174,Master!L$4:L$174,Master!I$4:I$174,Master!BM$4:BM$174},Master!K$4:K$174="Qualified",Master!D$4:D$174="Money Market",Master!V$4:V$174&lt;&gt;""),4,FALSE),5,1),"")</f>
        <v/>
      </c>
      <c r="B156" s="59">
        <f>IFERROR(INDEX(SORT(FILTER({Master!A$4:A$174,Master!B$4:B$174,Master!T$4:T$174,Master!V$4:V$174,Master!L$4:L$174,Master!I$4:I$174,Master!BM$4:BM$174},Master!K$4:K$174="Qualified",Master!D$4:D$174="Money Market",Master!V$4:V$174&lt;&gt;""),4,FALSE),5,2),"")</f>
        <v/>
      </c>
      <c r="C156" s="75">
        <f>IFERROR(INDEX(SORT(FILTER({Master!A$4:A$174,Master!B$4:B$174,Master!T$4:T$174,Master!V$4:V$174,Master!L$4:L$174,Master!I$4:I$174,Master!BM$4:BM$174},Master!K$4:K$174="Qualified",Master!D$4:D$174="Money Market",Master!V$4:V$174&lt;&gt;""),4,FALSE),5,3),"")</f>
        <v/>
      </c>
      <c r="D156" s="75">
        <f>IFERROR(INDEX(SORT(FILTER({Master!A$4:A$174,Master!B$4:B$174,Master!T$4:T$174,Master!V$4:V$174,Master!L$4:L$174,Master!I$4:I$174,Master!BM$4:BM$174},Master!K$4:K$174="Qualified",Master!D$4:D$174="Money Market",Master!V$4:V$174&lt;&gt;""),4,FALSE),5,4),"")</f>
        <v/>
      </c>
      <c r="E156" s="76">
        <f>IFERROR(INDEX(SORT(FILTER({Master!A$4:A$174,Master!B$4:B$174,Master!T$4:T$174,Master!V$4:V$174,Master!L$4:L$174,Master!I$4:I$174,Master!BM$4:BM$174},Master!K$4:K$174="Qualified",Master!D$4:D$174="Money Market",Master!V$4:V$174&lt;&gt;""),4,FALSE),5,5),"")</f>
        <v/>
      </c>
      <c r="F156" s="77">
        <f>IFERROR(INDEX(SORT(FILTER({Master!A$4:A$174,Master!B$4:B$174,Master!T$4:T$174,Master!V$4:V$174,Master!L$4:L$174,Master!I$4:I$174,Master!BM$4:BM$174},Master!K$4:K$174="Qualified",Master!D$4:D$174="Money Market",Master!V$4:V$174&lt;&gt;""),4,FALSE),5,6),"")</f>
        <v/>
      </c>
      <c r="G156" s="78">
        <f>IFERROR(INDEX(SORT(FILTER({Master!A$4:A$174,Master!B$4:B$174,Master!T$4:T$174,Master!V$4:V$174,Master!L$4:L$174,Master!I$4:I$174,Master!BM$4:BM$174},Master!K$4:K$174="Qualified",Master!D$4:D$174="Money Market",Master!V$4:V$174&lt;&gt;""),4,FALSE),5,7),"")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IFERROR(INDEX(SORT(FILTER({Master!A$4:A$174,Master!B$4:B$174,Master!AE$4:AE$174,Master!V$4:V$174,Master!L$4:L$174,Master!I$4:I$174,Master!BM$4:BM$174},Master!K$4:K$174="Qualified",Master!D$4:D$174="Money Market",Master!AE$4:AE$174&lt;&gt;""),3,FALSE),1,1),"")</f>
        <v/>
      </c>
      <c r="B160" s="59">
        <f>IFERROR(INDEX(SORT(FILTER({Master!A$4:A$174,Master!B$4:B$174,Master!AE$4:AE$174,Master!V$4:V$174,Master!L$4:L$174,Master!I$4:I$174,Master!BM$4:BM$174},Master!K$4:K$174="Qualified",Master!D$4:D$174="Money Market",Master!AE$4:AE$174&lt;&gt;""),3,FALSE),1,2),"")</f>
        <v/>
      </c>
      <c r="C160" s="75">
        <f>IFERROR(INDEX(SORT(FILTER({Master!A$4:A$174,Master!B$4:B$174,Master!AE$4:AE$174,Master!V$4:V$174,Master!L$4:L$174,Master!I$4:I$174,Master!BM$4:BM$174},Master!K$4:K$174="Qualified",Master!D$4:D$174="Money Market",Master!AE$4:AE$174&lt;&gt;""),3,FALSE),1,3),"")</f>
        <v/>
      </c>
      <c r="D160" s="75">
        <f>IFERROR(INDEX(SORT(FILTER({Master!A$4:A$174,Master!B$4:B$174,Master!AE$4:AE$174,Master!V$4:V$174,Master!L$4:L$174,Master!I$4:I$174,Master!BM$4:BM$174},Master!K$4:K$174="Qualified",Master!D$4:D$174="Money Market",Master!AE$4:AE$174&lt;&gt;""),3,FALSE),1,4),"")</f>
        <v/>
      </c>
      <c r="E160" s="76">
        <f>IFERROR(INDEX(SORT(FILTER({Master!A$4:A$174,Master!B$4:B$174,Master!AE$4:AE$174,Master!V$4:V$174,Master!L$4:L$174,Master!I$4:I$174,Master!BM$4:BM$174},Master!K$4:K$174="Qualified",Master!D$4:D$174="Money Market",Master!AE$4:AE$174&lt;&gt;""),3,FALSE),1,5),"")</f>
        <v/>
      </c>
      <c r="F160" s="77">
        <f>IFERROR(INDEX(SORT(FILTER({Master!A$4:A$174,Master!B$4:B$174,Master!AE$4:AE$174,Master!V$4:V$174,Master!L$4:L$174,Master!I$4:I$174,Master!BM$4:BM$174},Master!K$4:K$174="Qualified",Master!D$4:D$174="Money Market",Master!AE$4:AE$174&lt;&gt;""),3,FALSE),1,6),"")</f>
        <v/>
      </c>
      <c r="G160" s="78">
        <f>IFERROR(INDEX(SORT(FILTER({Master!A$4:A$174,Master!B$4:B$174,Master!AE$4:AE$174,Master!V$4:V$174,Master!L$4:L$174,Master!I$4:I$174,Master!BM$4:BM$174},Master!K$4:K$174="Qualified",Master!D$4:D$174="Money Market",Master!AE$4:AE$174&lt;&gt;""),3,FALSE),1,7),"")</f>
        <v/>
      </c>
      <c r="H160" s="78" t="inlineStr"/>
    </row>
    <row r="161" ht="16" customHeight="1">
      <c r="A161" s="58">
        <f>IFERROR(INDEX(SORT(FILTER({Master!A$4:A$174,Master!B$4:B$174,Master!AE$4:AE$174,Master!V$4:V$174,Master!L$4:L$174,Master!I$4:I$174,Master!BM$4:BM$174},Master!K$4:K$174="Qualified",Master!D$4:D$174="Money Market",Master!AE$4:AE$174&lt;&gt;""),3,FALSE),2,1),"")</f>
        <v/>
      </c>
      <c r="B161" s="58">
        <f>IFERROR(INDEX(SORT(FILTER({Master!A$4:A$174,Master!B$4:B$174,Master!AE$4:AE$174,Master!V$4:V$174,Master!L$4:L$174,Master!I$4:I$174,Master!BM$4:BM$174},Master!K$4:K$174="Qualified",Master!D$4:D$174="Money Market",Master!AE$4:AE$174&lt;&gt;""),3,FALSE),2,2),"")</f>
        <v/>
      </c>
      <c r="C161" s="74">
        <f>IFERROR(INDEX(SORT(FILTER({Master!A$4:A$174,Master!B$4:B$174,Master!AE$4:AE$174,Master!V$4:V$174,Master!L$4:L$174,Master!I$4:I$174,Master!BM$4:BM$174},Master!K$4:K$174="Qualified",Master!D$4:D$174="Money Market",Master!AE$4:AE$174&lt;&gt;""),3,FALSE),2,3),"")</f>
        <v/>
      </c>
      <c r="D161" s="74">
        <f>IFERROR(INDEX(SORT(FILTER({Master!A$4:A$174,Master!B$4:B$174,Master!AE$4:AE$174,Master!V$4:V$174,Master!L$4:L$174,Master!I$4:I$174,Master!BM$4:BM$174},Master!K$4:K$174="Qualified",Master!D$4:D$174="Money Market",Master!AE$4:AE$174&lt;&gt;""),3,FALSE),2,4),"")</f>
        <v/>
      </c>
      <c r="E161" s="79">
        <f>IFERROR(INDEX(SORT(FILTER({Master!A$4:A$174,Master!B$4:B$174,Master!AE$4:AE$174,Master!V$4:V$174,Master!L$4:L$174,Master!I$4:I$174,Master!BM$4:BM$174},Master!K$4:K$174="Qualified",Master!D$4:D$174="Money Market",Master!AE$4:AE$174&lt;&gt;""),3,FALSE),2,5),"")</f>
        <v/>
      </c>
      <c r="F161" s="80">
        <f>IFERROR(INDEX(SORT(FILTER({Master!A$4:A$174,Master!B$4:B$174,Master!AE$4:AE$174,Master!V$4:V$174,Master!L$4:L$174,Master!I$4:I$174,Master!BM$4:BM$174},Master!K$4:K$174="Qualified",Master!D$4:D$174="Money Market",Master!AE$4:AE$174&lt;&gt;""),3,FALSE),2,6),"")</f>
        <v/>
      </c>
      <c r="G161" s="81">
        <f>IFERROR(INDEX(SORT(FILTER({Master!A$4:A$174,Master!B$4:B$174,Master!AE$4:AE$174,Master!V$4:V$174,Master!L$4:L$174,Master!I$4:I$174,Master!BM$4:BM$174},Master!K$4:K$174="Qualified",Master!D$4:D$174="Money Market",Master!AE$4:AE$174&lt;&gt;""),3,FALSE),2,7),"")</f>
        <v/>
      </c>
      <c r="H161" s="81" t="inlineStr"/>
    </row>
    <row r="162" ht="16" customHeight="1">
      <c r="A162" s="59">
        <f>IFERROR(INDEX(SORT(FILTER({Master!A$4:A$174,Master!B$4:B$174,Master!AE$4:AE$174,Master!V$4:V$174,Master!L$4:L$174,Master!I$4:I$174,Master!BM$4:BM$174},Master!K$4:K$174="Qualified",Master!D$4:D$174="Money Market",Master!AE$4:AE$174&lt;&gt;""),3,FALSE),3,1),"")</f>
        <v/>
      </c>
      <c r="B162" s="59">
        <f>IFERROR(INDEX(SORT(FILTER({Master!A$4:A$174,Master!B$4:B$174,Master!AE$4:AE$174,Master!V$4:V$174,Master!L$4:L$174,Master!I$4:I$174,Master!BM$4:BM$174},Master!K$4:K$174="Qualified",Master!D$4:D$174="Money Market",Master!AE$4:AE$174&lt;&gt;""),3,FALSE),3,2),"")</f>
        <v/>
      </c>
      <c r="C162" s="75">
        <f>IFERROR(INDEX(SORT(FILTER({Master!A$4:A$174,Master!B$4:B$174,Master!AE$4:AE$174,Master!V$4:V$174,Master!L$4:L$174,Master!I$4:I$174,Master!BM$4:BM$174},Master!K$4:K$174="Qualified",Master!D$4:D$174="Money Market",Master!AE$4:AE$174&lt;&gt;""),3,FALSE),3,3),"")</f>
        <v/>
      </c>
      <c r="D162" s="75">
        <f>IFERROR(INDEX(SORT(FILTER({Master!A$4:A$174,Master!B$4:B$174,Master!AE$4:AE$174,Master!V$4:V$174,Master!L$4:L$174,Master!I$4:I$174,Master!BM$4:BM$174},Master!K$4:K$174="Qualified",Master!D$4:D$174="Money Market",Master!AE$4:AE$174&lt;&gt;""),3,FALSE),3,4),"")</f>
        <v/>
      </c>
      <c r="E162" s="76">
        <f>IFERROR(INDEX(SORT(FILTER({Master!A$4:A$174,Master!B$4:B$174,Master!AE$4:AE$174,Master!V$4:V$174,Master!L$4:L$174,Master!I$4:I$174,Master!BM$4:BM$174},Master!K$4:K$174="Qualified",Master!D$4:D$174="Money Market",Master!AE$4:AE$174&lt;&gt;""),3,FALSE),3,5),"")</f>
        <v/>
      </c>
      <c r="F162" s="77">
        <f>IFERROR(INDEX(SORT(FILTER({Master!A$4:A$174,Master!B$4:B$174,Master!AE$4:AE$174,Master!V$4:V$174,Master!L$4:L$174,Master!I$4:I$174,Master!BM$4:BM$174},Master!K$4:K$174="Qualified",Master!D$4:D$174="Money Market",Master!AE$4:AE$174&lt;&gt;""),3,FALSE),3,6),"")</f>
        <v/>
      </c>
      <c r="G162" s="78">
        <f>IFERROR(INDEX(SORT(FILTER({Master!A$4:A$174,Master!B$4:B$174,Master!AE$4:AE$174,Master!V$4:V$174,Master!L$4:L$174,Master!I$4:I$174,Master!BM$4:BM$174},Master!K$4:K$174="Qualified",Master!D$4:D$174="Money Market",Master!AE$4:AE$174&lt;&gt;""),3,FALSE),3,7),"")</f>
        <v/>
      </c>
      <c r="H162" s="78" t="inlineStr"/>
    </row>
    <row r="163" ht="16" customHeight="1">
      <c r="A163" s="58">
        <f>IFERROR(INDEX(SORT(FILTER({Master!A$4:A$174,Master!B$4:B$174,Master!AE$4:AE$174,Master!V$4:V$174,Master!L$4:L$174,Master!I$4:I$174,Master!BM$4:BM$174},Master!K$4:K$174="Qualified",Master!D$4:D$174="Money Market",Master!AE$4:AE$174&lt;&gt;""),3,FALSE),4,1),"")</f>
        <v/>
      </c>
      <c r="B163" s="58">
        <f>IFERROR(INDEX(SORT(FILTER({Master!A$4:A$174,Master!B$4:B$174,Master!AE$4:AE$174,Master!V$4:V$174,Master!L$4:L$174,Master!I$4:I$174,Master!BM$4:BM$174},Master!K$4:K$174="Qualified",Master!D$4:D$174="Money Market",Master!AE$4:AE$174&lt;&gt;""),3,FALSE),4,2),"")</f>
        <v/>
      </c>
      <c r="C163" s="74">
        <f>IFERROR(INDEX(SORT(FILTER({Master!A$4:A$174,Master!B$4:B$174,Master!AE$4:AE$174,Master!V$4:V$174,Master!L$4:L$174,Master!I$4:I$174,Master!BM$4:BM$174},Master!K$4:K$174="Qualified",Master!D$4:D$174="Money Market",Master!AE$4:AE$174&lt;&gt;""),3,FALSE),4,3),"")</f>
        <v/>
      </c>
      <c r="D163" s="74">
        <f>IFERROR(INDEX(SORT(FILTER({Master!A$4:A$174,Master!B$4:B$174,Master!AE$4:AE$174,Master!V$4:V$174,Master!L$4:L$174,Master!I$4:I$174,Master!BM$4:BM$174},Master!K$4:K$174="Qualified",Master!D$4:D$174="Money Market",Master!AE$4:AE$174&lt;&gt;""),3,FALSE),4,4),"")</f>
        <v/>
      </c>
      <c r="E163" s="79">
        <f>IFERROR(INDEX(SORT(FILTER({Master!A$4:A$174,Master!B$4:B$174,Master!AE$4:AE$174,Master!V$4:V$174,Master!L$4:L$174,Master!I$4:I$174,Master!BM$4:BM$174},Master!K$4:K$174="Qualified",Master!D$4:D$174="Money Market",Master!AE$4:AE$174&lt;&gt;""),3,FALSE),4,5),"")</f>
        <v/>
      </c>
      <c r="F163" s="80">
        <f>IFERROR(INDEX(SORT(FILTER({Master!A$4:A$174,Master!B$4:B$174,Master!AE$4:AE$174,Master!V$4:V$174,Master!L$4:L$174,Master!I$4:I$174,Master!BM$4:BM$174},Master!K$4:K$174="Qualified",Master!D$4:D$174="Money Market",Master!AE$4:AE$174&lt;&gt;""),3,FALSE),4,6),"")</f>
        <v/>
      </c>
      <c r="G163" s="81">
        <f>IFERROR(INDEX(SORT(FILTER({Master!A$4:A$174,Master!B$4:B$174,Master!AE$4:AE$174,Master!V$4:V$174,Master!L$4:L$174,Master!I$4:I$174,Master!BM$4:BM$174},Master!K$4:K$174="Qualified",Master!D$4:D$174="Money Market",Master!AE$4:AE$174&lt;&gt;""),3,FALSE),4,7),"")</f>
        <v/>
      </c>
      <c r="H163" s="81" t="inlineStr"/>
    </row>
    <row r="164" ht="16" customHeight="1">
      <c r="A164" s="59">
        <f>IFERROR(INDEX(SORT(FILTER({Master!A$4:A$174,Master!B$4:B$174,Master!AE$4:AE$174,Master!V$4:V$174,Master!L$4:L$174,Master!I$4:I$174,Master!BM$4:BM$174},Master!K$4:K$174="Qualified",Master!D$4:D$174="Money Market",Master!AE$4:AE$174&lt;&gt;""),3,FALSE),5,1),"")</f>
        <v/>
      </c>
      <c r="B164" s="59">
        <f>IFERROR(INDEX(SORT(FILTER({Master!A$4:A$174,Master!B$4:B$174,Master!AE$4:AE$174,Master!V$4:V$174,Master!L$4:L$174,Master!I$4:I$174,Master!BM$4:BM$174},Master!K$4:K$174="Qualified",Master!D$4:D$174="Money Market",Master!AE$4:AE$174&lt;&gt;""),3,FALSE),5,2),"")</f>
        <v/>
      </c>
      <c r="C164" s="75">
        <f>IFERROR(INDEX(SORT(FILTER({Master!A$4:A$174,Master!B$4:B$174,Master!AE$4:AE$174,Master!V$4:V$174,Master!L$4:L$174,Master!I$4:I$174,Master!BM$4:BM$174},Master!K$4:K$174="Qualified",Master!D$4:D$174="Money Market",Master!AE$4:AE$174&lt;&gt;""),3,FALSE),5,3),"")</f>
        <v/>
      </c>
      <c r="D164" s="75">
        <f>IFERROR(INDEX(SORT(FILTER({Master!A$4:A$174,Master!B$4:B$174,Master!AE$4:AE$174,Master!V$4:V$174,Master!L$4:L$174,Master!I$4:I$174,Master!BM$4:BM$174},Master!K$4:K$174="Qualified",Master!D$4:D$174="Money Market",Master!AE$4:AE$174&lt;&gt;""),3,FALSE),5,4),"")</f>
        <v/>
      </c>
      <c r="E164" s="76">
        <f>IFERROR(INDEX(SORT(FILTER({Master!A$4:A$174,Master!B$4:B$174,Master!AE$4:AE$174,Master!V$4:V$174,Master!L$4:L$174,Master!I$4:I$174,Master!BM$4:BM$174},Master!K$4:K$174="Qualified",Master!D$4:D$174="Money Market",Master!AE$4:AE$174&lt;&gt;""),3,FALSE),5,5),"")</f>
        <v/>
      </c>
      <c r="F164" s="77">
        <f>IFERROR(INDEX(SORT(FILTER({Master!A$4:A$174,Master!B$4:B$174,Master!AE$4:AE$174,Master!V$4:V$174,Master!L$4:L$174,Master!I$4:I$174,Master!BM$4:BM$174},Master!K$4:K$174="Qualified",Master!D$4:D$174="Money Market",Master!AE$4:AE$174&lt;&gt;""),3,FALSE),5,6),"")</f>
        <v/>
      </c>
      <c r="G164" s="78">
        <f>IFERROR(INDEX(SORT(FILTER({Master!A$4:A$174,Master!B$4:B$174,Master!AE$4:AE$174,Master!V$4:V$174,Master!L$4:L$174,Master!I$4:I$174,Master!BM$4:BM$174},Master!K$4:K$174="Qualified",Master!D$4:D$174="Money Market",Master!AE$4:AE$174&lt;&gt;""),3,FALSE),5,7),"")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IFERROR(INDEX(SORT(FILTER({Master!A$4:A$174,Master!B$4:B$174,Master!I$4:I$174,Master!T$4:T$174,Master!V$4:V$174,Master!L$4:L$174,Master!BM$4:BM$174},Master!K$4:K$174="Qualified",Master!D$4:D$174="Money Market",Master!I$4:I$174&lt;&gt;""),3,FALSE),1,1),"")</f>
        <v/>
      </c>
      <c r="B168" s="59">
        <f>IFERROR(INDEX(SORT(FILTER({Master!A$4:A$174,Master!B$4:B$174,Master!I$4:I$174,Master!T$4:T$174,Master!V$4:V$174,Master!L$4:L$174,Master!BM$4:BM$174},Master!K$4:K$174="Qualified",Master!D$4:D$174="Money Market",Master!I$4:I$174&lt;&gt;""),3,FALSE),1,2),"")</f>
        <v/>
      </c>
      <c r="C168" s="77">
        <f>IFERROR(INDEX(SORT(FILTER({Master!A$4:A$174,Master!B$4:B$174,Master!I$4:I$174,Master!T$4:T$174,Master!V$4:V$174,Master!L$4:L$174,Master!BM$4:BM$174},Master!K$4:K$174="Qualified",Master!D$4:D$174="Money Market",Master!I$4:I$174&lt;&gt;""),3,FALSE),1,3),"")</f>
        <v/>
      </c>
      <c r="D168" s="75">
        <f>IFERROR(INDEX(SORT(FILTER({Master!A$4:A$174,Master!B$4:B$174,Master!I$4:I$174,Master!T$4:T$174,Master!V$4:V$174,Master!L$4:L$174,Master!BM$4:BM$174},Master!K$4:K$174="Qualified",Master!D$4:D$174="Money Market",Master!I$4:I$174&lt;&gt;""),3,FALSE),1,4),"")</f>
        <v/>
      </c>
      <c r="E168" s="75">
        <f>IFERROR(INDEX(SORT(FILTER({Master!A$4:A$174,Master!B$4:B$174,Master!I$4:I$174,Master!T$4:T$174,Master!V$4:V$174,Master!L$4:L$174,Master!BM$4:BM$174},Master!K$4:K$174="Qualified",Master!D$4:D$174="Money Market",Master!I$4:I$174&lt;&gt;""),3,FALSE),1,5),"")</f>
        <v/>
      </c>
      <c r="F168" s="76">
        <f>IFERROR(INDEX(SORT(FILTER({Master!A$4:A$174,Master!B$4:B$174,Master!I$4:I$174,Master!T$4:T$174,Master!V$4:V$174,Master!L$4:L$174,Master!BM$4:BM$174},Master!K$4:K$174="Qualified",Master!D$4:D$174="Money Market",Master!I$4:I$174&lt;&gt;""),3,FALSE),1,6),"")</f>
        <v/>
      </c>
      <c r="G168" s="78">
        <f>IFERROR(INDEX(SORT(FILTER({Master!A$4:A$174,Master!B$4:B$174,Master!I$4:I$174,Master!T$4:T$174,Master!V$4:V$174,Master!L$4:L$174,Master!BM$4:BM$174},Master!K$4:K$174="Qualified",Master!D$4:D$174="Money Market",Master!I$4:I$174&lt;&gt;""),3,FALSE),1,7),"")</f>
        <v/>
      </c>
      <c r="H168" s="78" t="inlineStr"/>
    </row>
    <row r="169" ht="16" customHeight="1">
      <c r="A169" s="58">
        <f>IFERROR(INDEX(SORT(FILTER({Master!A$4:A$174,Master!B$4:B$174,Master!I$4:I$174,Master!T$4:T$174,Master!V$4:V$174,Master!L$4:L$174,Master!BM$4:BM$174},Master!K$4:K$174="Qualified",Master!D$4:D$174="Money Market",Master!I$4:I$174&lt;&gt;""),3,FALSE),2,1),"")</f>
        <v/>
      </c>
      <c r="B169" s="58">
        <f>IFERROR(INDEX(SORT(FILTER({Master!A$4:A$174,Master!B$4:B$174,Master!I$4:I$174,Master!T$4:T$174,Master!V$4:V$174,Master!L$4:L$174,Master!BM$4:BM$174},Master!K$4:K$174="Qualified",Master!D$4:D$174="Money Market",Master!I$4:I$174&lt;&gt;""),3,FALSE),2,2),"")</f>
        <v/>
      </c>
      <c r="C169" s="80">
        <f>IFERROR(INDEX(SORT(FILTER({Master!A$4:A$174,Master!B$4:B$174,Master!I$4:I$174,Master!T$4:T$174,Master!V$4:V$174,Master!L$4:L$174,Master!BM$4:BM$174},Master!K$4:K$174="Qualified",Master!D$4:D$174="Money Market",Master!I$4:I$174&lt;&gt;""),3,FALSE),2,3),"")</f>
        <v/>
      </c>
      <c r="D169" s="74">
        <f>IFERROR(INDEX(SORT(FILTER({Master!A$4:A$174,Master!B$4:B$174,Master!I$4:I$174,Master!T$4:T$174,Master!V$4:V$174,Master!L$4:L$174,Master!BM$4:BM$174},Master!K$4:K$174="Qualified",Master!D$4:D$174="Money Market",Master!I$4:I$174&lt;&gt;""),3,FALSE),2,4),"")</f>
        <v/>
      </c>
      <c r="E169" s="74">
        <f>IFERROR(INDEX(SORT(FILTER({Master!A$4:A$174,Master!B$4:B$174,Master!I$4:I$174,Master!T$4:T$174,Master!V$4:V$174,Master!L$4:L$174,Master!BM$4:BM$174},Master!K$4:K$174="Qualified",Master!D$4:D$174="Money Market",Master!I$4:I$174&lt;&gt;""),3,FALSE),2,5),"")</f>
        <v/>
      </c>
      <c r="F169" s="79">
        <f>IFERROR(INDEX(SORT(FILTER({Master!A$4:A$174,Master!B$4:B$174,Master!I$4:I$174,Master!T$4:T$174,Master!V$4:V$174,Master!L$4:L$174,Master!BM$4:BM$174},Master!K$4:K$174="Qualified",Master!D$4:D$174="Money Market",Master!I$4:I$174&lt;&gt;""),3,FALSE),2,6),"")</f>
        <v/>
      </c>
      <c r="G169" s="81">
        <f>IFERROR(INDEX(SORT(FILTER({Master!A$4:A$174,Master!B$4:B$174,Master!I$4:I$174,Master!T$4:T$174,Master!V$4:V$174,Master!L$4:L$174,Master!BM$4:BM$174},Master!K$4:K$174="Qualified",Master!D$4:D$174="Money Market",Master!I$4:I$174&lt;&gt;""),3,FALSE),2,7),"")</f>
        <v/>
      </c>
      <c r="H169" s="81" t="inlineStr"/>
    </row>
    <row r="170" ht="16" customHeight="1">
      <c r="A170" s="59">
        <f>IFERROR(INDEX(SORT(FILTER({Master!A$4:A$174,Master!B$4:B$174,Master!I$4:I$174,Master!T$4:T$174,Master!V$4:V$174,Master!L$4:L$174,Master!BM$4:BM$174},Master!K$4:K$174="Qualified",Master!D$4:D$174="Money Market",Master!I$4:I$174&lt;&gt;""),3,FALSE),3,1),"")</f>
        <v/>
      </c>
      <c r="B170" s="59">
        <f>IFERROR(INDEX(SORT(FILTER({Master!A$4:A$174,Master!B$4:B$174,Master!I$4:I$174,Master!T$4:T$174,Master!V$4:V$174,Master!L$4:L$174,Master!BM$4:BM$174},Master!K$4:K$174="Qualified",Master!D$4:D$174="Money Market",Master!I$4:I$174&lt;&gt;""),3,FALSE),3,2),"")</f>
        <v/>
      </c>
      <c r="C170" s="77">
        <f>IFERROR(INDEX(SORT(FILTER({Master!A$4:A$174,Master!B$4:B$174,Master!I$4:I$174,Master!T$4:T$174,Master!V$4:V$174,Master!L$4:L$174,Master!BM$4:BM$174},Master!K$4:K$174="Qualified",Master!D$4:D$174="Money Market",Master!I$4:I$174&lt;&gt;""),3,FALSE),3,3),"")</f>
        <v/>
      </c>
      <c r="D170" s="75">
        <f>IFERROR(INDEX(SORT(FILTER({Master!A$4:A$174,Master!B$4:B$174,Master!I$4:I$174,Master!T$4:T$174,Master!V$4:V$174,Master!L$4:L$174,Master!BM$4:BM$174},Master!K$4:K$174="Qualified",Master!D$4:D$174="Money Market",Master!I$4:I$174&lt;&gt;""),3,FALSE),3,4),"")</f>
        <v/>
      </c>
      <c r="E170" s="75">
        <f>IFERROR(INDEX(SORT(FILTER({Master!A$4:A$174,Master!B$4:B$174,Master!I$4:I$174,Master!T$4:T$174,Master!V$4:V$174,Master!L$4:L$174,Master!BM$4:BM$174},Master!K$4:K$174="Qualified",Master!D$4:D$174="Money Market",Master!I$4:I$174&lt;&gt;""),3,FALSE),3,5),"")</f>
        <v/>
      </c>
      <c r="F170" s="76">
        <f>IFERROR(INDEX(SORT(FILTER({Master!A$4:A$174,Master!B$4:B$174,Master!I$4:I$174,Master!T$4:T$174,Master!V$4:V$174,Master!L$4:L$174,Master!BM$4:BM$174},Master!K$4:K$174="Qualified",Master!D$4:D$174="Money Market",Master!I$4:I$174&lt;&gt;""),3,FALSE),3,6),"")</f>
        <v/>
      </c>
      <c r="G170" s="78">
        <f>IFERROR(INDEX(SORT(FILTER({Master!A$4:A$174,Master!B$4:B$174,Master!I$4:I$174,Master!T$4:T$174,Master!V$4:V$174,Master!L$4:L$174,Master!BM$4:BM$174},Master!K$4:K$174="Qualified",Master!D$4:D$174="Money Market",Master!I$4:I$174&lt;&gt;""),3,FALSE),3,7),"")</f>
        <v/>
      </c>
      <c r="H170" s="78" t="inlineStr"/>
    </row>
    <row r="171" ht="16" customHeight="1">
      <c r="A171" s="58">
        <f>IFERROR(INDEX(SORT(FILTER({Master!A$4:A$174,Master!B$4:B$174,Master!I$4:I$174,Master!T$4:T$174,Master!V$4:V$174,Master!L$4:L$174,Master!BM$4:BM$174},Master!K$4:K$174="Qualified",Master!D$4:D$174="Money Market",Master!I$4:I$174&lt;&gt;""),3,FALSE),4,1),"")</f>
        <v/>
      </c>
      <c r="B171" s="58">
        <f>IFERROR(INDEX(SORT(FILTER({Master!A$4:A$174,Master!B$4:B$174,Master!I$4:I$174,Master!T$4:T$174,Master!V$4:V$174,Master!L$4:L$174,Master!BM$4:BM$174},Master!K$4:K$174="Qualified",Master!D$4:D$174="Money Market",Master!I$4:I$174&lt;&gt;""),3,FALSE),4,2),"")</f>
        <v/>
      </c>
      <c r="C171" s="80">
        <f>IFERROR(INDEX(SORT(FILTER({Master!A$4:A$174,Master!B$4:B$174,Master!I$4:I$174,Master!T$4:T$174,Master!V$4:V$174,Master!L$4:L$174,Master!BM$4:BM$174},Master!K$4:K$174="Qualified",Master!D$4:D$174="Money Market",Master!I$4:I$174&lt;&gt;""),3,FALSE),4,3),"")</f>
        <v/>
      </c>
      <c r="D171" s="74">
        <f>IFERROR(INDEX(SORT(FILTER({Master!A$4:A$174,Master!B$4:B$174,Master!I$4:I$174,Master!T$4:T$174,Master!V$4:V$174,Master!L$4:L$174,Master!BM$4:BM$174},Master!K$4:K$174="Qualified",Master!D$4:D$174="Money Market",Master!I$4:I$174&lt;&gt;""),3,FALSE),4,4),"")</f>
        <v/>
      </c>
      <c r="E171" s="74">
        <f>IFERROR(INDEX(SORT(FILTER({Master!A$4:A$174,Master!B$4:B$174,Master!I$4:I$174,Master!T$4:T$174,Master!V$4:V$174,Master!L$4:L$174,Master!BM$4:BM$174},Master!K$4:K$174="Qualified",Master!D$4:D$174="Money Market",Master!I$4:I$174&lt;&gt;""),3,FALSE),4,5),"")</f>
        <v/>
      </c>
      <c r="F171" s="79">
        <f>IFERROR(INDEX(SORT(FILTER({Master!A$4:A$174,Master!B$4:B$174,Master!I$4:I$174,Master!T$4:T$174,Master!V$4:V$174,Master!L$4:L$174,Master!BM$4:BM$174},Master!K$4:K$174="Qualified",Master!D$4:D$174="Money Market",Master!I$4:I$174&lt;&gt;""),3,FALSE),4,6),"")</f>
        <v/>
      </c>
      <c r="G171" s="81">
        <f>IFERROR(INDEX(SORT(FILTER({Master!A$4:A$174,Master!B$4:B$174,Master!I$4:I$174,Master!T$4:T$174,Master!V$4:V$174,Master!L$4:L$174,Master!BM$4:BM$174},Master!K$4:K$174="Qualified",Master!D$4:D$174="Money Market",Master!I$4:I$174&lt;&gt;""),3,FALSE),4,7),"")</f>
        <v/>
      </c>
      <c r="H171" s="81" t="inlineStr"/>
    </row>
    <row r="172" ht="16" customHeight="1">
      <c r="A172" s="59">
        <f>IFERROR(INDEX(SORT(FILTER({Master!A$4:A$174,Master!B$4:B$174,Master!I$4:I$174,Master!T$4:T$174,Master!V$4:V$174,Master!L$4:L$174,Master!BM$4:BM$174},Master!K$4:K$174="Qualified",Master!D$4:D$174="Money Market",Master!I$4:I$174&lt;&gt;""),3,FALSE),5,1),"")</f>
        <v/>
      </c>
      <c r="B172" s="59">
        <f>IFERROR(INDEX(SORT(FILTER({Master!A$4:A$174,Master!B$4:B$174,Master!I$4:I$174,Master!T$4:T$174,Master!V$4:V$174,Master!L$4:L$174,Master!BM$4:BM$174},Master!K$4:K$174="Qualified",Master!D$4:D$174="Money Market",Master!I$4:I$174&lt;&gt;""),3,FALSE),5,2),"")</f>
        <v/>
      </c>
      <c r="C172" s="77">
        <f>IFERROR(INDEX(SORT(FILTER({Master!A$4:A$174,Master!B$4:B$174,Master!I$4:I$174,Master!T$4:T$174,Master!V$4:V$174,Master!L$4:L$174,Master!BM$4:BM$174},Master!K$4:K$174="Qualified",Master!D$4:D$174="Money Market",Master!I$4:I$174&lt;&gt;""),3,FALSE),5,3),"")</f>
        <v/>
      </c>
      <c r="D172" s="75">
        <f>IFERROR(INDEX(SORT(FILTER({Master!A$4:A$174,Master!B$4:B$174,Master!I$4:I$174,Master!T$4:T$174,Master!V$4:V$174,Master!L$4:L$174,Master!BM$4:BM$174},Master!K$4:K$174="Qualified",Master!D$4:D$174="Money Market",Master!I$4:I$174&lt;&gt;""),3,FALSE),5,4),"")</f>
        <v/>
      </c>
      <c r="E172" s="75">
        <f>IFERROR(INDEX(SORT(FILTER({Master!A$4:A$174,Master!B$4:B$174,Master!I$4:I$174,Master!T$4:T$174,Master!V$4:V$174,Master!L$4:L$174,Master!BM$4:BM$174},Master!K$4:K$174="Qualified",Master!D$4:D$174="Money Market",Master!I$4:I$174&lt;&gt;""),3,FALSE),5,5),"")</f>
        <v/>
      </c>
      <c r="F172" s="76">
        <f>IFERROR(INDEX(SORT(FILTER({Master!A$4:A$174,Master!B$4:B$174,Master!I$4:I$174,Master!T$4:T$174,Master!V$4:V$174,Master!L$4:L$174,Master!BM$4:BM$174},Master!K$4:K$174="Qualified",Master!D$4:D$174="Money Market",Master!I$4:I$174&lt;&gt;""),3,FALSE),5,6),"")</f>
        <v/>
      </c>
      <c r="G172" s="78">
        <f>IFERROR(INDEX(SORT(FILTER({Master!A$4:A$174,Master!B$4:B$174,Master!I$4:I$174,Master!T$4:T$174,Master!V$4:V$174,Master!L$4:L$174,Master!BM$4:BM$174},Master!K$4:K$174="Qualified",Master!D$4:D$174="Money Market",Master!I$4:I$174&lt;&gt;""),3,FALSE),5,7),"")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IFERROR(MEDIAN(FILTER(Master!N$4:N$174,(Master!K$4:K$174="Qualified")*(Master!D$4:D$174="Fund of Funds"))),"")</f>
        <v/>
      </c>
      <c r="C176" s="74">
        <f>IFERROR(MEDIAN(FILTER(Master!Q$4:Q$174,(Master!K$4:K$174="Qualified")*(Master!D$4:D$174="Fund of Funds"))),"")</f>
        <v/>
      </c>
      <c r="D176" s="74">
        <f>IFERROR(MEDIAN(FILTER(Master!T$4:T$174,(Master!K$4:K$174="Qualified")*(Master!D$4:D$174="Fund of Funds"))),"")</f>
        <v/>
      </c>
      <c r="E176" s="74">
        <f>IFERROR(MEDIAN(FILTER(Master!W$4:W$174,(Master!K$4:K$174="Qualified")*(Master!D$4:D$174="Fund of Funds"))),"")</f>
        <v/>
      </c>
      <c r="F176" s="74">
        <f>IFERROR(MEDIAN(FILTER(Master!Z$4:Z$174,(Master!K$4:K$174="Qualified")*(Master!D$4:D$174="Fund of Funds"))),"")</f>
        <v/>
      </c>
      <c r="G176" s="74">
        <f>IFERROR(MEDIAN(FILTER(Master!V$4:V$174,(Master!K$4:K$174="Qualified")*(Master!D$4:D$174="Fund of Funds"))),"")</f>
        <v/>
      </c>
      <c r="H176" s="74">
        <f>IFERROR(MEDIAN(FILTER(Master!L$4:L$174,(Master!K$4:K$174="Qualified")*(Master!D$4:D$174="Fund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IFERROR(INDEX(SORT(FILTER({Master!A$4:A$174,Master!B$4:B$174,Master!T$4:T$174,Master!V$4:V$174,Master!L$4:L$174,Master!I$4:I$174,Master!BM$4:BM$174},Master!K$4:K$174="Qualified",Master!D$4:D$174="Fund of Funds",Master!T$4:T$174&lt;&gt;""),3,FALSE),1,1),"")</f>
        <v/>
      </c>
      <c r="B180" s="59">
        <f>IFERROR(INDEX(SORT(FILTER({Master!A$4:A$174,Master!B$4:B$174,Master!T$4:T$174,Master!V$4:V$174,Master!L$4:L$174,Master!I$4:I$174,Master!BM$4:BM$174},Master!K$4:K$174="Qualified",Master!D$4:D$174="Fund of Funds",Master!T$4:T$174&lt;&gt;""),3,FALSE),1,2),"")</f>
        <v/>
      </c>
      <c r="C180" s="75">
        <f>IFERROR(INDEX(SORT(FILTER({Master!A$4:A$174,Master!B$4:B$174,Master!T$4:T$174,Master!V$4:V$174,Master!L$4:L$174,Master!I$4:I$174,Master!BM$4:BM$174},Master!K$4:K$174="Qualified",Master!D$4:D$174="Fund of Funds",Master!T$4:T$174&lt;&gt;""),3,FALSE),1,3),"")</f>
        <v/>
      </c>
      <c r="D180" s="75">
        <f>IFERROR(INDEX(SORT(FILTER({Master!A$4:A$174,Master!B$4:B$174,Master!T$4:T$174,Master!V$4:V$174,Master!L$4:L$174,Master!I$4:I$174,Master!BM$4:BM$174},Master!K$4:K$174="Qualified",Master!D$4:D$174="Fund of Funds",Master!T$4:T$174&lt;&gt;""),3,FALSE),1,4),"")</f>
        <v/>
      </c>
      <c r="E180" s="76">
        <f>IFERROR(INDEX(SORT(FILTER({Master!A$4:A$174,Master!B$4:B$174,Master!T$4:T$174,Master!V$4:V$174,Master!L$4:L$174,Master!I$4:I$174,Master!BM$4:BM$174},Master!K$4:K$174="Qualified",Master!D$4:D$174="Fund of Funds",Master!T$4:T$174&lt;&gt;""),3,FALSE),1,5),"")</f>
        <v/>
      </c>
      <c r="F180" s="77">
        <f>IFERROR(INDEX(SORT(FILTER({Master!A$4:A$174,Master!B$4:B$174,Master!T$4:T$174,Master!V$4:V$174,Master!L$4:L$174,Master!I$4:I$174,Master!BM$4:BM$174},Master!K$4:K$174="Qualified",Master!D$4:D$174="Fund of Funds",Master!T$4:T$174&lt;&gt;""),3,FALSE),1,6),"")</f>
        <v/>
      </c>
      <c r="G180" s="78">
        <f>IFERROR(INDEX(SORT(FILTER({Master!A$4:A$174,Master!B$4:B$174,Master!T$4:T$174,Master!V$4:V$174,Master!L$4:L$174,Master!I$4:I$174,Master!BM$4:BM$174},Master!K$4:K$174="Qualified",Master!D$4:D$174="Fund of Funds",Master!T$4:T$174&lt;&gt;""),3,FALSE),1,7),"")</f>
        <v/>
      </c>
      <c r="H180" s="78" t="inlineStr"/>
    </row>
    <row r="181" ht="16" customHeight="1">
      <c r="A181" s="58">
        <f>IFERROR(INDEX(SORT(FILTER({Master!A$4:A$174,Master!B$4:B$174,Master!T$4:T$174,Master!V$4:V$174,Master!L$4:L$174,Master!I$4:I$174,Master!BM$4:BM$174},Master!K$4:K$174="Qualified",Master!D$4:D$174="Fund of Funds",Master!T$4:T$174&lt;&gt;""),3,FALSE),2,1),"")</f>
        <v/>
      </c>
      <c r="B181" s="58">
        <f>IFERROR(INDEX(SORT(FILTER({Master!A$4:A$174,Master!B$4:B$174,Master!T$4:T$174,Master!V$4:V$174,Master!L$4:L$174,Master!I$4:I$174,Master!BM$4:BM$174},Master!K$4:K$174="Qualified",Master!D$4:D$174="Fund of Funds",Master!T$4:T$174&lt;&gt;""),3,FALSE),2,2),"")</f>
        <v/>
      </c>
      <c r="C181" s="74">
        <f>IFERROR(INDEX(SORT(FILTER({Master!A$4:A$174,Master!B$4:B$174,Master!T$4:T$174,Master!V$4:V$174,Master!L$4:L$174,Master!I$4:I$174,Master!BM$4:BM$174},Master!K$4:K$174="Qualified",Master!D$4:D$174="Fund of Funds",Master!T$4:T$174&lt;&gt;""),3,FALSE),2,3),"")</f>
        <v/>
      </c>
      <c r="D181" s="74">
        <f>IFERROR(INDEX(SORT(FILTER({Master!A$4:A$174,Master!B$4:B$174,Master!T$4:T$174,Master!V$4:V$174,Master!L$4:L$174,Master!I$4:I$174,Master!BM$4:BM$174},Master!K$4:K$174="Qualified",Master!D$4:D$174="Fund of Funds",Master!T$4:T$174&lt;&gt;""),3,FALSE),2,4),"")</f>
        <v/>
      </c>
      <c r="E181" s="79">
        <f>IFERROR(INDEX(SORT(FILTER({Master!A$4:A$174,Master!B$4:B$174,Master!T$4:T$174,Master!V$4:V$174,Master!L$4:L$174,Master!I$4:I$174,Master!BM$4:BM$174},Master!K$4:K$174="Qualified",Master!D$4:D$174="Fund of Funds",Master!T$4:T$174&lt;&gt;""),3,FALSE),2,5),"")</f>
        <v/>
      </c>
      <c r="F181" s="80">
        <f>IFERROR(INDEX(SORT(FILTER({Master!A$4:A$174,Master!B$4:B$174,Master!T$4:T$174,Master!V$4:V$174,Master!L$4:L$174,Master!I$4:I$174,Master!BM$4:BM$174},Master!K$4:K$174="Qualified",Master!D$4:D$174="Fund of Funds",Master!T$4:T$174&lt;&gt;""),3,FALSE),2,6),"")</f>
        <v/>
      </c>
      <c r="G181" s="81">
        <f>IFERROR(INDEX(SORT(FILTER({Master!A$4:A$174,Master!B$4:B$174,Master!T$4:T$174,Master!V$4:V$174,Master!L$4:L$174,Master!I$4:I$174,Master!BM$4:BM$174},Master!K$4:K$174="Qualified",Master!D$4:D$174="Fund of Funds",Master!T$4:T$174&lt;&gt;""),3,FALSE),2,7),"")</f>
        <v/>
      </c>
      <c r="H181" s="81" t="inlineStr"/>
    </row>
    <row r="182" ht="16" customHeight="1">
      <c r="A182" s="59">
        <f>IFERROR(INDEX(SORT(FILTER({Master!A$4:A$174,Master!B$4:B$174,Master!T$4:T$174,Master!V$4:V$174,Master!L$4:L$174,Master!I$4:I$174,Master!BM$4:BM$174},Master!K$4:K$174="Qualified",Master!D$4:D$174="Fund of Funds",Master!T$4:T$174&lt;&gt;""),3,FALSE),3,1),"")</f>
        <v/>
      </c>
      <c r="B182" s="59">
        <f>IFERROR(INDEX(SORT(FILTER({Master!A$4:A$174,Master!B$4:B$174,Master!T$4:T$174,Master!V$4:V$174,Master!L$4:L$174,Master!I$4:I$174,Master!BM$4:BM$174},Master!K$4:K$174="Qualified",Master!D$4:D$174="Fund of Funds",Master!T$4:T$174&lt;&gt;""),3,FALSE),3,2),"")</f>
        <v/>
      </c>
      <c r="C182" s="75">
        <f>IFERROR(INDEX(SORT(FILTER({Master!A$4:A$174,Master!B$4:B$174,Master!T$4:T$174,Master!V$4:V$174,Master!L$4:L$174,Master!I$4:I$174,Master!BM$4:BM$174},Master!K$4:K$174="Qualified",Master!D$4:D$174="Fund of Funds",Master!T$4:T$174&lt;&gt;""),3,FALSE),3,3),"")</f>
        <v/>
      </c>
      <c r="D182" s="75">
        <f>IFERROR(INDEX(SORT(FILTER({Master!A$4:A$174,Master!B$4:B$174,Master!T$4:T$174,Master!V$4:V$174,Master!L$4:L$174,Master!I$4:I$174,Master!BM$4:BM$174},Master!K$4:K$174="Qualified",Master!D$4:D$174="Fund of Funds",Master!T$4:T$174&lt;&gt;""),3,FALSE),3,4),"")</f>
        <v/>
      </c>
      <c r="E182" s="76">
        <f>IFERROR(INDEX(SORT(FILTER({Master!A$4:A$174,Master!B$4:B$174,Master!T$4:T$174,Master!V$4:V$174,Master!L$4:L$174,Master!I$4:I$174,Master!BM$4:BM$174},Master!K$4:K$174="Qualified",Master!D$4:D$174="Fund of Funds",Master!T$4:T$174&lt;&gt;""),3,FALSE),3,5),"")</f>
        <v/>
      </c>
      <c r="F182" s="77">
        <f>IFERROR(INDEX(SORT(FILTER({Master!A$4:A$174,Master!B$4:B$174,Master!T$4:T$174,Master!V$4:V$174,Master!L$4:L$174,Master!I$4:I$174,Master!BM$4:BM$174},Master!K$4:K$174="Qualified",Master!D$4:D$174="Fund of Funds",Master!T$4:T$174&lt;&gt;""),3,FALSE),3,6),"")</f>
        <v/>
      </c>
      <c r="G182" s="78">
        <f>IFERROR(INDEX(SORT(FILTER({Master!A$4:A$174,Master!B$4:B$174,Master!T$4:T$174,Master!V$4:V$174,Master!L$4:L$174,Master!I$4:I$174,Master!BM$4:BM$174},Master!K$4:K$174="Qualified",Master!D$4:D$174="Fund of Funds",Master!T$4:T$174&lt;&gt;""),3,FALSE),3,7),"")</f>
        <v/>
      </c>
      <c r="H182" s="78" t="inlineStr"/>
    </row>
    <row r="183" ht="16" customHeight="1">
      <c r="A183" s="58">
        <f>IFERROR(INDEX(SORT(FILTER({Master!A$4:A$174,Master!B$4:B$174,Master!T$4:T$174,Master!V$4:V$174,Master!L$4:L$174,Master!I$4:I$174,Master!BM$4:BM$174},Master!K$4:K$174="Qualified",Master!D$4:D$174="Fund of Funds",Master!T$4:T$174&lt;&gt;""),3,FALSE),4,1),"")</f>
        <v/>
      </c>
      <c r="B183" s="58">
        <f>IFERROR(INDEX(SORT(FILTER({Master!A$4:A$174,Master!B$4:B$174,Master!T$4:T$174,Master!V$4:V$174,Master!L$4:L$174,Master!I$4:I$174,Master!BM$4:BM$174},Master!K$4:K$174="Qualified",Master!D$4:D$174="Fund of Funds",Master!T$4:T$174&lt;&gt;""),3,FALSE),4,2),"")</f>
        <v/>
      </c>
      <c r="C183" s="74">
        <f>IFERROR(INDEX(SORT(FILTER({Master!A$4:A$174,Master!B$4:B$174,Master!T$4:T$174,Master!V$4:V$174,Master!L$4:L$174,Master!I$4:I$174,Master!BM$4:BM$174},Master!K$4:K$174="Qualified",Master!D$4:D$174="Fund of Funds",Master!T$4:T$174&lt;&gt;""),3,FALSE),4,3),"")</f>
        <v/>
      </c>
      <c r="D183" s="74">
        <f>IFERROR(INDEX(SORT(FILTER({Master!A$4:A$174,Master!B$4:B$174,Master!T$4:T$174,Master!V$4:V$174,Master!L$4:L$174,Master!I$4:I$174,Master!BM$4:BM$174},Master!K$4:K$174="Qualified",Master!D$4:D$174="Fund of Funds",Master!T$4:T$174&lt;&gt;""),3,FALSE),4,4),"")</f>
        <v/>
      </c>
      <c r="E183" s="79">
        <f>IFERROR(INDEX(SORT(FILTER({Master!A$4:A$174,Master!B$4:B$174,Master!T$4:T$174,Master!V$4:V$174,Master!L$4:L$174,Master!I$4:I$174,Master!BM$4:BM$174},Master!K$4:K$174="Qualified",Master!D$4:D$174="Fund of Funds",Master!T$4:T$174&lt;&gt;""),3,FALSE),4,5),"")</f>
        <v/>
      </c>
      <c r="F183" s="80">
        <f>IFERROR(INDEX(SORT(FILTER({Master!A$4:A$174,Master!B$4:B$174,Master!T$4:T$174,Master!V$4:V$174,Master!L$4:L$174,Master!I$4:I$174,Master!BM$4:BM$174},Master!K$4:K$174="Qualified",Master!D$4:D$174="Fund of Funds",Master!T$4:T$174&lt;&gt;""),3,FALSE),4,6),"")</f>
        <v/>
      </c>
      <c r="G183" s="81">
        <f>IFERROR(INDEX(SORT(FILTER({Master!A$4:A$174,Master!B$4:B$174,Master!T$4:T$174,Master!V$4:V$174,Master!L$4:L$174,Master!I$4:I$174,Master!BM$4:BM$174},Master!K$4:K$174="Qualified",Master!D$4:D$174="Fund of Funds",Master!T$4:T$174&lt;&gt;""),3,FALSE),4,7),"")</f>
        <v/>
      </c>
      <c r="H183" s="81" t="inlineStr"/>
    </row>
    <row r="184" ht="16" customHeight="1">
      <c r="A184" s="59">
        <f>IFERROR(INDEX(SORT(FILTER({Master!A$4:A$174,Master!B$4:B$174,Master!T$4:T$174,Master!V$4:V$174,Master!L$4:L$174,Master!I$4:I$174,Master!BM$4:BM$174},Master!K$4:K$174="Qualified",Master!D$4:D$174="Fund of Funds",Master!T$4:T$174&lt;&gt;""),3,FALSE),5,1),"")</f>
        <v/>
      </c>
      <c r="B184" s="59">
        <f>IFERROR(INDEX(SORT(FILTER({Master!A$4:A$174,Master!B$4:B$174,Master!T$4:T$174,Master!V$4:V$174,Master!L$4:L$174,Master!I$4:I$174,Master!BM$4:BM$174},Master!K$4:K$174="Qualified",Master!D$4:D$174="Fund of Funds",Master!T$4:T$174&lt;&gt;""),3,FALSE),5,2),"")</f>
        <v/>
      </c>
      <c r="C184" s="75">
        <f>IFERROR(INDEX(SORT(FILTER({Master!A$4:A$174,Master!B$4:B$174,Master!T$4:T$174,Master!V$4:V$174,Master!L$4:L$174,Master!I$4:I$174,Master!BM$4:BM$174},Master!K$4:K$174="Qualified",Master!D$4:D$174="Fund of Funds",Master!T$4:T$174&lt;&gt;""),3,FALSE),5,3),"")</f>
        <v/>
      </c>
      <c r="D184" s="75">
        <f>IFERROR(INDEX(SORT(FILTER({Master!A$4:A$174,Master!B$4:B$174,Master!T$4:T$174,Master!V$4:V$174,Master!L$4:L$174,Master!I$4:I$174,Master!BM$4:BM$174},Master!K$4:K$174="Qualified",Master!D$4:D$174="Fund of Funds",Master!T$4:T$174&lt;&gt;""),3,FALSE),5,4),"")</f>
        <v/>
      </c>
      <c r="E184" s="76">
        <f>IFERROR(INDEX(SORT(FILTER({Master!A$4:A$174,Master!B$4:B$174,Master!T$4:T$174,Master!V$4:V$174,Master!L$4:L$174,Master!I$4:I$174,Master!BM$4:BM$174},Master!K$4:K$174="Qualified",Master!D$4:D$174="Fund of Funds",Master!T$4:T$174&lt;&gt;""),3,FALSE),5,5),"")</f>
        <v/>
      </c>
      <c r="F184" s="77">
        <f>IFERROR(INDEX(SORT(FILTER({Master!A$4:A$174,Master!B$4:B$174,Master!T$4:T$174,Master!V$4:V$174,Master!L$4:L$174,Master!I$4:I$174,Master!BM$4:BM$174},Master!K$4:K$174="Qualified",Master!D$4:D$174="Fund of Funds",Master!T$4:T$174&lt;&gt;""),3,FALSE),5,6),"")</f>
        <v/>
      </c>
      <c r="G184" s="78">
        <f>IFERROR(INDEX(SORT(FILTER({Master!A$4:A$174,Master!B$4:B$174,Master!T$4:T$174,Master!V$4:V$174,Master!L$4:L$174,Master!I$4:I$174,Master!BM$4:BM$174},Master!K$4:K$174="Qualified",Master!D$4:D$174="Fund of Funds",Master!T$4:T$174&lt;&gt;""),3,FALSE),5,7),"")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IFERROR(INDEX(SORT(FILTER({Master!A$4:A$174,Master!B$4:B$174,Master!T$4:T$174,Master!V$4:V$174,Master!L$4:L$174,Master!I$4:I$174,Master!BM$4:BM$174},Master!K$4:K$174="Qualified",Master!D$4:D$174="Fund of Funds",Master!V$4:V$174&lt;&gt;""),4,FALSE),1,1),"")</f>
        <v/>
      </c>
      <c r="B188" s="59">
        <f>IFERROR(INDEX(SORT(FILTER({Master!A$4:A$174,Master!B$4:B$174,Master!T$4:T$174,Master!V$4:V$174,Master!L$4:L$174,Master!I$4:I$174,Master!BM$4:BM$174},Master!K$4:K$174="Qualified",Master!D$4:D$174="Fund of Funds",Master!V$4:V$174&lt;&gt;""),4,FALSE),1,2),"")</f>
        <v/>
      </c>
      <c r="C188" s="75">
        <f>IFERROR(INDEX(SORT(FILTER({Master!A$4:A$174,Master!B$4:B$174,Master!T$4:T$174,Master!V$4:V$174,Master!L$4:L$174,Master!I$4:I$174,Master!BM$4:BM$174},Master!K$4:K$174="Qualified",Master!D$4:D$174="Fund of Funds",Master!V$4:V$174&lt;&gt;""),4,FALSE),1,3),"")</f>
        <v/>
      </c>
      <c r="D188" s="75">
        <f>IFERROR(INDEX(SORT(FILTER({Master!A$4:A$174,Master!B$4:B$174,Master!T$4:T$174,Master!V$4:V$174,Master!L$4:L$174,Master!I$4:I$174,Master!BM$4:BM$174},Master!K$4:K$174="Qualified",Master!D$4:D$174="Fund of Funds",Master!V$4:V$174&lt;&gt;""),4,FALSE),1,4),"")</f>
        <v/>
      </c>
      <c r="E188" s="76">
        <f>IFERROR(INDEX(SORT(FILTER({Master!A$4:A$174,Master!B$4:B$174,Master!T$4:T$174,Master!V$4:V$174,Master!L$4:L$174,Master!I$4:I$174,Master!BM$4:BM$174},Master!K$4:K$174="Qualified",Master!D$4:D$174="Fund of Funds",Master!V$4:V$174&lt;&gt;""),4,FALSE),1,5),"")</f>
        <v/>
      </c>
      <c r="F188" s="77">
        <f>IFERROR(INDEX(SORT(FILTER({Master!A$4:A$174,Master!B$4:B$174,Master!T$4:T$174,Master!V$4:V$174,Master!L$4:L$174,Master!I$4:I$174,Master!BM$4:BM$174},Master!K$4:K$174="Qualified",Master!D$4:D$174="Fund of Funds",Master!V$4:V$174&lt;&gt;""),4,FALSE),1,6),"")</f>
        <v/>
      </c>
      <c r="G188" s="78">
        <f>IFERROR(INDEX(SORT(FILTER({Master!A$4:A$174,Master!B$4:B$174,Master!T$4:T$174,Master!V$4:V$174,Master!L$4:L$174,Master!I$4:I$174,Master!BM$4:BM$174},Master!K$4:K$174="Qualified",Master!D$4:D$174="Fund of Funds",Master!V$4:V$174&lt;&gt;""),4,FALSE),1,7),"")</f>
        <v/>
      </c>
      <c r="H188" s="78" t="inlineStr"/>
    </row>
    <row r="189" ht="16" customHeight="1">
      <c r="A189" s="58">
        <f>IFERROR(INDEX(SORT(FILTER({Master!A$4:A$174,Master!B$4:B$174,Master!T$4:T$174,Master!V$4:V$174,Master!L$4:L$174,Master!I$4:I$174,Master!BM$4:BM$174},Master!K$4:K$174="Qualified",Master!D$4:D$174="Fund of Funds",Master!V$4:V$174&lt;&gt;""),4,FALSE),2,1),"")</f>
        <v/>
      </c>
      <c r="B189" s="58">
        <f>IFERROR(INDEX(SORT(FILTER({Master!A$4:A$174,Master!B$4:B$174,Master!T$4:T$174,Master!V$4:V$174,Master!L$4:L$174,Master!I$4:I$174,Master!BM$4:BM$174},Master!K$4:K$174="Qualified",Master!D$4:D$174="Fund of Funds",Master!V$4:V$174&lt;&gt;""),4,FALSE),2,2),"")</f>
        <v/>
      </c>
      <c r="C189" s="74">
        <f>IFERROR(INDEX(SORT(FILTER({Master!A$4:A$174,Master!B$4:B$174,Master!T$4:T$174,Master!V$4:V$174,Master!L$4:L$174,Master!I$4:I$174,Master!BM$4:BM$174},Master!K$4:K$174="Qualified",Master!D$4:D$174="Fund of Funds",Master!V$4:V$174&lt;&gt;""),4,FALSE),2,3),"")</f>
        <v/>
      </c>
      <c r="D189" s="74">
        <f>IFERROR(INDEX(SORT(FILTER({Master!A$4:A$174,Master!B$4:B$174,Master!T$4:T$174,Master!V$4:V$174,Master!L$4:L$174,Master!I$4:I$174,Master!BM$4:BM$174},Master!K$4:K$174="Qualified",Master!D$4:D$174="Fund of Funds",Master!V$4:V$174&lt;&gt;""),4,FALSE),2,4),"")</f>
        <v/>
      </c>
      <c r="E189" s="79">
        <f>IFERROR(INDEX(SORT(FILTER({Master!A$4:A$174,Master!B$4:B$174,Master!T$4:T$174,Master!V$4:V$174,Master!L$4:L$174,Master!I$4:I$174,Master!BM$4:BM$174},Master!K$4:K$174="Qualified",Master!D$4:D$174="Fund of Funds",Master!V$4:V$174&lt;&gt;""),4,FALSE),2,5),"")</f>
        <v/>
      </c>
      <c r="F189" s="80">
        <f>IFERROR(INDEX(SORT(FILTER({Master!A$4:A$174,Master!B$4:B$174,Master!T$4:T$174,Master!V$4:V$174,Master!L$4:L$174,Master!I$4:I$174,Master!BM$4:BM$174},Master!K$4:K$174="Qualified",Master!D$4:D$174="Fund of Funds",Master!V$4:V$174&lt;&gt;""),4,FALSE),2,6),"")</f>
        <v/>
      </c>
      <c r="G189" s="81">
        <f>IFERROR(INDEX(SORT(FILTER({Master!A$4:A$174,Master!B$4:B$174,Master!T$4:T$174,Master!V$4:V$174,Master!L$4:L$174,Master!I$4:I$174,Master!BM$4:BM$174},Master!K$4:K$174="Qualified",Master!D$4:D$174="Fund of Funds",Master!V$4:V$174&lt;&gt;""),4,FALSE),2,7),"")</f>
        <v/>
      </c>
      <c r="H189" s="81" t="inlineStr"/>
    </row>
    <row r="190" ht="16" customHeight="1">
      <c r="A190" s="59">
        <f>IFERROR(INDEX(SORT(FILTER({Master!A$4:A$174,Master!B$4:B$174,Master!T$4:T$174,Master!V$4:V$174,Master!L$4:L$174,Master!I$4:I$174,Master!BM$4:BM$174},Master!K$4:K$174="Qualified",Master!D$4:D$174="Fund of Funds",Master!V$4:V$174&lt;&gt;""),4,FALSE),3,1),"")</f>
        <v/>
      </c>
      <c r="B190" s="59">
        <f>IFERROR(INDEX(SORT(FILTER({Master!A$4:A$174,Master!B$4:B$174,Master!T$4:T$174,Master!V$4:V$174,Master!L$4:L$174,Master!I$4:I$174,Master!BM$4:BM$174},Master!K$4:K$174="Qualified",Master!D$4:D$174="Fund of Funds",Master!V$4:V$174&lt;&gt;""),4,FALSE),3,2),"")</f>
        <v/>
      </c>
      <c r="C190" s="75">
        <f>IFERROR(INDEX(SORT(FILTER({Master!A$4:A$174,Master!B$4:B$174,Master!T$4:T$174,Master!V$4:V$174,Master!L$4:L$174,Master!I$4:I$174,Master!BM$4:BM$174},Master!K$4:K$174="Qualified",Master!D$4:D$174="Fund of Funds",Master!V$4:V$174&lt;&gt;""),4,FALSE),3,3),"")</f>
        <v/>
      </c>
      <c r="D190" s="75">
        <f>IFERROR(INDEX(SORT(FILTER({Master!A$4:A$174,Master!B$4:B$174,Master!T$4:T$174,Master!V$4:V$174,Master!L$4:L$174,Master!I$4:I$174,Master!BM$4:BM$174},Master!K$4:K$174="Qualified",Master!D$4:D$174="Fund of Funds",Master!V$4:V$174&lt;&gt;""),4,FALSE),3,4),"")</f>
        <v/>
      </c>
      <c r="E190" s="76">
        <f>IFERROR(INDEX(SORT(FILTER({Master!A$4:A$174,Master!B$4:B$174,Master!T$4:T$174,Master!V$4:V$174,Master!L$4:L$174,Master!I$4:I$174,Master!BM$4:BM$174},Master!K$4:K$174="Qualified",Master!D$4:D$174="Fund of Funds",Master!V$4:V$174&lt;&gt;""),4,FALSE),3,5),"")</f>
        <v/>
      </c>
      <c r="F190" s="77">
        <f>IFERROR(INDEX(SORT(FILTER({Master!A$4:A$174,Master!B$4:B$174,Master!T$4:T$174,Master!V$4:V$174,Master!L$4:L$174,Master!I$4:I$174,Master!BM$4:BM$174},Master!K$4:K$174="Qualified",Master!D$4:D$174="Fund of Funds",Master!V$4:V$174&lt;&gt;""),4,FALSE),3,6),"")</f>
        <v/>
      </c>
      <c r="G190" s="78">
        <f>IFERROR(INDEX(SORT(FILTER({Master!A$4:A$174,Master!B$4:B$174,Master!T$4:T$174,Master!V$4:V$174,Master!L$4:L$174,Master!I$4:I$174,Master!BM$4:BM$174},Master!K$4:K$174="Qualified",Master!D$4:D$174="Fund of Funds",Master!V$4:V$174&lt;&gt;""),4,FALSE),3,7),"")</f>
        <v/>
      </c>
      <c r="H190" s="78" t="inlineStr"/>
    </row>
    <row r="191" ht="16" customHeight="1">
      <c r="A191" s="58">
        <f>IFERROR(INDEX(SORT(FILTER({Master!A$4:A$174,Master!B$4:B$174,Master!T$4:T$174,Master!V$4:V$174,Master!L$4:L$174,Master!I$4:I$174,Master!BM$4:BM$174},Master!K$4:K$174="Qualified",Master!D$4:D$174="Fund of Funds",Master!V$4:V$174&lt;&gt;""),4,FALSE),4,1),"")</f>
        <v/>
      </c>
      <c r="B191" s="58">
        <f>IFERROR(INDEX(SORT(FILTER({Master!A$4:A$174,Master!B$4:B$174,Master!T$4:T$174,Master!V$4:V$174,Master!L$4:L$174,Master!I$4:I$174,Master!BM$4:BM$174},Master!K$4:K$174="Qualified",Master!D$4:D$174="Fund of Funds",Master!V$4:V$174&lt;&gt;""),4,FALSE),4,2),"")</f>
        <v/>
      </c>
      <c r="C191" s="74">
        <f>IFERROR(INDEX(SORT(FILTER({Master!A$4:A$174,Master!B$4:B$174,Master!T$4:T$174,Master!V$4:V$174,Master!L$4:L$174,Master!I$4:I$174,Master!BM$4:BM$174},Master!K$4:K$174="Qualified",Master!D$4:D$174="Fund of Funds",Master!V$4:V$174&lt;&gt;""),4,FALSE),4,3),"")</f>
        <v/>
      </c>
      <c r="D191" s="74">
        <f>IFERROR(INDEX(SORT(FILTER({Master!A$4:A$174,Master!B$4:B$174,Master!T$4:T$174,Master!V$4:V$174,Master!L$4:L$174,Master!I$4:I$174,Master!BM$4:BM$174},Master!K$4:K$174="Qualified",Master!D$4:D$174="Fund of Funds",Master!V$4:V$174&lt;&gt;""),4,FALSE),4,4),"")</f>
        <v/>
      </c>
      <c r="E191" s="79">
        <f>IFERROR(INDEX(SORT(FILTER({Master!A$4:A$174,Master!B$4:B$174,Master!T$4:T$174,Master!V$4:V$174,Master!L$4:L$174,Master!I$4:I$174,Master!BM$4:BM$174},Master!K$4:K$174="Qualified",Master!D$4:D$174="Fund of Funds",Master!V$4:V$174&lt;&gt;""),4,FALSE),4,5),"")</f>
        <v/>
      </c>
      <c r="F191" s="80">
        <f>IFERROR(INDEX(SORT(FILTER({Master!A$4:A$174,Master!B$4:B$174,Master!T$4:T$174,Master!V$4:V$174,Master!L$4:L$174,Master!I$4:I$174,Master!BM$4:BM$174},Master!K$4:K$174="Qualified",Master!D$4:D$174="Fund of Funds",Master!V$4:V$174&lt;&gt;""),4,FALSE),4,6),"")</f>
        <v/>
      </c>
      <c r="G191" s="81">
        <f>IFERROR(INDEX(SORT(FILTER({Master!A$4:A$174,Master!B$4:B$174,Master!T$4:T$174,Master!V$4:V$174,Master!L$4:L$174,Master!I$4:I$174,Master!BM$4:BM$174},Master!K$4:K$174="Qualified",Master!D$4:D$174="Fund of Funds",Master!V$4:V$174&lt;&gt;""),4,FALSE),4,7),"")</f>
        <v/>
      </c>
      <c r="H191" s="81" t="inlineStr"/>
    </row>
    <row r="192" ht="16" customHeight="1">
      <c r="A192" s="59">
        <f>IFERROR(INDEX(SORT(FILTER({Master!A$4:A$174,Master!B$4:B$174,Master!T$4:T$174,Master!V$4:V$174,Master!L$4:L$174,Master!I$4:I$174,Master!BM$4:BM$174},Master!K$4:K$174="Qualified",Master!D$4:D$174="Fund of Funds",Master!V$4:V$174&lt;&gt;""),4,FALSE),5,1),"")</f>
        <v/>
      </c>
      <c r="B192" s="59">
        <f>IFERROR(INDEX(SORT(FILTER({Master!A$4:A$174,Master!B$4:B$174,Master!T$4:T$174,Master!V$4:V$174,Master!L$4:L$174,Master!I$4:I$174,Master!BM$4:BM$174},Master!K$4:K$174="Qualified",Master!D$4:D$174="Fund of Funds",Master!V$4:V$174&lt;&gt;""),4,FALSE),5,2),"")</f>
        <v/>
      </c>
      <c r="C192" s="75">
        <f>IFERROR(INDEX(SORT(FILTER({Master!A$4:A$174,Master!B$4:B$174,Master!T$4:T$174,Master!V$4:V$174,Master!L$4:L$174,Master!I$4:I$174,Master!BM$4:BM$174},Master!K$4:K$174="Qualified",Master!D$4:D$174="Fund of Funds",Master!V$4:V$174&lt;&gt;""),4,FALSE),5,3),"")</f>
        <v/>
      </c>
      <c r="D192" s="75">
        <f>IFERROR(INDEX(SORT(FILTER({Master!A$4:A$174,Master!B$4:B$174,Master!T$4:T$174,Master!V$4:V$174,Master!L$4:L$174,Master!I$4:I$174,Master!BM$4:BM$174},Master!K$4:K$174="Qualified",Master!D$4:D$174="Fund of Funds",Master!V$4:V$174&lt;&gt;""),4,FALSE),5,4),"")</f>
        <v/>
      </c>
      <c r="E192" s="76">
        <f>IFERROR(INDEX(SORT(FILTER({Master!A$4:A$174,Master!B$4:B$174,Master!T$4:T$174,Master!V$4:V$174,Master!L$4:L$174,Master!I$4:I$174,Master!BM$4:BM$174},Master!K$4:K$174="Qualified",Master!D$4:D$174="Fund of Funds",Master!V$4:V$174&lt;&gt;""),4,FALSE),5,5),"")</f>
        <v/>
      </c>
      <c r="F192" s="77">
        <f>IFERROR(INDEX(SORT(FILTER({Master!A$4:A$174,Master!B$4:B$174,Master!T$4:T$174,Master!V$4:V$174,Master!L$4:L$174,Master!I$4:I$174,Master!BM$4:BM$174},Master!K$4:K$174="Qualified",Master!D$4:D$174="Fund of Funds",Master!V$4:V$174&lt;&gt;""),4,FALSE),5,6),"")</f>
        <v/>
      </c>
      <c r="G192" s="78">
        <f>IFERROR(INDEX(SORT(FILTER({Master!A$4:A$174,Master!B$4:B$174,Master!T$4:T$174,Master!V$4:V$174,Master!L$4:L$174,Master!I$4:I$174,Master!BM$4:BM$174},Master!K$4:K$174="Qualified",Master!D$4:D$174="Fund of Funds",Master!V$4:V$174&lt;&gt;""),4,FALSE),5,7),"")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IFERROR(INDEX(SORT(FILTER({Master!A$4:A$174,Master!B$4:B$174,Master!AE$4:AE$174,Master!V$4:V$174,Master!L$4:L$174,Master!I$4:I$174,Master!BM$4:BM$174},Master!K$4:K$174="Qualified",Master!D$4:D$174="Fund of Funds",Master!AE$4:AE$174&lt;&gt;""),3,FALSE),1,1),"")</f>
        <v/>
      </c>
      <c r="B196" s="59">
        <f>IFERROR(INDEX(SORT(FILTER({Master!A$4:A$174,Master!B$4:B$174,Master!AE$4:AE$174,Master!V$4:V$174,Master!L$4:L$174,Master!I$4:I$174,Master!BM$4:BM$174},Master!K$4:K$174="Qualified",Master!D$4:D$174="Fund of Funds",Master!AE$4:AE$174&lt;&gt;""),3,FALSE),1,2),"")</f>
        <v/>
      </c>
      <c r="C196" s="75">
        <f>IFERROR(INDEX(SORT(FILTER({Master!A$4:A$174,Master!B$4:B$174,Master!AE$4:AE$174,Master!V$4:V$174,Master!L$4:L$174,Master!I$4:I$174,Master!BM$4:BM$174},Master!K$4:K$174="Qualified",Master!D$4:D$174="Fund of Funds",Master!AE$4:AE$174&lt;&gt;""),3,FALSE),1,3),"")</f>
        <v/>
      </c>
      <c r="D196" s="75">
        <f>IFERROR(INDEX(SORT(FILTER({Master!A$4:A$174,Master!B$4:B$174,Master!AE$4:AE$174,Master!V$4:V$174,Master!L$4:L$174,Master!I$4:I$174,Master!BM$4:BM$174},Master!K$4:K$174="Qualified",Master!D$4:D$174="Fund of Funds",Master!AE$4:AE$174&lt;&gt;""),3,FALSE),1,4),"")</f>
        <v/>
      </c>
      <c r="E196" s="76">
        <f>IFERROR(INDEX(SORT(FILTER({Master!A$4:A$174,Master!B$4:B$174,Master!AE$4:AE$174,Master!V$4:V$174,Master!L$4:L$174,Master!I$4:I$174,Master!BM$4:BM$174},Master!K$4:K$174="Qualified",Master!D$4:D$174="Fund of Funds",Master!AE$4:AE$174&lt;&gt;""),3,FALSE),1,5),"")</f>
        <v/>
      </c>
      <c r="F196" s="77">
        <f>IFERROR(INDEX(SORT(FILTER({Master!A$4:A$174,Master!B$4:B$174,Master!AE$4:AE$174,Master!V$4:V$174,Master!L$4:L$174,Master!I$4:I$174,Master!BM$4:BM$174},Master!K$4:K$174="Qualified",Master!D$4:D$174="Fund of Funds",Master!AE$4:AE$174&lt;&gt;""),3,FALSE),1,6),"")</f>
        <v/>
      </c>
      <c r="G196" s="78">
        <f>IFERROR(INDEX(SORT(FILTER({Master!A$4:A$174,Master!B$4:B$174,Master!AE$4:AE$174,Master!V$4:V$174,Master!L$4:L$174,Master!I$4:I$174,Master!BM$4:BM$174},Master!K$4:K$174="Qualified",Master!D$4:D$174="Fund of Funds",Master!AE$4:AE$174&lt;&gt;""),3,FALSE),1,7),"")</f>
        <v/>
      </c>
      <c r="H196" s="78" t="inlineStr"/>
    </row>
    <row r="197" ht="16" customHeight="1">
      <c r="A197" s="58">
        <f>IFERROR(INDEX(SORT(FILTER({Master!A$4:A$174,Master!B$4:B$174,Master!AE$4:AE$174,Master!V$4:V$174,Master!L$4:L$174,Master!I$4:I$174,Master!BM$4:BM$174},Master!K$4:K$174="Qualified",Master!D$4:D$174="Fund of Funds",Master!AE$4:AE$174&lt;&gt;""),3,FALSE),2,1),"")</f>
        <v/>
      </c>
      <c r="B197" s="58">
        <f>IFERROR(INDEX(SORT(FILTER({Master!A$4:A$174,Master!B$4:B$174,Master!AE$4:AE$174,Master!V$4:V$174,Master!L$4:L$174,Master!I$4:I$174,Master!BM$4:BM$174},Master!K$4:K$174="Qualified",Master!D$4:D$174="Fund of Funds",Master!AE$4:AE$174&lt;&gt;""),3,FALSE),2,2),"")</f>
        <v/>
      </c>
      <c r="C197" s="74">
        <f>IFERROR(INDEX(SORT(FILTER({Master!A$4:A$174,Master!B$4:B$174,Master!AE$4:AE$174,Master!V$4:V$174,Master!L$4:L$174,Master!I$4:I$174,Master!BM$4:BM$174},Master!K$4:K$174="Qualified",Master!D$4:D$174="Fund of Funds",Master!AE$4:AE$174&lt;&gt;""),3,FALSE),2,3),"")</f>
        <v/>
      </c>
      <c r="D197" s="74">
        <f>IFERROR(INDEX(SORT(FILTER({Master!A$4:A$174,Master!B$4:B$174,Master!AE$4:AE$174,Master!V$4:V$174,Master!L$4:L$174,Master!I$4:I$174,Master!BM$4:BM$174},Master!K$4:K$174="Qualified",Master!D$4:D$174="Fund of Funds",Master!AE$4:AE$174&lt;&gt;""),3,FALSE),2,4),"")</f>
        <v/>
      </c>
      <c r="E197" s="79">
        <f>IFERROR(INDEX(SORT(FILTER({Master!A$4:A$174,Master!B$4:B$174,Master!AE$4:AE$174,Master!V$4:V$174,Master!L$4:L$174,Master!I$4:I$174,Master!BM$4:BM$174},Master!K$4:K$174="Qualified",Master!D$4:D$174="Fund of Funds",Master!AE$4:AE$174&lt;&gt;""),3,FALSE),2,5),"")</f>
        <v/>
      </c>
      <c r="F197" s="80">
        <f>IFERROR(INDEX(SORT(FILTER({Master!A$4:A$174,Master!B$4:B$174,Master!AE$4:AE$174,Master!V$4:V$174,Master!L$4:L$174,Master!I$4:I$174,Master!BM$4:BM$174},Master!K$4:K$174="Qualified",Master!D$4:D$174="Fund of Funds",Master!AE$4:AE$174&lt;&gt;""),3,FALSE),2,6),"")</f>
        <v/>
      </c>
      <c r="G197" s="81">
        <f>IFERROR(INDEX(SORT(FILTER({Master!A$4:A$174,Master!B$4:B$174,Master!AE$4:AE$174,Master!V$4:V$174,Master!L$4:L$174,Master!I$4:I$174,Master!BM$4:BM$174},Master!K$4:K$174="Qualified",Master!D$4:D$174="Fund of Funds",Master!AE$4:AE$174&lt;&gt;""),3,FALSE),2,7),"")</f>
        <v/>
      </c>
      <c r="H197" s="81" t="inlineStr"/>
    </row>
    <row r="198" ht="16" customHeight="1">
      <c r="A198" s="59">
        <f>IFERROR(INDEX(SORT(FILTER({Master!A$4:A$174,Master!B$4:B$174,Master!AE$4:AE$174,Master!V$4:V$174,Master!L$4:L$174,Master!I$4:I$174,Master!BM$4:BM$174},Master!K$4:K$174="Qualified",Master!D$4:D$174="Fund of Funds",Master!AE$4:AE$174&lt;&gt;""),3,FALSE),3,1),"")</f>
        <v/>
      </c>
      <c r="B198" s="59">
        <f>IFERROR(INDEX(SORT(FILTER({Master!A$4:A$174,Master!B$4:B$174,Master!AE$4:AE$174,Master!V$4:V$174,Master!L$4:L$174,Master!I$4:I$174,Master!BM$4:BM$174},Master!K$4:K$174="Qualified",Master!D$4:D$174="Fund of Funds",Master!AE$4:AE$174&lt;&gt;""),3,FALSE),3,2),"")</f>
        <v/>
      </c>
      <c r="C198" s="75">
        <f>IFERROR(INDEX(SORT(FILTER({Master!A$4:A$174,Master!B$4:B$174,Master!AE$4:AE$174,Master!V$4:V$174,Master!L$4:L$174,Master!I$4:I$174,Master!BM$4:BM$174},Master!K$4:K$174="Qualified",Master!D$4:D$174="Fund of Funds",Master!AE$4:AE$174&lt;&gt;""),3,FALSE),3,3),"")</f>
        <v/>
      </c>
      <c r="D198" s="75">
        <f>IFERROR(INDEX(SORT(FILTER({Master!A$4:A$174,Master!B$4:B$174,Master!AE$4:AE$174,Master!V$4:V$174,Master!L$4:L$174,Master!I$4:I$174,Master!BM$4:BM$174},Master!K$4:K$174="Qualified",Master!D$4:D$174="Fund of Funds",Master!AE$4:AE$174&lt;&gt;""),3,FALSE),3,4),"")</f>
        <v/>
      </c>
      <c r="E198" s="76">
        <f>IFERROR(INDEX(SORT(FILTER({Master!A$4:A$174,Master!B$4:B$174,Master!AE$4:AE$174,Master!V$4:V$174,Master!L$4:L$174,Master!I$4:I$174,Master!BM$4:BM$174},Master!K$4:K$174="Qualified",Master!D$4:D$174="Fund of Funds",Master!AE$4:AE$174&lt;&gt;""),3,FALSE),3,5),"")</f>
        <v/>
      </c>
      <c r="F198" s="77">
        <f>IFERROR(INDEX(SORT(FILTER({Master!A$4:A$174,Master!B$4:B$174,Master!AE$4:AE$174,Master!V$4:V$174,Master!L$4:L$174,Master!I$4:I$174,Master!BM$4:BM$174},Master!K$4:K$174="Qualified",Master!D$4:D$174="Fund of Funds",Master!AE$4:AE$174&lt;&gt;""),3,FALSE),3,6),"")</f>
        <v/>
      </c>
      <c r="G198" s="78">
        <f>IFERROR(INDEX(SORT(FILTER({Master!A$4:A$174,Master!B$4:B$174,Master!AE$4:AE$174,Master!V$4:V$174,Master!L$4:L$174,Master!I$4:I$174,Master!BM$4:BM$174},Master!K$4:K$174="Qualified",Master!D$4:D$174="Fund of Funds",Master!AE$4:AE$174&lt;&gt;""),3,FALSE),3,7),"")</f>
        <v/>
      </c>
      <c r="H198" s="78" t="inlineStr"/>
    </row>
    <row r="199" ht="16" customHeight="1">
      <c r="A199" s="58">
        <f>IFERROR(INDEX(SORT(FILTER({Master!A$4:A$174,Master!B$4:B$174,Master!AE$4:AE$174,Master!V$4:V$174,Master!L$4:L$174,Master!I$4:I$174,Master!BM$4:BM$174},Master!K$4:K$174="Qualified",Master!D$4:D$174="Fund of Funds",Master!AE$4:AE$174&lt;&gt;""),3,FALSE),4,1),"")</f>
        <v/>
      </c>
      <c r="B199" s="58">
        <f>IFERROR(INDEX(SORT(FILTER({Master!A$4:A$174,Master!B$4:B$174,Master!AE$4:AE$174,Master!V$4:V$174,Master!L$4:L$174,Master!I$4:I$174,Master!BM$4:BM$174},Master!K$4:K$174="Qualified",Master!D$4:D$174="Fund of Funds",Master!AE$4:AE$174&lt;&gt;""),3,FALSE),4,2),"")</f>
        <v/>
      </c>
      <c r="C199" s="74">
        <f>IFERROR(INDEX(SORT(FILTER({Master!A$4:A$174,Master!B$4:B$174,Master!AE$4:AE$174,Master!V$4:V$174,Master!L$4:L$174,Master!I$4:I$174,Master!BM$4:BM$174},Master!K$4:K$174="Qualified",Master!D$4:D$174="Fund of Funds",Master!AE$4:AE$174&lt;&gt;""),3,FALSE),4,3),"")</f>
        <v/>
      </c>
      <c r="D199" s="74">
        <f>IFERROR(INDEX(SORT(FILTER({Master!A$4:A$174,Master!B$4:B$174,Master!AE$4:AE$174,Master!V$4:V$174,Master!L$4:L$174,Master!I$4:I$174,Master!BM$4:BM$174},Master!K$4:K$174="Qualified",Master!D$4:D$174="Fund of Funds",Master!AE$4:AE$174&lt;&gt;""),3,FALSE),4,4),"")</f>
        <v/>
      </c>
      <c r="E199" s="79">
        <f>IFERROR(INDEX(SORT(FILTER({Master!A$4:A$174,Master!B$4:B$174,Master!AE$4:AE$174,Master!V$4:V$174,Master!L$4:L$174,Master!I$4:I$174,Master!BM$4:BM$174},Master!K$4:K$174="Qualified",Master!D$4:D$174="Fund of Funds",Master!AE$4:AE$174&lt;&gt;""),3,FALSE),4,5),"")</f>
        <v/>
      </c>
      <c r="F199" s="80">
        <f>IFERROR(INDEX(SORT(FILTER({Master!A$4:A$174,Master!B$4:B$174,Master!AE$4:AE$174,Master!V$4:V$174,Master!L$4:L$174,Master!I$4:I$174,Master!BM$4:BM$174},Master!K$4:K$174="Qualified",Master!D$4:D$174="Fund of Funds",Master!AE$4:AE$174&lt;&gt;""),3,FALSE),4,6),"")</f>
        <v/>
      </c>
      <c r="G199" s="81">
        <f>IFERROR(INDEX(SORT(FILTER({Master!A$4:A$174,Master!B$4:B$174,Master!AE$4:AE$174,Master!V$4:V$174,Master!L$4:L$174,Master!I$4:I$174,Master!BM$4:BM$174},Master!K$4:K$174="Qualified",Master!D$4:D$174="Fund of Funds",Master!AE$4:AE$174&lt;&gt;""),3,FALSE),4,7),"")</f>
        <v/>
      </c>
      <c r="H199" s="81" t="inlineStr"/>
    </row>
    <row r="200" ht="16" customHeight="1">
      <c r="A200" s="59">
        <f>IFERROR(INDEX(SORT(FILTER({Master!A$4:A$174,Master!B$4:B$174,Master!AE$4:AE$174,Master!V$4:V$174,Master!L$4:L$174,Master!I$4:I$174,Master!BM$4:BM$174},Master!K$4:K$174="Qualified",Master!D$4:D$174="Fund of Funds",Master!AE$4:AE$174&lt;&gt;""),3,FALSE),5,1),"")</f>
        <v/>
      </c>
      <c r="B200" s="59">
        <f>IFERROR(INDEX(SORT(FILTER({Master!A$4:A$174,Master!B$4:B$174,Master!AE$4:AE$174,Master!V$4:V$174,Master!L$4:L$174,Master!I$4:I$174,Master!BM$4:BM$174},Master!K$4:K$174="Qualified",Master!D$4:D$174="Fund of Funds",Master!AE$4:AE$174&lt;&gt;""),3,FALSE),5,2),"")</f>
        <v/>
      </c>
      <c r="C200" s="75">
        <f>IFERROR(INDEX(SORT(FILTER({Master!A$4:A$174,Master!B$4:B$174,Master!AE$4:AE$174,Master!V$4:V$174,Master!L$4:L$174,Master!I$4:I$174,Master!BM$4:BM$174},Master!K$4:K$174="Qualified",Master!D$4:D$174="Fund of Funds",Master!AE$4:AE$174&lt;&gt;""),3,FALSE),5,3),"")</f>
        <v/>
      </c>
      <c r="D200" s="75">
        <f>IFERROR(INDEX(SORT(FILTER({Master!A$4:A$174,Master!B$4:B$174,Master!AE$4:AE$174,Master!V$4:V$174,Master!L$4:L$174,Master!I$4:I$174,Master!BM$4:BM$174},Master!K$4:K$174="Qualified",Master!D$4:D$174="Fund of Funds",Master!AE$4:AE$174&lt;&gt;""),3,FALSE),5,4),"")</f>
        <v/>
      </c>
      <c r="E200" s="76">
        <f>IFERROR(INDEX(SORT(FILTER({Master!A$4:A$174,Master!B$4:B$174,Master!AE$4:AE$174,Master!V$4:V$174,Master!L$4:L$174,Master!I$4:I$174,Master!BM$4:BM$174},Master!K$4:K$174="Qualified",Master!D$4:D$174="Fund of Funds",Master!AE$4:AE$174&lt;&gt;""),3,FALSE),5,5),"")</f>
        <v/>
      </c>
      <c r="F200" s="77">
        <f>IFERROR(INDEX(SORT(FILTER({Master!A$4:A$174,Master!B$4:B$174,Master!AE$4:AE$174,Master!V$4:V$174,Master!L$4:L$174,Master!I$4:I$174,Master!BM$4:BM$174},Master!K$4:K$174="Qualified",Master!D$4:D$174="Fund of Funds",Master!AE$4:AE$174&lt;&gt;""),3,FALSE),5,6),"")</f>
        <v/>
      </c>
      <c r="G200" s="78">
        <f>IFERROR(INDEX(SORT(FILTER({Master!A$4:A$174,Master!B$4:B$174,Master!AE$4:AE$174,Master!V$4:V$174,Master!L$4:L$174,Master!I$4:I$174,Master!BM$4:BM$174},Master!K$4:K$174="Qualified",Master!D$4:D$174="Fund of Funds",Master!AE$4:AE$174&lt;&gt;""),3,FALSE),5,7),"")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IFERROR(INDEX(SORT(FILTER({Master!A$4:A$174,Master!B$4:B$174,Master!I$4:I$174,Master!T$4:T$174,Master!V$4:V$174,Master!L$4:L$174,Master!BM$4:BM$174},Master!K$4:K$174="Qualified",Master!D$4:D$174="Fund of Funds",Master!I$4:I$174&lt;&gt;""),3,FALSE),1,1),"")</f>
        <v/>
      </c>
      <c r="B204" s="59">
        <f>IFERROR(INDEX(SORT(FILTER({Master!A$4:A$174,Master!B$4:B$174,Master!I$4:I$174,Master!T$4:T$174,Master!V$4:V$174,Master!L$4:L$174,Master!BM$4:BM$174},Master!K$4:K$174="Qualified",Master!D$4:D$174="Fund of Funds",Master!I$4:I$174&lt;&gt;""),3,FALSE),1,2),"")</f>
        <v/>
      </c>
      <c r="C204" s="77">
        <f>IFERROR(INDEX(SORT(FILTER({Master!A$4:A$174,Master!B$4:B$174,Master!I$4:I$174,Master!T$4:T$174,Master!V$4:V$174,Master!L$4:L$174,Master!BM$4:BM$174},Master!K$4:K$174="Qualified",Master!D$4:D$174="Fund of Funds",Master!I$4:I$174&lt;&gt;""),3,FALSE),1,3),"")</f>
        <v/>
      </c>
      <c r="D204" s="75">
        <f>IFERROR(INDEX(SORT(FILTER({Master!A$4:A$174,Master!B$4:B$174,Master!I$4:I$174,Master!T$4:T$174,Master!V$4:V$174,Master!L$4:L$174,Master!BM$4:BM$174},Master!K$4:K$174="Qualified",Master!D$4:D$174="Fund of Funds",Master!I$4:I$174&lt;&gt;""),3,FALSE),1,4),"")</f>
        <v/>
      </c>
      <c r="E204" s="75">
        <f>IFERROR(INDEX(SORT(FILTER({Master!A$4:A$174,Master!B$4:B$174,Master!I$4:I$174,Master!T$4:T$174,Master!V$4:V$174,Master!L$4:L$174,Master!BM$4:BM$174},Master!K$4:K$174="Qualified",Master!D$4:D$174="Fund of Funds",Master!I$4:I$174&lt;&gt;""),3,FALSE),1,5),"")</f>
        <v/>
      </c>
      <c r="F204" s="76">
        <f>IFERROR(INDEX(SORT(FILTER({Master!A$4:A$174,Master!B$4:B$174,Master!I$4:I$174,Master!T$4:T$174,Master!V$4:V$174,Master!L$4:L$174,Master!BM$4:BM$174},Master!K$4:K$174="Qualified",Master!D$4:D$174="Fund of Funds",Master!I$4:I$174&lt;&gt;""),3,FALSE),1,6),"")</f>
        <v/>
      </c>
      <c r="G204" s="78">
        <f>IFERROR(INDEX(SORT(FILTER({Master!A$4:A$174,Master!B$4:B$174,Master!I$4:I$174,Master!T$4:T$174,Master!V$4:V$174,Master!L$4:L$174,Master!BM$4:BM$174},Master!K$4:K$174="Qualified",Master!D$4:D$174="Fund of Funds",Master!I$4:I$174&lt;&gt;""),3,FALSE),1,7),"")</f>
        <v/>
      </c>
      <c r="H204" s="78" t="inlineStr"/>
    </row>
    <row r="205" ht="16" customHeight="1">
      <c r="A205" s="58">
        <f>IFERROR(INDEX(SORT(FILTER({Master!A$4:A$174,Master!B$4:B$174,Master!I$4:I$174,Master!T$4:T$174,Master!V$4:V$174,Master!L$4:L$174,Master!BM$4:BM$174},Master!K$4:K$174="Qualified",Master!D$4:D$174="Fund of Funds",Master!I$4:I$174&lt;&gt;""),3,FALSE),2,1),"")</f>
        <v/>
      </c>
      <c r="B205" s="58">
        <f>IFERROR(INDEX(SORT(FILTER({Master!A$4:A$174,Master!B$4:B$174,Master!I$4:I$174,Master!T$4:T$174,Master!V$4:V$174,Master!L$4:L$174,Master!BM$4:BM$174},Master!K$4:K$174="Qualified",Master!D$4:D$174="Fund of Funds",Master!I$4:I$174&lt;&gt;""),3,FALSE),2,2),"")</f>
        <v/>
      </c>
      <c r="C205" s="80">
        <f>IFERROR(INDEX(SORT(FILTER({Master!A$4:A$174,Master!B$4:B$174,Master!I$4:I$174,Master!T$4:T$174,Master!V$4:V$174,Master!L$4:L$174,Master!BM$4:BM$174},Master!K$4:K$174="Qualified",Master!D$4:D$174="Fund of Funds",Master!I$4:I$174&lt;&gt;""),3,FALSE),2,3),"")</f>
        <v/>
      </c>
      <c r="D205" s="74">
        <f>IFERROR(INDEX(SORT(FILTER({Master!A$4:A$174,Master!B$4:B$174,Master!I$4:I$174,Master!T$4:T$174,Master!V$4:V$174,Master!L$4:L$174,Master!BM$4:BM$174},Master!K$4:K$174="Qualified",Master!D$4:D$174="Fund of Funds",Master!I$4:I$174&lt;&gt;""),3,FALSE),2,4),"")</f>
        <v/>
      </c>
      <c r="E205" s="74">
        <f>IFERROR(INDEX(SORT(FILTER({Master!A$4:A$174,Master!B$4:B$174,Master!I$4:I$174,Master!T$4:T$174,Master!V$4:V$174,Master!L$4:L$174,Master!BM$4:BM$174},Master!K$4:K$174="Qualified",Master!D$4:D$174="Fund of Funds",Master!I$4:I$174&lt;&gt;""),3,FALSE),2,5),"")</f>
        <v/>
      </c>
      <c r="F205" s="79">
        <f>IFERROR(INDEX(SORT(FILTER({Master!A$4:A$174,Master!B$4:B$174,Master!I$4:I$174,Master!T$4:T$174,Master!V$4:V$174,Master!L$4:L$174,Master!BM$4:BM$174},Master!K$4:K$174="Qualified",Master!D$4:D$174="Fund of Funds",Master!I$4:I$174&lt;&gt;""),3,FALSE),2,6),"")</f>
        <v/>
      </c>
      <c r="G205" s="81">
        <f>IFERROR(INDEX(SORT(FILTER({Master!A$4:A$174,Master!B$4:B$174,Master!I$4:I$174,Master!T$4:T$174,Master!V$4:V$174,Master!L$4:L$174,Master!BM$4:BM$174},Master!K$4:K$174="Qualified",Master!D$4:D$174="Fund of Funds",Master!I$4:I$174&lt;&gt;""),3,FALSE),2,7),"")</f>
        <v/>
      </c>
      <c r="H205" s="81" t="inlineStr"/>
    </row>
    <row r="206" ht="16" customHeight="1">
      <c r="A206" s="59">
        <f>IFERROR(INDEX(SORT(FILTER({Master!A$4:A$174,Master!B$4:B$174,Master!I$4:I$174,Master!T$4:T$174,Master!V$4:V$174,Master!L$4:L$174,Master!BM$4:BM$174},Master!K$4:K$174="Qualified",Master!D$4:D$174="Fund of Funds",Master!I$4:I$174&lt;&gt;""),3,FALSE),3,1),"")</f>
        <v/>
      </c>
      <c r="B206" s="59">
        <f>IFERROR(INDEX(SORT(FILTER({Master!A$4:A$174,Master!B$4:B$174,Master!I$4:I$174,Master!T$4:T$174,Master!V$4:V$174,Master!L$4:L$174,Master!BM$4:BM$174},Master!K$4:K$174="Qualified",Master!D$4:D$174="Fund of Funds",Master!I$4:I$174&lt;&gt;""),3,FALSE),3,2),"")</f>
        <v/>
      </c>
      <c r="C206" s="77">
        <f>IFERROR(INDEX(SORT(FILTER({Master!A$4:A$174,Master!B$4:B$174,Master!I$4:I$174,Master!T$4:T$174,Master!V$4:V$174,Master!L$4:L$174,Master!BM$4:BM$174},Master!K$4:K$174="Qualified",Master!D$4:D$174="Fund of Funds",Master!I$4:I$174&lt;&gt;""),3,FALSE),3,3),"")</f>
        <v/>
      </c>
      <c r="D206" s="75">
        <f>IFERROR(INDEX(SORT(FILTER({Master!A$4:A$174,Master!B$4:B$174,Master!I$4:I$174,Master!T$4:T$174,Master!V$4:V$174,Master!L$4:L$174,Master!BM$4:BM$174},Master!K$4:K$174="Qualified",Master!D$4:D$174="Fund of Funds",Master!I$4:I$174&lt;&gt;""),3,FALSE),3,4),"")</f>
        <v/>
      </c>
      <c r="E206" s="75">
        <f>IFERROR(INDEX(SORT(FILTER({Master!A$4:A$174,Master!B$4:B$174,Master!I$4:I$174,Master!T$4:T$174,Master!V$4:V$174,Master!L$4:L$174,Master!BM$4:BM$174},Master!K$4:K$174="Qualified",Master!D$4:D$174="Fund of Funds",Master!I$4:I$174&lt;&gt;""),3,FALSE),3,5),"")</f>
        <v/>
      </c>
      <c r="F206" s="76">
        <f>IFERROR(INDEX(SORT(FILTER({Master!A$4:A$174,Master!B$4:B$174,Master!I$4:I$174,Master!T$4:T$174,Master!V$4:V$174,Master!L$4:L$174,Master!BM$4:BM$174},Master!K$4:K$174="Qualified",Master!D$4:D$174="Fund of Funds",Master!I$4:I$174&lt;&gt;""),3,FALSE),3,6),"")</f>
        <v/>
      </c>
      <c r="G206" s="78">
        <f>IFERROR(INDEX(SORT(FILTER({Master!A$4:A$174,Master!B$4:B$174,Master!I$4:I$174,Master!T$4:T$174,Master!V$4:V$174,Master!L$4:L$174,Master!BM$4:BM$174},Master!K$4:K$174="Qualified",Master!D$4:D$174="Fund of Funds",Master!I$4:I$174&lt;&gt;""),3,FALSE),3,7),"")</f>
        <v/>
      </c>
      <c r="H206" s="78" t="inlineStr"/>
    </row>
    <row r="207" ht="16" customHeight="1">
      <c r="A207" s="58">
        <f>IFERROR(INDEX(SORT(FILTER({Master!A$4:A$174,Master!B$4:B$174,Master!I$4:I$174,Master!T$4:T$174,Master!V$4:V$174,Master!L$4:L$174,Master!BM$4:BM$174},Master!K$4:K$174="Qualified",Master!D$4:D$174="Fund of Funds",Master!I$4:I$174&lt;&gt;""),3,FALSE),4,1),"")</f>
        <v/>
      </c>
      <c r="B207" s="58">
        <f>IFERROR(INDEX(SORT(FILTER({Master!A$4:A$174,Master!B$4:B$174,Master!I$4:I$174,Master!T$4:T$174,Master!V$4:V$174,Master!L$4:L$174,Master!BM$4:BM$174},Master!K$4:K$174="Qualified",Master!D$4:D$174="Fund of Funds",Master!I$4:I$174&lt;&gt;""),3,FALSE),4,2),"")</f>
        <v/>
      </c>
      <c r="C207" s="80">
        <f>IFERROR(INDEX(SORT(FILTER({Master!A$4:A$174,Master!B$4:B$174,Master!I$4:I$174,Master!T$4:T$174,Master!V$4:V$174,Master!L$4:L$174,Master!BM$4:BM$174},Master!K$4:K$174="Qualified",Master!D$4:D$174="Fund of Funds",Master!I$4:I$174&lt;&gt;""),3,FALSE),4,3),"")</f>
        <v/>
      </c>
      <c r="D207" s="74">
        <f>IFERROR(INDEX(SORT(FILTER({Master!A$4:A$174,Master!B$4:B$174,Master!I$4:I$174,Master!T$4:T$174,Master!V$4:V$174,Master!L$4:L$174,Master!BM$4:BM$174},Master!K$4:K$174="Qualified",Master!D$4:D$174="Fund of Funds",Master!I$4:I$174&lt;&gt;""),3,FALSE),4,4),"")</f>
        <v/>
      </c>
      <c r="E207" s="74">
        <f>IFERROR(INDEX(SORT(FILTER({Master!A$4:A$174,Master!B$4:B$174,Master!I$4:I$174,Master!T$4:T$174,Master!V$4:V$174,Master!L$4:L$174,Master!BM$4:BM$174},Master!K$4:K$174="Qualified",Master!D$4:D$174="Fund of Funds",Master!I$4:I$174&lt;&gt;""),3,FALSE),4,5),"")</f>
        <v/>
      </c>
      <c r="F207" s="79">
        <f>IFERROR(INDEX(SORT(FILTER({Master!A$4:A$174,Master!B$4:B$174,Master!I$4:I$174,Master!T$4:T$174,Master!V$4:V$174,Master!L$4:L$174,Master!BM$4:BM$174},Master!K$4:K$174="Qualified",Master!D$4:D$174="Fund of Funds",Master!I$4:I$174&lt;&gt;""),3,FALSE),4,6),"")</f>
        <v/>
      </c>
      <c r="G207" s="81">
        <f>IFERROR(INDEX(SORT(FILTER({Master!A$4:A$174,Master!B$4:B$174,Master!I$4:I$174,Master!T$4:T$174,Master!V$4:V$174,Master!L$4:L$174,Master!BM$4:BM$174},Master!K$4:K$174="Qualified",Master!D$4:D$174="Fund of Funds",Master!I$4:I$174&lt;&gt;""),3,FALSE),4,7),"")</f>
        <v/>
      </c>
      <c r="H207" s="81" t="inlineStr"/>
    </row>
    <row r="208" ht="16" customHeight="1">
      <c r="A208" s="59">
        <f>IFERROR(INDEX(SORT(FILTER({Master!A$4:A$174,Master!B$4:B$174,Master!I$4:I$174,Master!T$4:T$174,Master!V$4:V$174,Master!L$4:L$174,Master!BM$4:BM$174},Master!K$4:K$174="Qualified",Master!D$4:D$174="Fund of Funds",Master!I$4:I$174&lt;&gt;""),3,FALSE),5,1),"")</f>
        <v/>
      </c>
      <c r="B208" s="59">
        <f>IFERROR(INDEX(SORT(FILTER({Master!A$4:A$174,Master!B$4:B$174,Master!I$4:I$174,Master!T$4:T$174,Master!V$4:V$174,Master!L$4:L$174,Master!BM$4:BM$174},Master!K$4:K$174="Qualified",Master!D$4:D$174="Fund of Funds",Master!I$4:I$174&lt;&gt;""),3,FALSE),5,2),"")</f>
        <v/>
      </c>
      <c r="C208" s="77">
        <f>IFERROR(INDEX(SORT(FILTER({Master!A$4:A$174,Master!B$4:B$174,Master!I$4:I$174,Master!T$4:T$174,Master!V$4:V$174,Master!L$4:L$174,Master!BM$4:BM$174},Master!K$4:K$174="Qualified",Master!D$4:D$174="Fund of Funds",Master!I$4:I$174&lt;&gt;""),3,FALSE),5,3),"")</f>
        <v/>
      </c>
      <c r="D208" s="75">
        <f>IFERROR(INDEX(SORT(FILTER({Master!A$4:A$174,Master!B$4:B$174,Master!I$4:I$174,Master!T$4:T$174,Master!V$4:V$174,Master!L$4:L$174,Master!BM$4:BM$174},Master!K$4:K$174="Qualified",Master!D$4:D$174="Fund of Funds",Master!I$4:I$174&lt;&gt;""),3,FALSE),5,4),"")</f>
        <v/>
      </c>
      <c r="E208" s="75">
        <f>IFERROR(INDEX(SORT(FILTER({Master!A$4:A$174,Master!B$4:B$174,Master!I$4:I$174,Master!T$4:T$174,Master!V$4:V$174,Master!L$4:L$174,Master!BM$4:BM$174},Master!K$4:K$174="Qualified",Master!D$4:D$174="Fund of Funds",Master!I$4:I$174&lt;&gt;""),3,FALSE),5,5),"")</f>
        <v/>
      </c>
      <c r="F208" s="76">
        <f>IFERROR(INDEX(SORT(FILTER({Master!A$4:A$174,Master!B$4:B$174,Master!I$4:I$174,Master!T$4:T$174,Master!V$4:V$174,Master!L$4:L$174,Master!BM$4:BM$174},Master!K$4:K$174="Qualified",Master!D$4:D$174="Fund of Funds",Master!I$4:I$174&lt;&gt;""),3,FALSE),5,6),"")</f>
        <v/>
      </c>
      <c r="G208" s="78">
        <f>IFERROR(INDEX(SORT(FILTER({Master!A$4:A$174,Master!B$4:B$174,Master!I$4:I$174,Master!T$4:T$174,Master!V$4:V$174,Master!L$4:L$174,Master!BM$4:BM$174},Master!K$4:K$174="Qualified",Master!D$4:D$174="Fund of Funds",Master!I$4:I$174&lt;&gt;""),3,FALSE),5,7),"")</f>
        <v/>
      </c>
      <c r="H208" s="78" t="inlineStr"/>
    </row>
    <row r="211">
      <c r="A211" s="60" t="inlineStr">
        <is>
          <t>Source: Public Mutual MFR February 2026 | Screened by 5-Point Code Review Framework | Generated April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2026-04-05T17:18:51Z</dcterms:created>
  <dcterms:modified xmlns:dcterms="http://purl.org/dc/terms/" xmlns:xsi="http://www.w3.org/2001/XMLSchema-instance" xsi:type="dcterms:W3CDTF">2026-04-05T17:18:52Z</dcterms:modified>
</cp:coreProperties>
</file>